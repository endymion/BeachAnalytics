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Analytics/analysis/"/>
    </mc:Choice>
  </mc:AlternateContent>
  <xr:revisionPtr revIDLastSave="0" documentId="13_ncr:1_{3604AAEB-F3AD-1341-9821-263C0EF7E348}" xr6:coauthVersionLast="45" xr6:coauthVersionMax="45" xr10:uidLastSave="{00000000-0000-0000-0000-000000000000}"/>
  <bookViews>
    <workbookView xWindow="0" yWindow="460" windowWidth="28800" windowHeight="17540" firstSheet="4" activeTab="7"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2" i="1" l="1"/>
  <c r="D32" i="1"/>
  <c r="E32" i="1"/>
  <c r="F32" i="1"/>
  <c r="G32" i="1"/>
  <c r="H32" i="1"/>
  <c r="I32" i="1"/>
  <c r="J32" i="1"/>
  <c r="C33" i="1"/>
  <c r="D33" i="1"/>
  <c r="E33" i="1"/>
  <c r="F33" i="1"/>
  <c r="G33" i="1"/>
  <c r="H33" i="1"/>
  <c r="I33" i="1"/>
  <c r="J33" i="1"/>
  <c r="C34" i="1"/>
  <c r="D34" i="1"/>
  <c r="E34" i="1"/>
  <c r="F34" i="1"/>
  <c r="G34" i="1"/>
  <c r="H34" i="1"/>
  <c r="I34" i="1"/>
  <c r="J34" i="1"/>
  <c r="C28" i="9"/>
  <c r="D28" i="9"/>
  <c r="C29" i="9"/>
  <c r="D29" i="9"/>
  <c r="C30" i="9"/>
  <c r="D30" i="9"/>
  <c r="C31" i="9"/>
  <c r="D31" i="9"/>
  <c r="C32" i="9"/>
  <c r="D32" i="9"/>
  <c r="C33" i="9"/>
  <c r="D33" i="9"/>
  <c r="C34" i="9"/>
  <c r="D34" i="9"/>
  <c r="C31" i="1" l="1"/>
  <c r="D31" i="1"/>
  <c r="E31" i="1"/>
  <c r="F31" i="1"/>
  <c r="G31" i="1"/>
  <c r="H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31" i="1" l="1"/>
  <c r="J31" i="1"/>
  <c r="I29" i="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41"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5" i="1" s="1"/>
  <c r="U9" i="1"/>
  <c r="C6" i="6" s="1"/>
  <c r="X6" i="1"/>
  <c r="T9" i="1"/>
  <c r="T6" i="1"/>
  <c r="L32" i="1" l="1"/>
  <c r="P32" i="1"/>
  <c r="K33" i="1"/>
  <c r="Q33" i="1"/>
  <c r="L34" i="1"/>
  <c r="K32" i="1"/>
  <c r="M34" i="1"/>
  <c r="N34" i="1" s="1"/>
  <c r="Q34" i="1"/>
  <c r="M32" i="1"/>
  <c r="N32" i="1" s="1"/>
  <c r="Q32" i="1"/>
  <c r="L33" i="1"/>
  <c r="P33" i="1"/>
  <c r="K34" i="1"/>
  <c r="P34" i="1"/>
  <c r="M33" i="1"/>
  <c r="N33" i="1" s="1"/>
  <c r="K31" i="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9" i="1"/>
  <c r="D5" i="1"/>
  <c r="D6" i="1"/>
  <c r="D7" i="1"/>
  <c r="D8" i="1"/>
  <c r="D9" i="1"/>
  <c r="D10" i="1"/>
  <c r="D11" i="1"/>
  <c r="D12" i="1"/>
  <c r="D13" i="1"/>
  <c r="D14" i="1"/>
  <c r="D15" i="1"/>
  <c r="E5" i="1"/>
  <c r="E6" i="1"/>
  <c r="E7" i="1"/>
  <c r="E8" i="1"/>
  <c r="E9" i="1"/>
  <c r="E10" i="1"/>
  <c r="E11" i="1"/>
  <c r="E12" i="1"/>
  <c r="E13" i="1"/>
  <c r="E14" i="1"/>
  <c r="E15" i="1"/>
  <c r="R33" i="1" l="1"/>
  <c r="S33" i="1"/>
  <c r="O33" i="1"/>
  <c r="R34" i="1"/>
  <c r="S34" i="1"/>
  <c r="R32" i="1"/>
  <c r="S32" i="1"/>
  <c r="O34" i="1"/>
  <c r="O32" i="1"/>
  <c r="O31" i="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7" i="1" s="1"/>
  <c r="C8" i="6" s="1"/>
  <c r="U37" i="1"/>
  <c r="V49"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51"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3" i="1" l="1"/>
  <c r="U18" i="1"/>
  <c r="V45"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<sst xmlns="http://schemas.openxmlformats.org/spreadsheetml/2006/main" count="163" uniqueCount="63">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</sst>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CCCCFF"/>
      <color rgb="FFCCCDFF"/>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trendline>
            <c:spPr>
              <a:ln w="38100" cap="rnd">
                <a:solidFill>
                  <a:schemeClr val="accent4">
                    <a:alpha val="50000"/>
                  </a:schemeClr>
                </a:solidFill>
                <a:prstDash val="sysDot"/>
              </a:ln>
              <a:effectLst/>
            </c:spPr>
            <c:trendlineType val="linear"/>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compute!$B$5:$B$10016</c:f>
              <c:numCache>
                <c:formatCode>General</c:formatCode>
                <c:ptCount val="10012"/>
                <c:pt idx="0">
                  <c:v>33</c:v>
                </c:pt>
                <c:pt idx="1">
                  <c:v>45</c:v>
                </c:pt>
                <c:pt idx="2">
                  <c:v>50</c:v>
                </c:pt>
                <c:pt idx="3">
                  <c:v>74</c:v>
                </c:pt>
                <c:pt idx="4">
                  <c:v>90</c:v>
                </c:pt>
                <c:pt idx="5">
                  <c:v>115</c:v>
                </c:pt>
                <c:pt idx="6">
                  <c:v>123</c:v>
                </c:pt>
                <c:pt idx="7">
                  <c:v>194</c:v>
                </c:pt>
                <c:pt idx="8">
                  <c:v>236</c:v>
                </c:pt>
                <c:pt idx="9">
                  <c:v>252</c:v>
                </c:pt>
                <c:pt idx="10">
                  <c:v>268</c:v>
                </c:pt>
                <c:pt idx="11">
                  <c:v>302</c:v>
                </c:pt>
                <c:pt idx="12">
                  <c:v>341</c:v>
                </c:pt>
                <c:pt idx="13">
                  <c:v>361</c:v>
                </c:pt>
                <c:pt idx="14">
                  <c:v>383</c:v>
                </c:pt>
                <c:pt idx="15">
                  <c:v>426</c:v>
                </c:pt>
                <c:pt idx="16">
                  <c:v>453</c:v>
                </c:pt>
                <c:pt idx="17">
                  <c:v>464</c:v>
                </c:pt>
                <c:pt idx="18">
                  <c:v>479</c:v>
                </c:pt>
                <c:pt idx="19">
                  <c:v>516</c:v>
                </c:pt>
                <c:pt idx="20">
                  <c:v>523</c:v>
                </c:pt>
                <c:pt idx="21">
                  <c:v>553</c:v>
                </c:pt>
                <c:pt idx="22">
                  <c:v>562</c:v>
                </c:pt>
                <c:pt idx="23">
                  <c:v>577</c:v>
                </c:pt>
                <c:pt idx="24">
                  <c:v>583</c:v>
                </c:pt>
                <c:pt idx="25">
                  <c:v>601</c:v>
                </c:pt>
                <c:pt idx="26">
                  <c:v>614</c:v>
                </c:pt>
                <c:pt idx="27">
                  <c:v>620</c:v>
                </c:pt>
                <c:pt idx="28">
                  <c:v>640</c:v>
                </c:pt>
                <c:pt idx="29">
                  <c:v>648</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compute!$D$6:$D$10016</c:f>
              <c:numCache>
                <c:formatCode>0.0%</c:formatCode>
                <c:ptCount val="10011"/>
                <c:pt idx="0">
                  <c:v>0.36363636363636365</c:v>
                </c:pt>
                <c:pt idx="1">
                  <c:v>0.1111111111111111</c:v>
                </c:pt>
                <c:pt idx="2">
                  <c:v>0.48</c:v>
                </c:pt>
                <c:pt idx="3">
                  <c:v>0.21621621621621623</c:v>
                </c:pt>
                <c:pt idx="4">
                  <c:v>0.27777777777777779</c:v>
                </c:pt>
                <c:pt idx="5">
                  <c:v>6.9565217391304349E-2</c:v>
                </c:pt>
                <c:pt idx="6">
                  <c:v>0.57723577235772361</c:v>
                </c:pt>
                <c:pt idx="7">
                  <c:v>0.21649484536082475</c:v>
                </c:pt>
                <c:pt idx="8">
                  <c:v>6.7796610169491525E-2</c:v>
                </c:pt>
                <c:pt idx="9">
                  <c:v>6.3492063492063489E-2</c:v>
                </c:pt>
                <c:pt idx="10">
                  <c:v>0.12686567164179105</c:v>
                </c:pt>
                <c:pt idx="11">
                  <c:v>0.12913907284768211</c:v>
                </c:pt>
                <c:pt idx="12">
                  <c:v>5.865102639296188E-2</c:v>
                </c:pt>
                <c:pt idx="13">
                  <c:v>6.0941828254847646E-2</c:v>
                </c:pt>
                <c:pt idx="14">
                  <c:v>0.1122715404699739</c:v>
                </c:pt>
                <c:pt idx="15">
                  <c:v>6.3380281690140844E-2</c:v>
                </c:pt>
                <c:pt idx="16">
                  <c:v>2.4282560706401765E-2</c:v>
                </c:pt>
                <c:pt idx="17">
                  <c:v>3.2327586206896554E-2</c:v>
                </c:pt>
                <c:pt idx="18">
                  <c:v>7.724425887265135E-2</c:v>
                </c:pt>
                <c:pt idx="19">
                  <c:v>1.3565891472868217E-2</c:v>
                </c:pt>
                <c:pt idx="20">
                  <c:v>5.736137667304015E-2</c:v>
                </c:pt>
                <c:pt idx="21">
                  <c:v>1.62748643761302E-2</c:v>
                </c:pt>
                <c:pt idx="22">
                  <c:v>2.6690391459074734E-2</c:v>
                </c:pt>
                <c:pt idx="23">
                  <c:v>1.0398613518197574E-2</c:v>
                </c:pt>
                <c:pt idx="24">
                  <c:v>3.0874785591766724E-2</c:v>
                </c:pt>
                <c:pt idx="25">
                  <c:v>2.1630615640599003E-2</c:v>
                </c:pt>
                <c:pt idx="26">
                  <c:v>9.7719869706840382E-3</c:v>
                </c:pt>
                <c:pt idx="27">
                  <c:v>3.2258064516129031E-2</c:v>
                </c:pt>
                <c:pt idx="28">
                  <c:v>1.2500000000000001E-2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42"/>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compute!$E$6:$E$10016</c:f>
              <c:numCache>
                <c:formatCode>0.0</c:formatCode>
                <c:ptCount val="10011"/>
                <c:pt idx="0">
                  <c:v>2.2348417429656711</c:v>
                </c:pt>
                <c:pt idx="1">
                  <c:v>6.5788134789605808</c:v>
                </c:pt>
                <c:pt idx="2">
                  <c:v>1.768042774417488</c:v>
                </c:pt>
                <c:pt idx="3">
                  <c:v>3.5410798640589243</c:v>
                </c:pt>
                <c:pt idx="4">
                  <c:v>2.8277587705434639</c:v>
                </c:pt>
                <c:pt idx="5">
                  <c:v>10.30667996266442</c:v>
                </c:pt>
                <c:pt idx="6">
                  <c:v>1.5211477485550517</c:v>
                </c:pt>
                <c:pt idx="7">
                  <c:v>3.5369407817893648</c:v>
                </c:pt>
                <c:pt idx="8">
                  <c:v>10.566705727632121</c:v>
                </c:pt>
                <c:pt idx="9">
                  <c:v>11.26008618531381</c:v>
                </c:pt>
                <c:pt idx="10">
                  <c:v>5.803306820384857</c:v>
                </c:pt>
                <c:pt idx="11">
                  <c:v>5.7070071702111713</c:v>
                </c:pt>
                <c:pt idx="12">
                  <c:v>12.161441008974148</c:v>
                </c:pt>
                <c:pt idx="13">
                  <c:v>11.717071844658532</c:v>
                </c:pt>
                <c:pt idx="14">
                  <c:v>6.5142744106049149</c:v>
                </c:pt>
                <c:pt idx="15">
                  <c:v>11.27934634412482</c:v>
                </c:pt>
                <c:pt idx="16">
                  <c:v>28.890248909722647</c:v>
                </c:pt>
                <c:pt idx="17">
                  <c:v>21.78608863977048</c:v>
                </c:pt>
                <c:pt idx="18">
                  <c:v>9.3157220501103151</c:v>
                </c:pt>
                <c:pt idx="19">
                  <c:v>51.440644573371593</c:v>
                </c:pt>
                <c:pt idx="20">
                  <c:v>12.427217825939763</c:v>
                </c:pt>
                <c:pt idx="21">
                  <c:v>42.935684516821048</c:v>
                </c:pt>
                <c:pt idx="22">
                  <c:v>26.314966490726817</c:v>
                </c:pt>
                <c:pt idx="23">
                  <c:v>67.003629909192583</c:v>
                </c:pt>
                <c:pt idx="24">
                  <c:v>22.795084211739212</c:v>
                </c:pt>
                <c:pt idx="25">
                  <c:v>32.390064835036874</c:v>
                </c:pt>
                <c:pt idx="26">
                  <c:v>71.278073356438</c:v>
                </c:pt>
                <c:pt idx="27">
                  <c:v>21.832302341719139</c:v>
                </c:pt>
                <c:pt idx="28">
                  <c:v>55.797630484028609</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compute!$G$5:$G$10016</c:f>
              <c:numCache>
                <c:formatCode>#,##0</c:formatCode>
                <c:ptCount val="10012"/>
                <c:pt idx="0">
                  <c:v>126.92307692307692</c:v>
                </c:pt>
                <c:pt idx="1">
                  <c:v>173.07692307692307</c:v>
                </c:pt>
                <c:pt idx="2">
                  <c:v>192.30769230769232</c:v>
                </c:pt>
                <c:pt idx="3">
                  <c:v>284.61538461538464</c:v>
                </c:pt>
                <c:pt idx="4">
                  <c:v>346.15384615384613</c:v>
                </c:pt>
                <c:pt idx="5">
                  <c:v>442.30769230769232</c:v>
                </c:pt>
                <c:pt idx="6">
                  <c:v>473.07692307692309</c:v>
                </c:pt>
                <c:pt idx="7">
                  <c:v>746.15384615384619</c:v>
                </c:pt>
                <c:pt idx="8">
                  <c:v>907.69230769230774</c:v>
                </c:pt>
                <c:pt idx="9">
                  <c:v>969.23076923076928</c:v>
                </c:pt>
                <c:pt idx="10">
                  <c:v>1030.7692307692307</c:v>
                </c:pt>
                <c:pt idx="11">
                  <c:v>1161.5384615384614</c:v>
                </c:pt>
                <c:pt idx="12">
                  <c:v>1311.5384615384614</c:v>
                </c:pt>
                <c:pt idx="13">
                  <c:v>1388.4615384615386</c:v>
                </c:pt>
                <c:pt idx="14">
                  <c:v>1473.0769230769231</c:v>
                </c:pt>
                <c:pt idx="15">
                  <c:v>1638.4615384615386</c:v>
                </c:pt>
                <c:pt idx="16">
                  <c:v>1742.3076923076924</c:v>
                </c:pt>
                <c:pt idx="17">
                  <c:v>1784.6153846153845</c:v>
                </c:pt>
                <c:pt idx="18">
                  <c:v>1842.3076923076924</c:v>
                </c:pt>
                <c:pt idx="19">
                  <c:v>1984.6153846153845</c:v>
                </c:pt>
                <c:pt idx="20">
                  <c:v>2011.5384615384614</c:v>
                </c:pt>
                <c:pt idx="21">
                  <c:v>2126.9230769230771</c:v>
                </c:pt>
                <c:pt idx="22">
                  <c:v>2161.5384615384614</c:v>
                </c:pt>
                <c:pt idx="23">
                  <c:v>2219.2307692307691</c:v>
                </c:pt>
                <c:pt idx="24">
                  <c:v>2242.3076923076924</c:v>
                </c:pt>
                <c:pt idx="25">
                  <c:v>2311.5384615384614</c:v>
                </c:pt>
                <c:pt idx="26">
                  <c:v>2361.5384615384614</c:v>
                </c:pt>
                <c:pt idx="27">
                  <c:v>2384.6153846153848</c:v>
                </c:pt>
                <c:pt idx="28">
                  <c:v>2461.5384615384614</c:v>
                </c:pt>
                <c:pt idx="29">
                  <c:v>2492.3076923076924</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compute!$I$5:$I$10016</c:f>
              <c:numCache>
                <c:formatCode>#,##0</c:formatCode>
                <c:ptCount val="10012"/>
                <c:pt idx="0">
                  <c:v>173.07692307692309</c:v>
                </c:pt>
                <c:pt idx="1">
                  <c:v>236.013986013986</c:v>
                </c:pt>
                <c:pt idx="2">
                  <c:v>262.23776223776224</c:v>
                </c:pt>
                <c:pt idx="3">
                  <c:v>388.11188811188811</c:v>
                </c:pt>
                <c:pt idx="4">
                  <c:v>472.027972027972</c:v>
                </c:pt>
                <c:pt idx="5">
                  <c:v>603.14685314685312</c:v>
                </c:pt>
                <c:pt idx="6">
                  <c:v>645.10489510489515</c:v>
                </c:pt>
                <c:pt idx="7">
                  <c:v>1017.4825174825176</c:v>
                </c:pt>
                <c:pt idx="8">
                  <c:v>1237.7622377622379</c:v>
                </c:pt>
                <c:pt idx="9">
                  <c:v>1321.6783216783217</c:v>
                </c:pt>
                <c:pt idx="10">
                  <c:v>1405.5944055944058</c:v>
                </c:pt>
                <c:pt idx="11">
                  <c:v>1583.9160839160841</c:v>
                </c:pt>
                <c:pt idx="12">
                  <c:v>1788.4615384615386</c:v>
                </c:pt>
                <c:pt idx="13">
                  <c:v>1893.3566433566434</c:v>
                </c:pt>
                <c:pt idx="14">
                  <c:v>2008.7412587412589</c:v>
                </c:pt>
                <c:pt idx="15">
                  <c:v>2234.265734265734</c:v>
                </c:pt>
                <c:pt idx="16">
                  <c:v>2375.8741258741256</c:v>
                </c:pt>
                <c:pt idx="17">
                  <c:v>2433.5664335664333</c:v>
                </c:pt>
                <c:pt idx="18">
                  <c:v>2512.2377622377626</c:v>
                </c:pt>
                <c:pt idx="19">
                  <c:v>2706.2937062937062</c:v>
                </c:pt>
                <c:pt idx="20">
                  <c:v>2743.0069930069935</c:v>
                </c:pt>
                <c:pt idx="21">
                  <c:v>2900.3496503496499</c:v>
                </c:pt>
                <c:pt idx="22">
                  <c:v>2947.5524475524476</c:v>
                </c:pt>
                <c:pt idx="23">
                  <c:v>3026.223776223776</c:v>
                </c:pt>
                <c:pt idx="24">
                  <c:v>3057.6923076923076</c:v>
                </c:pt>
                <c:pt idx="25">
                  <c:v>3152.0979020979025</c:v>
                </c:pt>
                <c:pt idx="26">
                  <c:v>3220.2797202797206</c:v>
                </c:pt>
                <c:pt idx="27">
                  <c:v>3251.7482517482513</c:v>
                </c:pt>
                <c:pt idx="28">
                  <c:v>3356.6433566433566</c:v>
                </c:pt>
                <c:pt idx="29">
                  <c:v>3398.6013986013986</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compute!$F$5:$F$10016</c:f>
              <c:numCache>
                <c:formatCode>#,##0</c:formatCode>
                <c:ptCount val="10012"/>
                <c:pt idx="0">
                  <c:v>275</c:v>
                </c:pt>
                <c:pt idx="1">
                  <c:v>375</c:v>
                </c:pt>
                <c:pt idx="2">
                  <c:v>416.66666666666669</c:v>
                </c:pt>
                <c:pt idx="3">
                  <c:v>616.66666666666663</c:v>
                </c:pt>
                <c:pt idx="4">
                  <c:v>750</c:v>
                </c:pt>
                <c:pt idx="5">
                  <c:v>958.33333333333337</c:v>
                </c:pt>
                <c:pt idx="6">
                  <c:v>1025</c:v>
                </c:pt>
                <c:pt idx="7">
                  <c:v>1616.6666666666667</c:v>
                </c:pt>
                <c:pt idx="8">
                  <c:v>1966.6666666666667</c:v>
                </c:pt>
                <c:pt idx="9">
                  <c:v>2100</c:v>
                </c:pt>
                <c:pt idx="10">
                  <c:v>2233.3333333333335</c:v>
                </c:pt>
                <c:pt idx="11">
                  <c:v>2516.6666666666665</c:v>
                </c:pt>
                <c:pt idx="12">
                  <c:v>2841.6666666666665</c:v>
                </c:pt>
                <c:pt idx="13">
                  <c:v>3008.3333333333335</c:v>
                </c:pt>
                <c:pt idx="14">
                  <c:v>3191.6666666666665</c:v>
                </c:pt>
                <c:pt idx="15">
                  <c:v>3550</c:v>
                </c:pt>
                <c:pt idx="16">
                  <c:v>3775</c:v>
                </c:pt>
                <c:pt idx="17">
                  <c:v>3866.6666666666665</c:v>
                </c:pt>
                <c:pt idx="18">
                  <c:v>3991.6666666666665</c:v>
                </c:pt>
                <c:pt idx="19">
                  <c:v>4300</c:v>
                </c:pt>
                <c:pt idx="20">
                  <c:v>4358.333333333333</c:v>
                </c:pt>
                <c:pt idx="21">
                  <c:v>4608.333333333333</c:v>
                </c:pt>
                <c:pt idx="22">
                  <c:v>4683.333333333333</c:v>
                </c:pt>
                <c:pt idx="23">
                  <c:v>4808.333333333333</c:v>
                </c:pt>
                <c:pt idx="24">
                  <c:v>4858.333333333333</c:v>
                </c:pt>
                <c:pt idx="25">
                  <c:v>5008.333333333333</c:v>
                </c:pt>
                <c:pt idx="26">
                  <c:v>5116.666666666667</c:v>
                </c:pt>
                <c:pt idx="27">
                  <c:v>5166.666666666667</c:v>
                </c:pt>
                <c:pt idx="28">
                  <c:v>5333.333333333333</c:v>
                </c:pt>
                <c:pt idx="29">
                  <c:v>5400</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compute!$C$5:$C$35</c:f>
              <c:numCache>
                <c:formatCode>0.0%</c:formatCode>
                <c:ptCount val="31"/>
                <c:pt idx="0">
                  <c:v>3.5979851283281364E-4</c:v>
                </c:pt>
                <c:pt idx="1">
                  <c:v>4.9063433568110953E-4</c:v>
                </c:pt>
                <c:pt idx="2">
                  <c:v>5.4514926186789942E-4</c:v>
                </c:pt>
                <c:pt idx="3">
                  <c:v>8.068209075644912E-4</c:v>
                </c:pt>
                <c:pt idx="4">
                  <c:v>9.8126867136221906E-4</c:v>
                </c:pt>
                <c:pt idx="5">
                  <c:v>1.2538433022961687E-3</c:v>
                </c:pt>
                <c:pt idx="6">
                  <c:v>1.3410671841950325E-3</c:v>
                </c:pt>
                <c:pt idx="7">
                  <c:v>2.1151791360474498E-3</c:v>
                </c:pt>
                <c:pt idx="8">
                  <c:v>2.5731045160164853E-3</c:v>
                </c:pt>
                <c:pt idx="9">
                  <c:v>2.7475522798142129E-3</c:v>
                </c:pt>
                <c:pt idx="10">
                  <c:v>2.922000043611941E-3</c:v>
                </c:pt>
                <c:pt idx="11">
                  <c:v>3.2927015416821127E-3</c:v>
                </c:pt>
                <c:pt idx="12">
                  <c:v>3.7179179659390742E-3</c:v>
                </c:pt>
                <c:pt idx="13">
                  <c:v>3.9359776706862342E-3</c:v>
                </c:pt>
                <c:pt idx="14">
                  <c:v>4.1758433459081097E-3</c:v>
                </c:pt>
                <c:pt idx="15">
                  <c:v>4.6446717111145027E-3</c:v>
                </c:pt>
                <c:pt idx="16">
                  <c:v>4.939052312523169E-3</c:v>
                </c:pt>
                <c:pt idx="17">
                  <c:v>5.0589851501341068E-3</c:v>
                </c:pt>
                <c:pt idx="18">
                  <c:v>5.2225299286944764E-3</c:v>
                </c:pt>
                <c:pt idx="19">
                  <c:v>5.6259403824767224E-3</c:v>
                </c:pt>
                <c:pt idx="20">
                  <c:v>5.7022612791382283E-3</c:v>
                </c:pt>
                <c:pt idx="21">
                  <c:v>6.0293508362589676E-3</c:v>
                </c:pt>
                <c:pt idx="22">
                  <c:v>6.1274777033951894E-3</c:v>
                </c:pt>
                <c:pt idx="23">
                  <c:v>6.2910224819555591E-3</c:v>
                </c:pt>
                <c:pt idx="24">
                  <c:v>6.3564403933797069E-3</c:v>
                </c:pt>
                <c:pt idx="25">
                  <c:v>6.5526941276521514E-3</c:v>
                </c:pt>
                <c:pt idx="26">
                  <c:v>6.6944329357378051E-3</c:v>
                </c:pt>
                <c:pt idx="27">
                  <c:v>6.759850847161953E-3</c:v>
                </c:pt>
                <c:pt idx="28">
                  <c:v>6.9779105519091125E-3</c:v>
                </c:pt>
                <c:pt idx="29">
                  <c:v>7.0651344338079763E-3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compute!$C$5:$C$35</c:f>
              <c:numCache>
                <c:formatCode>0.0%</c:formatCode>
                <c:ptCount val="31"/>
                <c:pt idx="0">
                  <c:v>3.5979851283281364E-4</c:v>
                </c:pt>
                <c:pt idx="1">
                  <c:v>4.9063433568110953E-4</c:v>
                </c:pt>
                <c:pt idx="2">
                  <c:v>5.4514926186789942E-4</c:v>
                </c:pt>
                <c:pt idx="3">
                  <c:v>8.068209075644912E-4</c:v>
                </c:pt>
                <c:pt idx="4">
                  <c:v>9.8126867136221906E-4</c:v>
                </c:pt>
                <c:pt idx="5">
                  <c:v>1.2538433022961687E-3</c:v>
                </c:pt>
                <c:pt idx="6">
                  <c:v>1.3410671841950325E-3</c:v>
                </c:pt>
                <c:pt idx="7">
                  <c:v>2.1151791360474498E-3</c:v>
                </c:pt>
                <c:pt idx="8">
                  <c:v>2.5731045160164853E-3</c:v>
                </c:pt>
                <c:pt idx="9">
                  <c:v>2.7475522798142129E-3</c:v>
                </c:pt>
                <c:pt idx="10">
                  <c:v>2.922000043611941E-3</c:v>
                </c:pt>
                <c:pt idx="11">
                  <c:v>3.2927015416821127E-3</c:v>
                </c:pt>
                <c:pt idx="12">
                  <c:v>3.7179179659390742E-3</c:v>
                </c:pt>
                <c:pt idx="13">
                  <c:v>3.9359776706862342E-3</c:v>
                </c:pt>
                <c:pt idx="14">
                  <c:v>4.1758433459081097E-3</c:v>
                </c:pt>
                <c:pt idx="15">
                  <c:v>4.6446717111145027E-3</c:v>
                </c:pt>
                <c:pt idx="16">
                  <c:v>4.939052312523169E-3</c:v>
                </c:pt>
                <c:pt idx="17">
                  <c:v>5.0589851501341068E-3</c:v>
                </c:pt>
                <c:pt idx="18">
                  <c:v>5.2225299286944764E-3</c:v>
                </c:pt>
                <c:pt idx="19">
                  <c:v>5.6259403824767224E-3</c:v>
                </c:pt>
                <c:pt idx="20">
                  <c:v>5.7022612791382283E-3</c:v>
                </c:pt>
                <c:pt idx="21">
                  <c:v>6.0293508362589676E-3</c:v>
                </c:pt>
                <c:pt idx="22">
                  <c:v>6.1274777033951894E-3</c:v>
                </c:pt>
                <c:pt idx="23">
                  <c:v>6.2910224819555591E-3</c:v>
                </c:pt>
                <c:pt idx="24">
                  <c:v>6.3564403933797069E-3</c:v>
                </c:pt>
                <c:pt idx="25">
                  <c:v>6.5526941276521514E-3</c:v>
                </c:pt>
                <c:pt idx="26">
                  <c:v>6.6944329357378051E-3</c:v>
                </c:pt>
                <c:pt idx="27">
                  <c:v>6.759850847161953E-3</c:v>
                </c:pt>
                <c:pt idx="28">
                  <c:v>6.9779105519091125E-3</c:v>
                </c:pt>
                <c:pt idx="29">
                  <c:v>7.0651344338079763E-3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compute!$L$5:$L$34</c:f>
              <c:numCache>
                <c:formatCode>0.0%</c:formatCode>
                <c:ptCount val="30"/>
                <c:pt idx="0">
                  <c:v>1.3838404339723601E-3</c:v>
                </c:pt>
                <c:pt idx="1">
                  <c:v>1.8870551372350364E-3</c:v>
                </c:pt>
                <c:pt idx="2">
                  <c:v>2.096727930261152E-3</c:v>
                </c:pt>
                <c:pt idx="3">
                  <c:v>3.1031573367865046E-3</c:v>
                </c:pt>
                <c:pt idx="4">
                  <c:v>3.7741102744700728E-3</c:v>
                </c:pt>
                <c:pt idx="5">
                  <c:v>4.8224742396006486E-3</c:v>
                </c:pt>
                <c:pt idx="6">
                  <c:v>5.1579507084424329E-3</c:v>
                </c:pt>
                <c:pt idx="7">
                  <c:v>8.1353043694132685E-3</c:v>
                </c:pt>
                <c:pt idx="8">
                  <c:v>9.8965558308326367E-3</c:v>
                </c:pt>
                <c:pt idx="9">
                  <c:v>1.0567508768516205E-2</c:v>
                </c:pt>
                <c:pt idx="10">
                  <c:v>1.1238461706199772E-2</c:v>
                </c:pt>
                <c:pt idx="11">
                  <c:v>1.2664236698777354E-2</c:v>
                </c:pt>
                <c:pt idx="12">
                  <c:v>1.4299684484381053E-2</c:v>
                </c:pt>
                <c:pt idx="13">
                  <c:v>1.5138375656485516E-2</c:v>
                </c:pt>
                <c:pt idx="14">
                  <c:v>1.6060935945800422E-2</c:v>
                </c:pt>
                <c:pt idx="15">
                  <c:v>1.7864121965825014E-2</c:v>
                </c:pt>
                <c:pt idx="16">
                  <c:v>1.8996355048166033E-2</c:v>
                </c:pt>
                <c:pt idx="17">
                  <c:v>1.9457635192823487E-2</c:v>
                </c:pt>
                <c:pt idx="18">
                  <c:v>2.0086653571901834E-2</c:v>
                </c:pt>
                <c:pt idx="19">
                  <c:v>2.1638232240295083E-2</c:v>
                </c:pt>
                <c:pt idx="20">
                  <c:v>2.1931774150531644E-2</c:v>
                </c:pt>
                <c:pt idx="21">
                  <c:v>2.3189810908688338E-2</c:v>
                </c:pt>
                <c:pt idx="22">
                  <c:v>2.3567221936135342E-2</c:v>
                </c:pt>
                <c:pt idx="23">
                  <c:v>2.4196240315213689E-2</c:v>
                </c:pt>
                <c:pt idx="24">
                  <c:v>2.4447847666845029E-2</c:v>
                </c:pt>
                <c:pt idx="25">
                  <c:v>2.5202669721739041E-2</c:v>
                </c:pt>
                <c:pt idx="26">
                  <c:v>2.5747818983606941E-2</c:v>
                </c:pt>
                <c:pt idx="27">
                  <c:v>2.5999426335238281E-2</c:v>
                </c:pt>
                <c:pt idx="28">
                  <c:v>2.6838117507342739E-2</c:v>
                </c:pt>
                <c:pt idx="29">
                  <c:v>2.7173593976184525E-2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compute!$N$5:$N$34</c:f>
              <c:numCache>
                <c:formatCode>0.00%</c:formatCode>
                <c:ptCount val="30"/>
                <c:pt idx="0">
                  <c:v>1.8870551372350366E-3</c:v>
                </c:pt>
                <c:pt idx="1">
                  <c:v>2.5732570053205043E-3</c:v>
                </c:pt>
                <c:pt idx="2">
                  <c:v>2.8591744503561156E-3</c:v>
                </c:pt>
                <c:pt idx="3">
                  <c:v>4.2315781865270513E-3</c:v>
                </c:pt>
                <c:pt idx="4">
                  <c:v>5.1465140106410085E-3</c:v>
                </c:pt>
                <c:pt idx="5">
                  <c:v>6.5761012358190665E-3</c:v>
                </c:pt>
                <c:pt idx="6">
                  <c:v>7.0335691478760464E-3</c:v>
                </c:pt>
                <c:pt idx="7">
                  <c:v>1.1093596867381731E-2</c:v>
                </c:pt>
                <c:pt idx="8">
                  <c:v>1.3495303405680868E-2</c:v>
                </c:pt>
                <c:pt idx="9">
                  <c:v>1.4410239229794824E-2</c:v>
                </c:pt>
                <c:pt idx="10">
                  <c:v>1.5325175053908782E-2</c:v>
                </c:pt>
                <c:pt idx="11">
                  <c:v>1.7269413680150943E-2</c:v>
                </c:pt>
                <c:pt idx="12">
                  <c:v>1.9499569751428709E-2</c:v>
                </c:pt>
                <c:pt idx="13">
                  <c:v>2.0643239531571156E-2</c:v>
                </c:pt>
                <c:pt idx="14">
                  <c:v>2.190127628972785E-2</c:v>
                </c:pt>
                <c:pt idx="15">
                  <c:v>2.4360166317034103E-2</c:v>
                </c:pt>
                <c:pt idx="16">
                  <c:v>2.5904120520226406E-2</c:v>
                </c:pt>
                <c:pt idx="17">
                  <c:v>2.6533138899304753E-2</c:v>
                </c:pt>
                <c:pt idx="18">
                  <c:v>2.7390891234411595E-2</c:v>
                </c:pt>
                <c:pt idx="19">
                  <c:v>2.9506680327675117E-2</c:v>
                </c:pt>
                <c:pt idx="20">
                  <c:v>2.9906964750724976E-2</c:v>
                </c:pt>
                <c:pt idx="21">
                  <c:v>3.1622469420938638E-2</c:v>
                </c:pt>
                <c:pt idx="22">
                  <c:v>3.2137120822002742E-2</c:v>
                </c:pt>
                <c:pt idx="23">
                  <c:v>3.2994873157109576E-2</c:v>
                </c:pt>
                <c:pt idx="24">
                  <c:v>3.3337974091152314E-2</c:v>
                </c:pt>
                <c:pt idx="25">
                  <c:v>3.4367276893280521E-2</c:v>
                </c:pt>
                <c:pt idx="26">
                  <c:v>3.5110662250373112E-2</c:v>
                </c:pt>
                <c:pt idx="27">
                  <c:v>3.5453763184415836E-2</c:v>
                </c:pt>
                <c:pt idx="28">
                  <c:v>3.6597432964558287E-2</c:v>
                </c:pt>
                <c:pt idx="29">
                  <c:v>3.7054900876615261E-2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4.0886194640092459E-3</c:v>
                </c:pt>
                <c:pt idx="2">
                  <c:v>4.5429105155658286E-3</c:v>
                </c:pt>
                <c:pt idx="3">
                  <c:v>6.7235075630374258E-3</c:v>
                </c:pt>
                <c:pt idx="4">
                  <c:v>8.1772389280184918E-3</c:v>
                </c:pt>
                <c:pt idx="5">
                  <c:v>1.0448694185801407E-2</c:v>
                </c:pt>
                <c:pt idx="6">
                  <c:v>1.1175559868291938E-2</c:v>
                </c:pt>
                <c:pt idx="7">
                  <c:v>1.7626492800395417E-2</c:v>
                </c:pt>
                <c:pt idx="8">
                  <c:v>2.1442537633470711E-2</c:v>
                </c:pt>
                <c:pt idx="9">
                  <c:v>2.2896268998451777E-2</c:v>
                </c:pt>
                <c:pt idx="10">
                  <c:v>2.4350000363432843E-2</c:v>
                </c:pt>
                <c:pt idx="11">
                  <c:v>2.7439179514017604E-2</c:v>
                </c:pt>
                <c:pt idx="12">
                  <c:v>3.0982649716158949E-2</c:v>
                </c:pt>
                <c:pt idx="13">
                  <c:v>3.2799813922385283E-2</c:v>
                </c:pt>
                <c:pt idx="14">
                  <c:v>3.4798694549234246E-2</c:v>
                </c:pt>
                <c:pt idx="15">
                  <c:v>3.8705597592620856E-2</c:v>
                </c:pt>
                <c:pt idx="16">
                  <c:v>4.1158769271026407E-2</c:v>
                </c:pt>
                <c:pt idx="17">
                  <c:v>4.2158209584450886E-2</c:v>
                </c:pt>
                <c:pt idx="18">
                  <c:v>4.3521082739120635E-2</c:v>
                </c:pt>
                <c:pt idx="19">
                  <c:v>4.6882836520639348E-2</c:v>
                </c:pt>
                <c:pt idx="20">
                  <c:v>4.7518843992818562E-2</c:v>
                </c:pt>
                <c:pt idx="21">
                  <c:v>5.0244590302158061E-2</c:v>
                </c:pt>
                <c:pt idx="22">
                  <c:v>5.1062314194959907E-2</c:v>
                </c:pt>
                <c:pt idx="23">
                  <c:v>5.2425187349629657E-2</c:v>
                </c:pt>
                <c:pt idx="24">
                  <c:v>5.2970336611497561E-2</c:v>
                </c:pt>
                <c:pt idx="25">
                  <c:v>5.4605784397101259E-2</c:v>
                </c:pt>
                <c:pt idx="26">
                  <c:v>5.5786941131148376E-2</c:v>
                </c:pt>
                <c:pt idx="27">
                  <c:v>5.6332090393016281E-2</c:v>
                </c:pt>
                <c:pt idx="28">
                  <c:v>5.8149254599242604E-2</c:v>
                </c:pt>
                <c:pt idx="29">
                  <c:v>5.8876120281733141E-2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4.0886194640092459E-3</c:v>
                </c:pt>
                <c:pt idx="2">
                  <c:v>4.5429105155658286E-3</c:v>
                </c:pt>
                <c:pt idx="3">
                  <c:v>6.7235075630374258E-3</c:v>
                </c:pt>
                <c:pt idx="4">
                  <c:v>8.1772389280184918E-3</c:v>
                </c:pt>
                <c:pt idx="5">
                  <c:v>1.0448694185801407E-2</c:v>
                </c:pt>
                <c:pt idx="6">
                  <c:v>1.1175559868291938E-2</c:v>
                </c:pt>
                <c:pt idx="7">
                  <c:v>1.7626492800395417E-2</c:v>
                </c:pt>
                <c:pt idx="8">
                  <c:v>2.1442537633470711E-2</c:v>
                </c:pt>
                <c:pt idx="9">
                  <c:v>2.2896268998451777E-2</c:v>
                </c:pt>
                <c:pt idx="10">
                  <c:v>2.4350000363432843E-2</c:v>
                </c:pt>
                <c:pt idx="11">
                  <c:v>2.7439179514017604E-2</c:v>
                </c:pt>
                <c:pt idx="12">
                  <c:v>3.0982649716158949E-2</c:v>
                </c:pt>
                <c:pt idx="13">
                  <c:v>3.2799813922385283E-2</c:v>
                </c:pt>
                <c:pt idx="14">
                  <c:v>3.4798694549234246E-2</c:v>
                </c:pt>
                <c:pt idx="15">
                  <c:v>3.8705597592620856E-2</c:v>
                </c:pt>
                <c:pt idx="16">
                  <c:v>4.1158769271026407E-2</c:v>
                </c:pt>
                <c:pt idx="17">
                  <c:v>4.2158209584450886E-2</c:v>
                </c:pt>
                <c:pt idx="18">
                  <c:v>4.3521082739120635E-2</c:v>
                </c:pt>
                <c:pt idx="19">
                  <c:v>4.6882836520639348E-2</c:v>
                </c:pt>
                <c:pt idx="20">
                  <c:v>4.7518843992818562E-2</c:v>
                </c:pt>
                <c:pt idx="21">
                  <c:v>5.0244590302158061E-2</c:v>
                </c:pt>
                <c:pt idx="22">
                  <c:v>5.1062314194959907E-2</c:v>
                </c:pt>
                <c:pt idx="23">
                  <c:v>5.2425187349629657E-2</c:v>
                </c:pt>
                <c:pt idx="24">
                  <c:v>5.2970336611497561E-2</c:v>
                </c:pt>
                <c:pt idx="25">
                  <c:v>5.4605784397101259E-2</c:v>
                </c:pt>
                <c:pt idx="26">
                  <c:v>5.5786941131148376E-2</c:v>
                </c:pt>
                <c:pt idx="27">
                  <c:v>5.6332090393016281E-2</c:v>
                </c:pt>
                <c:pt idx="28">
                  <c:v>5.8149254599242604E-2</c:v>
                </c:pt>
                <c:pt idx="29">
                  <c:v>5.8876120281733141E-2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compute!$Q$5:$Q$10016</c:f>
              <c:numCache>
                <c:formatCode>0</c:formatCode>
                <c:ptCount val="10012"/>
                <c:pt idx="0">
                  <c:v>397.04761904761904</c:v>
                </c:pt>
                <c:pt idx="1">
                  <c:v>291.16825396825396</c:v>
                </c:pt>
                <c:pt idx="2">
                  <c:v>262.05142857142857</c:v>
                </c:pt>
                <c:pt idx="3">
                  <c:v>177.06177606177607</c:v>
                </c:pt>
                <c:pt idx="4">
                  <c:v>145.58412698412698</c:v>
                </c:pt>
                <c:pt idx="5">
                  <c:v>113.93540372670807</c:v>
                </c:pt>
                <c:pt idx="6">
                  <c:v>106.52497096399536</c:v>
                </c:pt>
                <c:pt idx="7">
                  <c:v>67.539027982326957</c:v>
                </c:pt>
                <c:pt idx="8">
                  <c:v>55.519370460048428</c:v>
                </c:pt>
                <c:pt idx="9">
                  <c:v>51.994331065759638</c:v>
                </c:pt>
                <c:pt idx="10">
                  <c:v>48.890191897654582</c:v>
                </c:pt>
                <c:pt idx="11">
                  <c:v>43.385998107852416</c:v>
                </c:pt>
                <c:pt idx="12">
                  <c:v>38.423963133640555</c:v>
                </c:pt>
                <c:pt idx="13">
                  <c:v>36.295211713494261</c:v>
                </c:pt>
                <c:pt idx="14">
                  <c:v>34.210369265199553</c:v>
                </c:pt>
                <c:pt idx="15">
                  <c:v>30.757209926224011</c:v>
                </c:pt>
                <c:pt idx="16">
                  <c:v>28.923998738568276</c:v>
                </c:pt>
                <c:pt idx="17">
                  <c:v>28.238300492610836</c:v>
                </c:pt>
                <c:pt idx="18">
                  <c:v>27.354011333134505</c:v>
                </c:pt>
                <c:pt idx="19">
                  <c:v>25.392580287929125</c:v>
                </c:pt>
                <c:pt idx="20">
                  <c:v>25.052717836656651</c:v>
                </c:pt>
                <c:pt idx="21">
                  <c:v>23.693619219839835</c:v>
                </c:pt>
                <c:pt idx="22">
                  <c:v>23.314184036603965</c:v>
                </c:pt>
                <c:pt idx="23">
                  <c:v>22.708096063382026</c:v>
                </c:pt>
                <c:pt idx="24">
                  <c:v>22.474393530997304</c:v>
                </c:pt>
                <c:pt idx="25">
                  <c:v>21.801283574994059</c:v>
                </c:pt>
                <c:pt idx="26">
                  <c:v>21.339692880409494</c:v>
                </c:pt>
                <c:pt idx="27">
                  <c:v>21.133179723502305</c:v>
                </c:pt>
                <c:pt idx="28">
                  <c:v>20.472767857142856</c:v>
                </c:pt>
                <c:pt idx="29">
                  <c:v>20.220017636684304</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compute!$R$5:$R$10016</c:f>
              <c:numCache>
                <c:formatCode>0</c:formatCode>
                <c:ptCount val="10012"/>
                <c:pt idx="0">
                  <c:v>158.81904761904764</c:v>
                </c:pt>
                <c:pt idx="1">
                  <c:v>116.46730158730162</c:v>
                </c:pt>
                <c:pt idx="2">
                  <c:v>104.82057142857144</c:v>
                </c:pt>
                <c:pt idx="3">
                  <c:v>70.824710424710418</c:v>
                </c:pt>
                <c:pt idx="4">
                  <c:v>58.23365079365081</c:v>
                </c:pt>
                <c:pt idx="5">
                  <c:v>45.574161490683224</c:v>
                </c:pt>
                <c:pt idx="6">
                  <c:v>42.609988385598129</c:v>
                </c:pt>
                <c:pt idx="7">
                  <c:v>27.015611192930777</c:v>
                </c:pt>
                <c:pt idx="8">
                  <c:v>22.207748184019373</c:v>
                </c:pt>
                <c:pt idx="9">
                  <c:v>20.797732426303853</c:v>
                </c:pt>
                <c:pt idx="10">
                  <c:v>19.556076759061831</c:v>
                </c:pt>
                <c:pt idx="11">
                  <c:v>17.354399243140961</c:v>
                </c:pt>
                <c:pt idx="12">
                  <c:v>15.369585253456222</c:v>
                </c:pt>
                <c:pt idx="13">
                  <c:v>14.518084685397703</c:v>
                </c:pt>
                <c:pt idx="14">
                  <c:v>13.68414770607982</c:v>
                </c:pt>
                <c:pt idx="15">
                  <c:v>12.302883970489606</c:v>
                </c:pt>
                <c:pt idx="16">
                  <c:v>11.569599495427308</c:v>
                </c:pt>
                <c:pt idx="17">
                  <c:v>11.295320197044337</c:v>
                </c:pt>
                <c:pt idx="18">
                  <c:v>10.941604533253805</c:v>
                </c:pt>
                <c:pt idx="19">
                  <c:v>10.157032115171649</c:v>
                </c:pt>
                <c:pt idx="20">
                  <c:v>10.021087134662661</c:v>
                </c:pt>
                <c:pt idx="21">
                  <c:v>9.477447687935932</c:v>
                </c:pt>
                <c:pt idx="22">
                  <c:v>9.325673614641584</c:v>
                </c:pt>
                <c:pt idx="23">
                  <c:v>9.0832384253528105</c:v>
                </c:pt>
                <c:pt idx="24">
                  <c:v>8.989757412398923</c:v>
                </c:pt>
                <c:pt idx="25">
                  <c:v>8.7205134299976201</c:v>
                </c:pt>
                <c:pt idx="26">
                  <c:v>8.5358771521637955</c:v>
                </c:pt>
                <c:pt idx="27">
                  <c:v>8.45327188940092</c:v>
                </c:pt>
                <c:pt idx="28">
                  <c:v>8.1891071428571429</c:v>
                </c:pt>
                <c:pt idx="29">
                  <c:v>8.0880070546737208</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delete val="1"/>
              <c:extLst>
                <c:ext xmlns:c15="http://schemas.microsoft.com/office/drawing/2012/chart" uri="{CE6537A1-D6FC-4f65-9D91-7224C49458BB}"/>
                <c:ext xmlns:c16="http://schemas.microsoft.com/office/drawing/2014/chart" uri="{C3380CC4-5D6E-409C-BE32-E72D297353CC}">
                  <c16:uniqueId val="{00000002-D055-7746-9B18-46D322BD3F47}"/>
                </c:ext>
              </c:extLst>
            </c:dLbl>
            <c:dLbl>
              <c:idx val="23"/>
              <c:delete val="1"/>
              <c:extLst>
                <c:ext xmlns:c15="http://schemas.microsoft.com/office/drawing/2012/chart" uri="{CE6537A1-D6FC-4f65-9D91-7224C49458BB}"/>
                <c:ext xmlns:c16="http://schemas.microsoft.com/office/drawing/2014/chart" uri="{C3380CC4-5D6E-409C-BE32-E72D297353CC}">
                  <c16:uniqueId val="{00000000-3536-EB40-934A-4F2240DF0249}"/>
                </c:ext>
              </c:extLst>
            </c:dLbl>
            <c:dLbl>
              <c:idx val="24"/>
              <c:delete val="1"/>
              <c:extLst>
                <c:ext xmlns:c15="http://schemas.microsoft.com/office/drawing/2012/chart" uri="{CE6537A1-D6FC-4f65-9D91-7224C49458BB}"/>
                <c:ext xmlns:c16="http://schemas.microsoft.com/office/drawing/2014/chart" uri="{C3380CC4-5D6E-409C-BE32-E72D297353CC}">
                  <c16:uniqueId val="{00000001-3536-EB40-934A-4F2240DF0249}"/>
                </c:ext>
              </c:extLst>
            </c:dLbl>
            <c:dLbl>
              <c:idx val="25"/>
              <c:delete val="1"/>
              <c:extLst>
                <c:ext xmlns:c15="http://schemas.microsoft.com/office/drawing/2012/chart" uri="{CE6537A1-D6FC-4f65-9D91-7224C49458BB}"/>
                <c:ext xmlns:c16="http://schemas.microsoft.com/office/drawing/2014/chart" uri="{C3380CC4-5D6E-409C-BE32-E72D297353CC}">
                  <c16:uniqueId val="{00000002-3536-EB40-934A-4F2240DF0249}"/>
                </c:ext>
              </c:extLst>
            </c:dLbl>
            <c:dLbl>
              <c:idx val="26"/>
              <c:delete val="1"/>
              <c:extLst>
                <c:ext xmlns:c15="http://schemas.microsoft.com/office/drawing/2012/chart" uri="{CE6537A1-D6FC-4f65-9D91-7224C49458BB}"/>
                <c:ext xmlns:c16="http://schemas.microsoft.com/office/drawing/2014/chart" uri="{C3380CC4-5D6E-409C-BE32-E72D297353CC}">
                  <c16:uniqueId val="{00000003-3536-EB40-934A-4F2240DF0249}"/>
                </c:ext>
              </c:extLst>
            </c:dLbl>
            <c:dLbl>
              <c:idx val="27"/>
              <c:delete val="1"/>
              <c:extLst>
                <c:ext xmlns:c15="http://schemas.microsoft.com/office/drawing/2012/chart" uri="{CE6537A1-D6FC-4f65-9D91-7224C49458BB}"/>
                <c:ext xmlns:c16="http://schemas.microsoft.com/office/drawing/2014/chart" uri="{C3380CC4-5D6E-409C-BE32-E72D297353CC}">
                  <c16:uniqueId val="{00000004-3536-EB40-934A-4F2240DF0249}"/>
                </c:ext>
              </c:extLst>
            </c:dLbl>
            <c:dLbl>
              <c:idx val="28"/>
              <c:delete val="1"/>
              <c:extLst>
                <c:ext xmlns:c15="http://schemas.microsoft.com/office/drawing/2012/chart" uri="{CE6537A1-D6FC-4f65-9D91-7224C49458BB}"/>
                <c:ext xmlns:c16="http://schemas.microsoft.com/office/drawing/2014/chart" uri="{C3380CC4-5D6E-409C-BE32-E72D297353CC}">
                  <c16:uniqueId val="{00000006-3536-EB40-934A-4F2240DF0249}"/>
                </c:ext>
              </c:extLst>
            </c:dLbl>
            <c:dLbl>
              <c:idx val="29"/>
              <c:layout>
                <c:manualLayout>
                  <c:x val="-6.6214014282520967E-2"/>
                  <c:y val="-5.76302524590513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36-EB40-934A-4F2240DF0249}"/>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compute!$S$5:$S$10016</c:f>
              <c:numCache>
                <c:formatCode>0</c:formatCode>
                <c:ptCount val="10012"/>
                <c:pt idx="0">
                  <c:v>476.45714285714286</c:v>
                </c:pt>
                <c:pt idx="1">
                  <c:v>349.4019047619048</c:v>
                </c:pt>
                <c:pt idx="2">
                  <c:v>314.46171428571427</c:v>
                </c:pt>
                <c:pt idx="3">
                  <c:v>212.47413127413128</c:v>
                </c:pt>
                <c:pt idx="4">
                  <c:v>174.7009523809524</c:v>
                </c:pt>
                <c:pt idx="5">
                  <c:v>136.7224844720497</c:v>
                </c:pt>
                <c:pt idx="6">
                  <c:v>127.82996515679443</c:v>
                </c:pt>
                <c:pt idx="7">
                  <c:v>81.046833578792345</c:v>
                </c:pt>
                <c:pt idx="8">
                  <c:v>66.623244552058111</c:v>
                </c:pt>
                <c:pt idx="9">
                  <c:v>62.393197278911565</c:v>
                </c:pt>
                <c:pt idx="10">
                  <c:v>58.668230277185501</c:v>
                </c:pt>
                <c:pt idx="11">
                  <c:v>52.063197729422896</c:v>
                </c:pt>
                <c:pt idx="12">
                  <c:v>46.108755760368666</c:v>
                </c:pt>
                <c:pt idx="13">
                  <c:v>43.554254056193116</c:v>
                </c:pt>
                <c:pt idx="14">
                  <c:v>41.052443118239466</c:v>
                </c:pt>
                <c:pt idx="15">
                  <c:v>36.908651911468816</c:v>
                </c:pt>
                <c:pt idx="16">
                  <c:v>34.708798486281928</c:v>
                </c:pt>
                <c:pt idx="17">
                  <c:v>33.885960591133006</c:v>
                </c:pt>
                <c:pt idx="18">
                  <c:v>32.824813599761406</c:v>
                </c:pt>
                <c:pt idx="19">
                  <c:v>30.471096345514951</c:v>
                </c:pt>
                <c:pt idx="20">
                  <c:v>30.06326140398798</c:v>
                </c:pt>
                <c:pt idx="21">
                  <c:v>28.432343063807799</c:v>
                </c:pt>
                <c:pt idx="22">
                  <c:v>27.977020843924755</c:v>
                </c:pt>
                <c:pt idx="23">
                  <c:v>27.249715276058431</c:v>
                </c:pt>
                <c:pt idx="24">
                  <c:v>26.969272237196765</c:v>
                </c:pt>
                <c:pt idx="25">
                  <c:v>26.161540289992871</c:v>
                </c:pt>
                <c:pt idx="26">
                  <c:v>25.60763145649139</c:v>
                </c:pt>
                <c:pt idx="27">
                  <c:v>25.359815668202764</c:v>
                </c:pt>
                <c:pt idx="28">
                  <c:v>24.567321428571425</c:v>
                </c:pt>
                <c:pt idx="29">
                  <c:v>24.264021164021166</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5">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0.12542</cdr:x>
      <cdr:y>0.17797</cdr:y>
    </cdr:from>
    <cdr:to>
      <cdr:x>0.58983</cdr:x>
      <cdr:y>0.41525</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939790" y="1333504"/>
          <a:ext cx="3479810" cy="1777996"/>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dr:relSizeAnchor xmlns:cdr="http://schemas.openxmlformats.org/drawingml/2006/chartDrawing">
    <cdr:from>
      <cdr:x>0.00141</cdr:x>
      <cdr:y>0.94925</cdr:y>
    </cdr:from>
    <cdr:to>
      <cdr:x>1</cdr:x>
      <cdr:y>1</cdr:y>
    </cdr:to>
    <cdr:sp macro="" textlink="">
      <cdr:nvSpPr>
        <cdr:cNvPr id="35" name="Rectangle 34">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36" name="Picture 35">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37" name="Picture 36">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38"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39"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0" name="Picture 39">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0.46441</cdr:x>
      <cdr:y>0.44407</cdr:y>
    </cdr:from>
    <cdr:to>
      <cdr:x>0.87458</cdr:x>
      <cdr:y>0.58305</cdr:y>
    </cdr:to>
    <cdr:sp macro="" textlink="">
      <cdr:nvSpPr>
        <cdr:cNvPr id="3" name="TextBox 2">
          <a:extLst xmlns:a="http://schemas.openxmlformats.org/drawingml/2006/main">
            <a:ext uri="{FF2B5EF4-FFF2-40B4-BE49-F238E27FC236}">
              <a16:creationId xmlns:a16="http://schemas.microsoft.com/office/drawing/2014/main" id="{D9A1EF39-6F89-0A47-A27A-3D76620F136E}"/>
            </a:ext>
          </a:extLst>
        </cdr:cNvPr>
        <cdr:cNvSpPr txBox="1"/>
      </cdr:nvSpPr>
      <cdr:spPr>
        <a:xfrm xmlns:a="http://schemas.openxmlformats.org/drawingml/2006/main">
          <a:off x="3479800" y="3327400"/>
          <a:ext cx="3073400" cy="1041400"/>
        </a:xfrm>
        <a:prstGeom xmlns:a="http://schemas.openxmlformats.org/drawingml/2006/main" prst="rect">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These numbers may look low, but don't get complacent</a:t>
          </a:r>
          <a:r>
            <a:rPr lang="en-US" sz="1800" baseline="0">
              <a:solidFill>
                <a:schemeClr val="bg1"/>
              </a:solidFill>
              <a:latin typeface="Helvetica" pitchFamily="2" charset="0"/>
            </a:rPr>
            <a:t> because they're not trending toward zero.</a:t>
          </a:r>
          <a:endParaRPr lang="en-US" sz="1800">
            <a:solidFill>
              <a:schemeClr val="bg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0.23898</cdr:x>
      <cdr:y>0.21017</cdr:y>
    </cdr:from>
    <cdr:to>
      <cdr:x>0.56441</cdr:x>
      <cdr:y>0.38984</cdr:y>
    </cdr:to>
    <cdr:sp macro="" textlink="compute!$V$41">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790680" y="1574768"/>
          <a:ext cx="2438447" cy="1346268"/>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5">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18"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6" name="Picture 25">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0.26101</cdr:x>
      <cdr:y>0.47289</cdr:y>
    </cdr:from>
    <cdr:to>
      <cdr:x>0.49152</cdr:x>
      <cdr:y>0.55764</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955773" y="3543330"/>
          <a:ext cx="1727212" cy="63503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0.59492</cdr:x>
      <cdr:y>0.61694</cdr:y>
    </cdr:from>
    <cdr:to>
      <cdr:x>0.93221</cdr:x>
      <cdr:y>0.72711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457743" y="462275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40" name="Rectangle 39">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41" name="Picture 40">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42" name="Picture 4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4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4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5" name="Picture 44">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0.13559</cdr:x>
      <cdr:y>0.1678</cdr:y>
    </cdr:from>
    <cdr:to>
      <cdr:x>0.58136</cdr:x>
      <cdr:y>0.37457</cdr:y>
    </cdr:to>
    <cdr:sp macro="" textlink="compute!$V$43">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015982" y="1257336"/>
          <a:ext cx="3340155" cy="1549327"/>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5.9%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pPr algn="ctr"/>
            <a:t>April 21,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6"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7"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9" name="Picture 28">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22" name="Picture 2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8" name="Picture 27">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0.35593</cdr:x>
      <cdr:y>0.31162</cdr:y>
    </cdr:from>
    <cdr:to>
      <cdr:x>0.85932</cdr:x>
      <cdr:y>0.45932</cdr:y>
    </cdr:to>
    <cdr:sp macro="" textlink="compute!$V$45">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666950" y="2334974"/>
          <a:ext cx="3771950" cy="1106726"/>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24.</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5">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3"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4" name="Picture 23">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5">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xdr:from>
      <xdr:col>0</xdr:col>
      <xdr:colOff>0</xdr:colOff>
      <xdr:row>18</xdr:row>
      <xdr:rowOff>11442</xdr:rowOff>
    </xdr:from>
    <xdr:to>
      <xdr:col>8</xdr:col>
      <xdr:colOff>192635</xdr:colOff>
      <xdr:row>19</xdr:row>
      <xdr:rowOff>8424</xdr:rowOff>
    </xdr:to>
    <xdr:sp macro="" textlink="">
      <xdr:nvSpPr>
        <xdr:cNvPr id="10" name="Rectangle 9">
          <a:extLst>
            <a:ext uri="{FF2B5EF4-FFF2-40B4-BE49-F238E27FC236}">
              <a16:creationId xmlns:a16="http://schemas.microsoft.com/office/drawing/2014/main" id="{C22568FA-7A10-8B48-8604-354E123DFD15}"/>
            </a:ext>
          </a:extLst>
        </xdr:cNvPr>
        <xdr:cNvSpPr/>
      </xdr:nvSpPr>
      <xdr:spPr>
        <a:xfrm>
          <a:off x="0" y="7122298"/>
          <a:ext cx="7475112" cy="380270"/>
        </a:xfrm>
        <a:prstGeom prst="rect">
          <a:avLst/>
        </a:prstGeom>
        <a:solidFill>
          <a:srgbClr val="337CBD"/>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clientData/>
  </xdr:twoCellAnchor>
  <xdr:twoCellAnchor editAs="oneCell">
    <xdr:from>
      <xdr:col>6</xdr:col>
      <xdr:colOff>2765194</xdr:colOff>
      <xdr:row>18</xdr:row>
      <xdr:rowOff>86147</xdr:rowOff>
    </xdr:from>
    <xdr:to>
      <xdr:col>6</xdr:col>
      <xdr:colOff>2990808</xdr:colOff>
      <xdr:row>18</xdr:row>
      <xdr:rowOff>306966</xdr:rowOff>
    </xdr:to>
    <xdr:pic>
      <xdr:nvPicPr>
        <xdr:cNvPr id="15" name="Picture 14">
          <a:extLst>
            <a:ext uri="{FF2B5EF4-FFF2-40B4-BE49-F238E27FC236}">
              <a16:creationId xmlns:a16="http://schemas.microsoft.com/office/drawing/2014/main" id="{0F6EEC7E-1E73-0541-99B0-5919D900E3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98302" y="7197003"/>
          <a:ext cx="225614" cy="220819"/>
        </a:xfrm>
        <a:prstGeom prst="rect">
          <a:avLst/>
        </a:prstGeom>
      </xdr:spPr>
    </xdr:pic>
    <xdr:clientData/>
  </xdr:twoCellAnchor>
  <xdr:twoCellAnchor editAs="oneCell">
    <xdr:from>
      <xdr:col>6</xdr:col>
      <xdr:colOff>3009541</xdr:colOff>
      <xdr:row>18</xdr:row>
      <xdr:rowOff>57150</xdr:rowOff>
    </xdr:from>
    <xdr:to>
      <xdr:col>8</xdr:col>
      <xdr:colOff>43899</xdr:colOff>
      <xdr:row>18</xdr:row>
      <xdr:rowOff>338512</xdr:rowOff>
    </xdr:to>
    <xdr:pic>
      <xdr:nvPicPr>
        <xdr:cNvPr id="16" name="Picture 15">
          <a:extLst>
            <a:ext uri="{FF2B5EF4-FFF2-40B4-BE49-F238E27FC236}">
              <a16:creationId xmlns:a16="http://schemas.microsoft.com/office/drawing/2014/main" id="{A872D5D8-010A-AB48-A4D5-0CE4EBBE4A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42649" y="7168006"/>
          <a:ext cx="283727" cy="281362"/>
        </a:xfrm>
        <a:prstGeom prst="rect">
          <a:avLst/>
        </a:prstGeom>
      </xdr:spPr>
    </xdr:pic>
    <xdr:clientData/>
  </xdr:twoCellAnchor>
  <xdr:twoCellAnchor>
    <xdr:from>
      <xdr:col>6</xdr:col>
      <xdr:colOff>233220</xdr:colOff>
      <xdr:row>18</xdr:row>
      <xdr:rowOff>76107</xdr:rowOff>
    </xdr:from>
    <xdr:to>
      <xdr:col>6</xdr:col>
      <xdr:colOff>2683296</xdr:colOff>
      <xdr:row>18</xdr:row>
      <xdr:rowOff>381521</xdr:rowOff>
    </xdr:to>
    <xdr:sp macro="" textlink="">
      <xdr:nvSpPr>
        <xdr:cNvPr id="17" name="TextBox 3">
          <a:extLst>
            <a:ext uri="{FF2B5EF4-FFF2-40B4-BE49-F238E27FC236}">
              <a16:creationId xmlns:a16="http://schemas.microsoft.com/office/drawing/2014/main" id="{A29125F4-D1F4-B247-B8F3-148D146D3EB1}"/>
            </a:ext>
          </a:extLst>
        </xdr:cNvPr>
        <xdr:cNvSpPr txBox="1"/>
      </xdr:nvSpPr>
      <xdr:spPr>
        <a:xfrm>
          <a:off x="4266328" y="7186963"/>
          <a:ext cx="2450076" cy="305414"/>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xdr:txBody>
    </xdr:sp>
    <xdr:clientData/>
  </xdr:twoCellAnchor>
  <xdr:twoCellAnchor>
    <xdr:from>
      <xdr:col>2</xdr:col>
      <xdr:colOff>1533469</xdr:colOff>
      <xdr:row>18</xdr:row>
      <xdr:rowOff>76031</xdr:rowOff>
    </xdr:from>
    <xdr:to>
      <xdr:col>6</xdr:col>
      <xdr:colOff>233219</xdr:colOff>
      <xdr:row>18</xdr:row>
      <xdr:rowOff>366611</xdr:rowOff>
    </xdr:to>
    <xdr:sp macro="" textlink="">
      <xdr:nvSpPr>
        <xdr:cNvPr id="18" name="TextBox 1">
          <a:extLst>
            <a:ext uri="{FF2B5EF4-FFF2-40B4-BE49-F238E27FC236}">
              <a16:creationId xmlns:a16="http://schemas.microsoft.com/office/drawing/2014/main" id="{8BC1877F-1D3A-D344-B98F-F9C9C795F40C}"/>
            </a:ext>
          </a:extLst>
        </xdr:cNvPr>
        <xdr:cNvSpPr txBox="1"/>
      </xdr:nvSpPr>
      <xdr:spPr>
        <a:xfrm>
          <a:off x="1888154" y="7186887"/>
          <a:ext cx="2378173" cy="290580"/>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xdr:txBody>
    </xdr:sp>
    <xdr:clientData/>
  </xdr:twoCellAnchor>
  <xdr:twoCellAnchor editAs="oneCell">
    <xdr:from>
      <xdr:col>1</xdr:col>
      <xdr:colOff>10763</xdr:colOff>
      <xdr:row>18</xdr:row>
      <xdr:rowOff>87045</xdr:rowOff>
    </xdr:from>
    <xdr:to>
      <xdr:col>2</xdr:col>
      <xdr:colOff>1400984</xdr:colOff>
      <xdr:row>18</xdr:row>
      <xdr:rowOff>299623</xdr:rowOff>
    </xdr:to>
    <xdr:pic>
      <xdr:nvPicPr>
        <xdr:cNvPr id="21" name="Picture 20">
          <a:extLst>
            <a:ext uri="{FF2B5EF4-FFF2-40B4-BE49-F238E27FC236}">
              <a16:creationId xmlns:a16="http://schemas.microsoft.com/office/drawing/2014/main" id="{2912BAF4-DC51-CB41-9D9C-B467385EAB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28150" y="7197901"/>
          <a:ext cx="1527519" cy="21257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4" totalsRowShown="0" headerRowDxfId="23" dataDxfId="22" headerRowCellStyle="Heading 3">
  <autoFilter ref="A4:V34"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1" dataCellStyle="Percent">
      <calculatedColumnFormula>Table2[[#This Row],[cases]]/$B$2</calculatedColumnFormula>
    </tableColumn>
    <tableColumn id="20" xr3:uid="{583731BA-1864-EF40-AEF7-A80834F00231}" name="% increase" dataDxfId="20">
      <calculatedColumnFormula>(Table2[[#This Row],[cases]]-B4)/B4</calculatedColumnFormula>
    </tableColumn>
    <tableColumn id="19" xr3:uid="{C3C6B808-3CB5-8B45-A4B9-4A6CDF5E27BE}" name="doubling time (days)" dataDxfId="19">
      <calculatedColumnFormula>(LN(2)/LN(B5/B4))</calculatedColumnFormula>
    </tableColumn>
    <tableColumn id="22" xr3:uid="{90069003-40F0-4A42-B540-85A67A611F36}" name="estimated infections" dataDxfId="18">
      <calculatedColumnFormula>Table2[[#This Row],[cases]]*100/$T$19</calculatedColumnFormula>
    </tableColumn>
    <tableColumn id="8" xr3:uid="{C899EFA6-17F8-B447-A1DB-6D7083A2F531}" name="infection count, low end of estimate range" dataDxfId="17">
      <calculatedColumnFormula>Table2[[#This Row],[cases]]*100/$T$13</calculatedColumnFormula>
    </tableColumn>
    <tableColumn id="9" xr3:uid="{9DA1C9E0-36F7-DE43-8448-4D8CE8B57839}" name="infection count, high end of estimate range" dataDxfId="16">
      <calculatedColumnFormula>Table2[[#This Row],[cases]]*100/$T$16</calculatedColumnFormula>
    </tableColumn>
    <tableColumn id="11" xr3:uid="{DF5E18EF-399D-9948-A8F2-9862C2232353}" name="infection count difference" dataDxfId="15">
      <calculatedColumnFormula>Table2[[#This Row],[infection count, high end of estimate range]]-Table2[[#This Row],[infection count, low end of estimate range]]</calculatedColumnFormula>
    </tableColumn>
    <tableColumn id="10" xr3:uid="{F5EF272D-BCCD-9A42-A437-406EF6A3644D}" name="average infection count" dataDxfId="14">
      <calculatedColumnFormula>(Table2[[#This Row],[infection count, low end of estimate range]]+Table2[[#This Row],[infection count, high end of estimate range]])/2</calculatedColumnFormula>
    </tableColumn>
    <tableColumn id="21" xr3:uid="{B5888CB3-C5F1-5841-B1D0-5A7380A5C5EF}" name="estimated infections as percentage" dataDxfId="13">
      <calculatedColumnFormula>Table2[[#This Row],[estimated infections]]/$T$6</calculatedColumnFormula>
    </tableColumn>
    <tableColumn id="12" xr3:uid="{8AB0CE19-F28B-1B41-B08C-6F528E4C628D}" name="infection percentage, low end of estimate range" dataDxfId="12">
      <calculatedColumnFormula>Table2[[#This Row],[infection count, low end of estimate range]]/$T$6</calculatedColumnFormula>
    </tableColumn>
    <tableColumn id="13" xr3:uid="{1109EB50-6E0E-5D49-923A-162321C9390D}" name="infection percentage, high end of estimate range" dataDxfId="11">
      <calculatedColumnFormula>Table2[[#This Row],[infection count, high end of estimate range]]/$T$6</calculatedColumnFormula>
    </tableColumn>
    <tableColumn id="14" xr3:uid="{238DA9D3-166B-A04A-B1CF-89D64E5C9BCE}" name="infection percentage difference" dataDxfId="10">
      <calculatedColumnFormula>Table2[[#This Row],[infection percentage, high end of estimate range]]-Table2[[#This Row],[infection percentage, low end of estimate range]]</calculatedColumnFormula>
    </tableColumn>
    <tableColumn id="15" xr3:uid="{DE45558E-71C3-0C4E-A3A2-8B967C3E17AB}" name="average infection percentage" dataDxfId="9">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8">
      <calculatedColumnFormula>$T$6/(Table2[[#This Row],[cases]]*5)</calculatedColumnFormula>
    </tableColumn>
    <tableColumn id="4" xr3:uid="{244EEAB7-EA2F-9142-A896-C40C6D4A9BE9}" name="1-in-X odds, estimating 7x cases infected" dataDxfId="7">
      <calculatedColumnFormula>$T$6/(Table2[[#This Row],[cases]]*7)</calculatedColumnFormula>
    </tableColumn>
    <tableColumn id="5" xr3:uid="{8F986CA1-2145-0B4C-AAAE-6153D0E4F495}" name="1-in-X odds difference" dataDxfId="6">
      <calculatedColumnFormula>Table2[[#This Row],[1-in-X odds, estimating 5x cases infected]]-Table2[[#This Row],[1-in-X odds, estimating 7x cases infected]]</calculatedColumnFormula>
    </tableColumn>
    <tableColumn id="6" xr3:uid="{A840ABA5-36ED-FF4A-9BD9-42132A34A0D4}" name="average 1-in-X odds" dataDxfId="5">
      <calculatedColumnFormula>(Table2[[#This Row],[1-in-X odds, estimating 5x cases infected]]+Table2[[#This Row],[1-in-X odds, estimating 7x cases infected]])/2</calculatedColumnFormula>
    </tableColumn>
    <tableColumn id="16" xr3:uid="{3F9CC5ED-74BF-8D4B-A8C4-40AA15D26E71}" name="constants" dataDxfId="4"/>
    <tableColumn id="17" xr3:uid="{B5DA71D5-91C3-F54E-9A79-5F7DD2472B6E}" name="computed" dataDxfId="3"/>
    <tableColumn id="18" xr3:uid="{22EA3CBE-6B18-9845-9A5C-8FD79B240D43}" name="Column1" dataDxfId="2"/>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31" sqref="L31"/>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M36" sqref="M36"/>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tabSelected="1" zoomScaleNormal="100" workbookViewId="0">
      <selection activeCell="M25" sqref="M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K8" sqref="K8"/>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648</v>
      </c>
      <c r="D6" s="24"/>
      <c r="E6" s="17"/>
      <c r="F6" s="18"/>
      <c r="G6" s="82">
        <f ca="1">compute!U12</f>
        <v>5400</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compute!V47</f>
        <v>doubing in 55.8 days</v>
      </c>
      <c r="D8" s="44"/>
      <c r="E8" s="43"/>
      <c r="F8" s="46"/>
      <c r="G8" s="47" t="str">
        <f ca="1">compute!V49</f>
        <v>+1.3%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5.8876120281733141E-2</v>
      </c>
      <c r="D14" s="18"/>
      <c r="E14" s="17"/>
      <c r="F14" s="18"/>
      <c r="G14" s="19">
        <f ca="1">compute!U18</f>
        <v>24.264021164021166</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51"/>
  <sheetViews>
    <sheetView workbookViewId="0">
      <selection sqref="A1:B34"/>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34</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45</v>
      </c>
      <c r="C6" s="71">
        <f>Table2[[#This Row],[cases]]/$B$2</f>
        <v>4.9063433568110953E-4</v>
      </c>
      <c r="D6" s="26">
        <f>(Table2[[#This Row],[cases]]-B5)/B5</f>
        <v>0.36363636363636365</v>
      </c>
      <c r="E6" s="38">
        <f t="shared" si="0"/>
        <v>2.2348417429656711</v>
      </c>
      <c r="F6" s="81">
        <f>Table2[[#This Row],[cases]]*100/$T$19</f>
        <v>375</v>
      </c>
      <c r="G6" s="56">
        <f>Table2[[#This Row],[cases]]*100/$T$13</f>
        <v>173.07692307692307</v>
      </c>
      <c r="H6" s="56">
        <f>Table2[[#This Row],[cases]]*100/$T$16</f>
        <v>409.09090909090907</v>
      </c>
      <c r="I6" s="56">
        <f>Table2[[#This Row],[infection count, high end of estimate range]]-Table2[[#This Row],[infection count, low end of estimate range]]</f>
        <v>236.013986013986</v>
      </c>
      <c r="J6" s="56">
        <f>(Table2[[#This Row],[infection count, low end of estimate range]]+Table2[[#This Row],[infection count, high end of estimate range]])/2</f>
        <v>291.08391608391605</v>
      </c>
      <c r="K6" s="26">
        <f>Table2[[#This Row],[estimated infections]]/$T$6</f>
        <v>4.0886194640092459E-3</v>
      </c>
      <c r="L6" s="26">
        <f>Table2[[#This Row],[infection count, low end of estimate range]]/$T$6</f>
        <v>1.8870551372350364E-3</v>
      </c>
      <c r="M6" s="26">
        <f>Table2[[#This Row],[infection count, high end of estimate range]]/$T$6</f>
        <v>4.4603121425555404E-3</v>
      </c>
      <c r="N6" s="14">
        <f>Table2[[#This Row],[infection percentage, high end of estimate range]]-Table2[[#This Row],[infection percentage, low end of estimate range]]</f>
        <v>2.5732570053205043E-3</v>
      </c>
      <c r="O6" s="26">
        <f>(Table2[[#This Row],[infection percentage, low end of estimate range]]+Table2[[#This Row],[infection percentage, high end of estimate range]])/2</f>
        <v>3.1736836398952883E-3</v>
      </c>
      <c r="P6" s="12">
        <f>$T$6/(Table2[[#This Row],[cases]]*5)</f>
        <v>407.63555555555558</v>
      </c>
      <c r="Q6" s="12">
        <f>$T$6/(Table2[[#This Row],[cases]]*7)</f>
        <v>291.16825396825396</v>
      </c>
      <c r="R6" s="3">
        <f>Table2[[#This Row],[1-in-X odds, estimating 5x cases infected]]-Table2[[#This Row],[1-in-X odds, estimating 7x cases infected]]</f>
        <v>116.46730158730162</v>
      </c>
      <c r="S6" s="3">
        <f>(Table2[[#This Row],[1-in-X odds, estimating 5x cases infected]]+Table2[[#This Row],[1-in-X odds, estimating 7x cases infected]])/2</f>
        <v>349.4019047619048</v>
      </c>
      <c r="T6" s="3">
        <f>B2</f>
        <v>91718</v>
      </c>
      <c r="U6" s="29">
        <f ca="1">OFFSET(compute!A5,COUNTA(compute!A5:A10012)-1,0)</f>
        <v>43942</v>
      </c>
      <c r="V6" s="3"/>
      <c r="X6" t="str">
        <f>"Number of Confirmed COVID-19 Cases " &amp; B1</f>
        <v>Number of Confirmed COVID-19 Cases Miami Beach</v>
      </c>
    </row>
    <row r="7" spans="1:24" x14ac:dyDescent="0.2">
      <c r="A7" s="8">
        <v>43915</v>
      </c>
      <c r="B7" s="9">
        <v>50</v>
      </c>
      <c r="C7" s="71">
        <f>Table2[[#This Row],[cases]]/$B$2</f>
        <v>5.4514926186789942E-4</v>
      </c>
      <c r="D7" s="26">
        <f>(Table2[[#This Row],[cases]]-B6)/B6</f>
        <v>0.1111111111111111</v>
      </c>
      <c r="E7" s="38">
        <f t="shared" si="0"/>
        <v>6.5788134789605808</v>
      </c>
      <c r="F7" s="81">
        <f>Table2[[#This Row],[cases]]*100/$T$19</f>
        <v>416.66666666666669</v>
      </c>
      <c r="G7" s="56">
        <f>Table2[[#This Row],[cases]]*100/$T$13</f>
        <v>192.30769230769232</v>
      </c>
      <c r="H7" s="56">
        <f>Table2[[#This Row],[cases]]*100/$T$16</f>
        <v>454.54545454545456</v>
      </c>
      <c r="I7" s="56">
        <f>Table2[[#This Row],[infection count, high end of estimate range]]-Table2[[#This Row],[infection count, low end of estimate range]]</f>
        <v>262.23776223776224</v>
      </c>
      <c r="J7" s="56">
        <f>(Table2[[#This Row],[infection count, low end of estimate range]]+Table2[[#This Row],[infection count, high end of estimate range]])/2</f>
        <v>323.42657342657344</v>
      </c>
      <c r="K7" s="26">
        <f>Table2[[#This Row],[estimated infections]]/$T$6</f>
        <v>4.5429105155658286E-3</v>
      </c>
      <c r="L7" s="26">
        <f>Table2[[#This Row],[infection count, low end of estimate range]]/$T$6</f>
        <v>2.096727930261152E-3</v>
      </c>
      <c r="M7" s="26">
        <f>Table2[[#This Row],[infection count, high end of estimate range]]/$T$6</f>
        <v>4.9559023806172676E-3</v>
      </c>
      <c r="N7" s="14">
        <f>Table2[[#This Row],[infection percentage, high end of estimate range]]-Table2[[#This Row],[infection percentage, low end of estimate range]]</f>
        <v>2.8591744503561156E-3</v>
      </c>
      <c r="O7" s="26">
        <f>(Table2[[#This Row],[infection percentage, low end of estimate range]]+Table2[[#This Row],[infection percentage, high end of estimate range]])/2</f>
        <v>3.5263151554392096E-3</v>
      </c>
      <c r="P7" s="12">
        <f>$T$6/(Table2[[#This Row],[cases]]*5)</f>
        <v>366.87200000000001</v>
      </c>
      <c r="Q7" s="12">
        <f>$T$6/(Table2[[#This Row],[cases]]*7)</f>
        <v>262.05142857142857</v>
      </c>
      <c r="R7" s="3">
        <f>Table2[[#This Row],[1-in-X odds, estimating 5x cases infected]]-Table2[[#This Row],[1-in-X odds, estimating 7x cases infected]]</f>
        <v>104.82057142857144</v>
      </c>
      <c r="S7" s="3">
        <f>(Table2[[#This Row],[1-in-X odds, estimating 5x cases infected]]+Table2[[#This Row],[1-in-X odds, estimating 7x cases infected]])/2</f>
        <v>314.46171428571427</v>
      </c>
      <c r="V7" s="3"/>
    </row>
    <row r="8" spans="1:24" x14ac:dyDescent="0.2">
      <c r="A8" s="8">
        <v>43916</v>
      </c>
      <c r="B8" s="9">
        <v>74</v>
      </c>
      <c r="C8" s="71">
        <f>Table2[[#This Row],[cases]]/$B$2</f>
        <v>8.068209075644912E-4</v>
      </c>
      <c r="D8" s="26">
        <f>(Table2[[#This Row],[cases]]-B7)/B7</f>
        <v>0.48</v>
      </c>
      <c r="E8" s="38">
        <f t="shared" si="0"/>
        <v>1.768042774417488</v>
      </c>
      <c r="F8" s="81">
        <f>Table2[[#This Row],[cases]]*100/$T$19</f>
        <v>616.66666666666663</v>
      </c>
      <c r="G8" s="56">
        <f>Table2[[#This Row],[cases]]*100/$T$13</f>
        <v>284.61538461538464</v>
      </c>
      <c r="H8" s="56">
        <f>Table2[[#This Row],[cases]]*100/$T$16</f>
        <v>672.72727272727275</v>
      </c>
      <c r="I8" s="56">
        <f>Table2[[#This Row],[infection count, high end of estimate range]]-Table2[[#This Row],[infection count, low end of estimate range]]</f>
        <v>388.11188811188811</v>
      </c>
      <c r="J8" s="56">
        <f>(Table2[[#This Row],[infection count, low end of estimate range]]+Table2[[#This Row],[infection count, high end of estimate range]])/2</f>
        <v>478.67132867132869</v>
      </c>
      <c r="K8" s="26">
        <f>Table2[[#This Row],[estimated infections]]/$T$6</f>
        <v>6.7235075630374258E-3</v>
      </c>
      <c r="L8" s="26">
        <f>Table2[[#This Row],[infection count, low end of estimate range]]/$T$6</f>
        <v>3.1031573367865046E-3</v>
      </c>
      <c r="M8" s="26">
        <f>Table2[[#This Row],[infection count, high end of estimate range]]/$T$6</f>
        <v>7.3347355233135559E-3</v>
      </c>
      <c r="N8" s="14">
        <f>Table2[[#This Row],[infection percentage, high end of estimate range]]-Table2[[#This Row],[infection percentage, low end of estimate range]]</f>
        <v>4.2315781865270513E-3</v>
      </c>
      <c r="O8" s="26">
        <f>(Table2[[#This Row],[infection percentage, low end of estimate range]]+Table2[[#This Row],[infection percentage, high end of estimate range]])/2</f>
        <v>5.2189464300500307E-3</v>
      </c>
      <c r="P8" s="12">
        <f>$T$6/(Table2[[#This Row],[cases]]*5)</f>
        <v>247.88648648648649</v>
      </c>
      <c r="Q8" s="12">
        <f>$T$6/(Table2[[#This Row],[cases]]*7)</f>
        <v>177.06177606177607</v>
      </c>
      <c r="R8" s="3">
        <f>Table2[[#This Row],[1-in-X odds, estimating 5x cases infected]]-Table2[[#This Row],[1-in-X odds, estimating 7x cases infected]]</f>
        <v>70.824710424710418</v>
      </c>
      <c r="S8" s="3">
        <f>(Table2[[#This Row],[1-in-X odds, estimating 5x cases infected]]+Table2[[#This Row],[1-in-X odds, estimating 7x cases infected]])/2</f>
        <v>212.47413127413128</v>
      </c>
      <c r="T8" s="34" t="s">
        <v>33</v>
      </c>
      <c r="U8" s="34" t="s">
        <v>25</v>
      </c>
      <c r="V8" s="3"/>
    </row>
    <row r="9" spans="1:24" x14ac:dyDescent="0.2">
      <c r="A9" s="8">
        <v>43917</v>
      </c>
      <c r="B9" s="9">
        <v>90</v>
      </c>
      <c r="C9" s="71">
        <f>Table2[[#This Row],[cases]]/$B$2</f>
        <v>9.8126867136221906E-4</v>
      </c>
      <c r="D9" s="26">
        <f>(Table2[[#This Row],[cases]]-B8)/B8</f>
        <v>0.21621621621621623</v>
      </c>
      <c r="E9" s="38">
        <f t="shared" si="0"/>
        <v>3.5410798640589243</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morning</v>
      </c>
      <c r="U9" s="3">
        <f ca="1">OFFSET(compute!B4,COUNTA(compute!B4:B10012)-1,0)</f>
        <v>648</v>
      </c>
      <c r="V9" s="3"/>
    </row>
    <row r="10" spans="1:24" x14ac:dyDescent="0.2">
      <c r="A10" s="8">
        <v>43918</v>
      </c>
      <c r="B10" s="9">
        <v>115</v>
      </c>
      <c r="C10" s="71">
        <f>Table2[[#This Row],[cases]]/$B$2</f>
        <v>1.2538433022961687E-3</v>
      </c>
      <c r="D10" s="26">
        <f>(Table2[[#This Row],[cases]]-B9)/B9</f>
        <v>0.27777777777777779</v>
      </c>
      <c r="E10" s="38">
        <f t="shared" si="0"/>
        <v>2.8277587705434639</v>
      </c>
      <c r="F10" s="81">
        <f>Table2[[#This Row],[cases]]*100/$T$19</f>
        <v>958.33333333333337</v>
      </c>
      <c r="G10" s="56">
        <f>Table2[[#This Row],[cases]]*100/$T$13</f>
        <v>442.30769230769232</v>
      </c>
      <c r="H10" s="56">
        <f>Table2[[#This Row],[cases]]*100/$T$16</f>
        <v>1045.4545454545455</v>
      </c>
      <c r="I10" s="56">
        <f>Table2[[#This Row],[infection count, high end of estimate range]]-Table2[[#This Row],[infection count, low end of estimate range]]</f>
        <v>603.14685314685312</v>
      </c>
      <c r="J10" s="56">
        <f>(Table2[[#This Row],[infection count, low end of estimate range]]+Table2[[#This Row],[infection count, high end of estimate range]])/2</f>
        <v>743.88111888111894</v>
      </c>
      <c r="K10" s="26">
        <f>Table2[[#This Row],[estimated infections]]/$T$6</f>
        <v>1.0448694185801407E-2</v>
      </c>
      <c r="L10" s="26">
        <f>Table2[[#This Row],[infection count, low end of estimate range]]/$T$6</f>
        <v>4.8224742396006486E-3</v>
      </c>
      <c r="M10" s="26">
        <f>Table2[[#This Row],[infection count, high end of estimate range]]/$T$6</f>
        <v>1.1398575475419715E-2</v>
      </c>
      <c r="N10" s="14">
        <f>Table2[[#This Row],[infection percentage, high end of estimate range]]-Table2[[#This Row],[infection percentage, low end of estimate range]]</f>
        <v>6.5761012358190665E-3</v>
      </c>
      <c r="O10" s="26">
        <f>(Table2[[#This Row],[infection percentage, low end of estimate range]]+Table2[[#This Row],[infection percentage, high end of estimate range]])/2</f>
        <v>8.1105248575101818E-3</v>
      </c>
      <c r="P10" s="12">
        <f>$T$6/(Table2[[#This Row],[cases]]*5)</f>
        <v>159.5095652173913</v>
      </c>
      <c r="Q10" s="12">
        <f>$T$6/(Table2[[#This Row],[cases]]*7)</f>
        <v>113.93540372670807</v>
      </c>
      <c r="R10" s="3">
        <f>Table2[[#This Row],[1-in-X odds, estimating 5x cases infected]]-Table2[[#This Row],[1-in-X odds, estimating 7x cases infected]]</f>
        <v>45.574161490683224</v>
      </c>
      <c r="S10" s="3">
        <f>(Table2[[#This Row],[1-in-X odds, estimating 5x cases infected]]+Table2[[#This Row],[1-in-X odds, estimating 7x cases infected]])/2</f>
        <v>136.7224844720497</v>
      </c>
      <c r="V10" s="3"/>
    </row>
    <row r="11" spans="1:24" x14ac:dyDescent="0.2">
      <c r="A11" s="8">
        <v>43919</v>
      </c>
      <c r="B11" s="9">
        <v>123</v>
      </c>
      <c r="C11" s="71">
        <f>Table2[[#This Row],[cases]]/$B$2</f>
        <v>1.3410671841950325E-3</v>
      </c>
      <c r="D11" s="26">
        <f>(Table2[[#This Row],[cases]]-B10)/B10</f>
        <v>6.9565217391304349E-2</v>
      </c>
      <c r="E11" s="38">
        <f t="shared" si="0"/>
        <v>10.30667996266442</v>
      </c>
      <c r="F11" s="81">
        <f>Table2[[#This Row],[cases]]*100/$T$19</f>
        <v>1025</v>
      </c>
      <c r="G11" s="56">
        <f>Table2[[#This Row],[cases]]*100/$T$13</f>
        <v>473.07692307692309</v>
      </c>
      <c r="H11" s="56">
        <f>Table2[[#This Row],[cases]]*100/$T$16</f>
        <v>1118.1818181818182</v>
      </c>
      <c r="I11" s="56">
        <f>Table2[[#This Row],[infection count, high end of estimate range]]-Table2[[#This Row],[infection count, low end of estimate range]]</f>
        <v>645.10489510489515</v>
      </c>
      <c r="J11" s="56">
        <f>(Table2[[#This Row],[infection count, low end of estimate range]]+Table2[[#This Row],[infection count, high end of estimate range]])/2</f>
        <v>795.62937062937067</v>
      </c>
      <c r="K11" s="26">
        <f>Table2[[#This Row],[estimated infections]]/$T$6</f>
        <v>1.1175559868291938E-2</v>
      </c>
      <c r="L11" s="26">
        <f>Table2[[#This Row],[infection count, low end of estimate range]]/$T$6</f>
        <v>5.1579507084424329E-3</v>
      </c>
      <c r="M11" s="26">
        <f>Table2[[#This Row],[infection count, high end of estimate range]]/$T$6</f>
        <v>1.2191519856318479E-2</v>
      </c>
      <c r="N11" s="14">
        <f>Table2[[#This Row],[infection percentage, high end of estimate range]]-Table2[[#This Row],[infection percentage, low end of estimate range]]</f>
        <v>7.0335691478760464E-3</v>
      </c>
      <c r="O11" s="26">
        <f>(Table2[[#This Row],[infection percentage, low end of estimate range]]+Table2[[#This Row],[infection percentage, high end of estimate range]])/2</f>
        <v>8.6747352823804552E-3</v>
      </c>
      <c r="P11" s="12">
        <f>$T$6/(Table2[[#This Row],[cases]]*5)</f>
        <v>149.13495934959349</v>
      </c>
      <c r="Q11" s="12">
        <f>$T$6/(Table2[[#This Row],[cases]]*7)</f>
        <v>106.52497096399536</v>
      </c>
      <c r="R11" s="3">
        <f>Table2[[#This Row],[1-in-X odds, estimating 5x cases infected]]-Table2[[#This Row],[1-in-X odds, estimating 7x cases infected]]</f>
        <v>42.609988385598129</v>
      </c>
      <c r="S11" s="3">
        <f>(Table2[[#This Row],[1-in-X odds, estimating 5x cases infected]]+Table2[[#This Row],[1-in-X odds, estimating 7x cases infected]])/2</f>
        <v>127.82996515679443</v>
      </c>
      <c r="T11" s="3" t="s">
        <v>36</v>
      </c>
      <c r="U11" s="34" t="s">
        <v>27</v>
      </c>
      <c r="V11" s="3"/>
    </row>
    <row r="12" spans="1:24" x14ac:dyDescent="0.2">
      <c r="A12" s="8">
        <v>43920</v>
      </c>
      <c r="B12" s="9">
        <v>194</v>
      </c>
      <c r="C12" s="71">
        <f>Table2[[#This Row],[cases]]/$B$2</f>
        <v>2.1151791360474498E-3</v>
      </c>
      <c r="D12" s="26">
        <f>(Table2[[#This Row],[cases]]-B11)/B11</f>
        <v>0.57723577235772361</v>
      </c>
      <c r="E12" s="38">
        <f t="shared" si="0"/>
        <v>1.5211477485550517</v>
      </c>
      <c r="F12" s="81">
        <f>Table2[[#This Row],[cases]]*100/$T$19</f>
        <v>1616.6666666666667</v>
      </c>
      <c r="G12" s="56">
        <f>Table2[[#This Row],[cases]]*100/$T$13</f>
        <v>746.15384615384619</v>
      </c>
      <c r="H12" s="56">
        <f>Table2[[#This Row],[cases]]*100/$T$16</f>
        <v>1763.6363636363637</v>
      </c>
      <c r="I12" s="56">
        <f>Table2[[#This Row],[infection count, high end of estimate range]]-Table2[[#This Row],[infection count, low end of estimate range]]</f>
        <v>1017.4825174825176</v>
      </c>
      <c r="J12" s="56">
        <f>(Table2[[#This Row],[infection count, low end of estimate range]]+Table2[[#This Row],[infection count, high end of estimate range]])/2</f>
        <v>1254.8951048951049</v>
      </c>
      <c r="K12" s="26">
        <f>Table2[[#This Row],[estimated infections]]/$T$6</f>
        <v>1.7626492800395417E-2</v>
      </c>
      <c r="L12" s="26">
        <f>Table2[[#This Row],[infection count, low end of estimate range]]/$T$6</f>
        <v>8.1353043694132685E-3</v>
      </c>
      <c r="M12" s="26">
        <f>Table2[[#This Row],[infection count, high end of estimate range]]/$T$6</f>
        <v>1.9228901236795E-2</v>
      </c>
      <c r="N12" s="14">
        <f>Table2[[#This Row],[infection percentage, high end of estimate range]]-Table2[[#This Row],[infection percentage, low end of estimate range]]</f>
        <v>1.1093596867381731E-2</v>
      </c>
      <c r="O12" s="26">
        <f>(Table2[[#This Row],[infection percentage, low end of estimate range]]+Table2[[#This Row],[infection percentage, high end of estimate range]])/2</f>
        <v>1.3682102803104133E-2</v>
      </c>
      <c r="P12" s="12">
        <f>$T$6/(Table2[[#This Row],[cases]]*5)</f>
        <v>94.554639175257734</v>
      </c>
      <c r="Q12" s="12">
        <f>$T$6/(Table2[[#This Row],[cases]]*7)</f>
        <v>67.539027982326957</v>
      </c>
      <c r="R12" s="3">
        <f>Table2[[#This Row],[1-in-X odds, estimating 5x cases infected]]-Table2[[#This Row],[1-in-X odds, estimating 7x cases infected]]</f>
        <v>27.015611192930777</v>
      </c>
      <c r="S12" s="3">
        <f>(Table2[[#This Row],[1-in-X odds, estimating 5x cases infected]]+Table2[[#This Row],[1-in-X odds, estimating 7x cases infected]])/2</f>
        <v>81.046833578792345</v>
      </c>
      <c r="T12" s="34" t="s">
        <v>37</v>
      </c>
      <c r="U12" s="35">
        <f ca="1">OFFSET(compute!F4,COUNTA(compute!F:F)-1,0)</f>
        <v>5400</v>
      </c>
      <c r="V12" s="3"/>
    </row>
    <row r="13" spans="1:24" x14ac:dyDescent="0.2">
      <c r="A13" s="8">
        <v>43921</v>
      </c>
      <c r="B13" s="9">
        <v>236</v>
      </c>
      <c r="C13" s="71">
        <f>Table2[[#This Row],[cases]]/$B$2</f>
        <v>2.5731045160164853E-3</v>
      </c>
      <c r="D13" s="26">
        <f>(Table2[[#This Row],[cases]]-B12)/B12</f>
        <v>0.21649484536082475</v>
      </c>
      <c r="E13" s="38">
        <f t="shared" si="0"/>
        <v>3.5369407817893648</v>
      </c>
      <c r="F13" s="81">
        <f>Table2[[#This Row],[cases]]*100/$T$19</f>
        <v>1966.6666666666667</v>
      </c>
      <c r="G13" s="56">
        <f>Table2[[#This Row],[cases]]*100/$T$13</f>
        <v>907.69230769230774</v>
      </c>
      <c r="H13" s="56">
        <f>Table2[[#This Row],[cases]]*100/$T$16</f>
        <v>2145.4545454545455</v>
      </c>
      <c r="I13" s="56">
        <f>Table2[[#This Row],[infection count, high end of estimate range]]-Table2[[#This Row],[infection count, low end of estimate range]]</f>
        <v>1237.7622377622379</v>
      </c>
      <c r="J13" s="56">
        <f>(Table2[[#This Row],[infection count, low end of estimate range]]+Table2[[#This Row],[infection count, high end of estimate range]])/2</f>
        <v>1526.5734265734266</v>
      </c>
      <c r="K13" s="26">
        <f>Table2[[#This Row],[estimated infections]]/$T$6</f>
        <v>2.1442537633470711E-2</v>
      </c>
      <c r="L13" s="26">
        <f>Table2[[#This Row],[infection count, low end of estimate range]]/$T$6</f>
        <v>9.8965558308326367E-3</v>
      </c>
      <c r="M13" s="26">
        <f>Table2[[#This Row],[infection count, high end of estimate range]]/$T$6</f>
        <v>2.3391859236513504E-2</v>
      </c>
      <c r="N13" s="14">
        <f>Table2[[#This Row],[infection percentage, high end of estimate range]]-Table2[[#This Row],[infection percentage, low end of estimate range]]</f>
        <v>1.3495303405680868E-2</v>
      </c>
      <c r="O13" s="26">
        <f>(Table2[[#This Row],[infection percentage, low end of estimate range]]+Table2[[#This Row],[infection percentage, high end of estimate range]])/2</f>
        <v>1.6644207533673072E-2</v>
      </c>
      <c r="P13" s="12">
        <f>$T$6/(Table2[[#This Row],[cases]]*5)</f>
        <v>77.727118644067801</v>
      </c>
      <c r="Q13" s="12">
        <f>$T$6/(Table2[[#This Row],[cases]]*7)</f>
        <v>55.519370460048428</v>
      </c>
      <c r="R13" s="3">
        <f>Table2[[#This Row],[1-in-X odds, estimating 5x cases infected]]-Table2[[#This Row],[1-in-X odds, estimating 7x cases infected]]</f>
        <v>22.207748184019373</v>
      </c>
      <c r="S13" s="3">
        <f>(Table2[[#This Row],[1-in-X odds, estimating 5x cases infected]]+Table2[[#This Row],[1-in-X odds, estimating 7x cases infected]])/2</f>
        <v>66.623244552058111</v>
      </c>
      <c r="T13" s="3">
        <v>26</v>
      </c>
      <c r="V13" s="3"/>
    </row>
    <row r="14" spans="1:24" x14ac:dyDescent="0.2">
      <c r="A14" s="8">
        <v>43922</v>
      </c>
      <c r="B14" s="9">
        <v>252</v>
      </c>
      <c r="C14" s="71">
        <f>Table2[[#This Row],[cases]]/$B$2</f>
        <v>2.7475522798142129E-3</v>
      </c>
      <c r="D14" s="26">
        <f>(Table2[[#This Row],[cases]]-B13)/B13</f>
        <v>6.7796610169491525E-2</v>
      </c>
      <c r="E14" s="38">
        <f t="shared" si="0"/>
        <v>10.566705727632121</v>
      </c>
      <c r="F14" s="81">
        <f>Table2[[#This Row],[cases]]*100/$T$19</f>
        <v>2100</v>
      </c>
      <c r="G14" s="56">
        <f>Table2[[#This Row],[cases]]*100/$T$13</f>
        <v>969.23076923076928</v>
      </c>
      <c r="H14" s="56">
        <f>Table2[[#This Row],[cases]]*100/$T$16</f>
        <v>2290.909090909091</v>
      </c>
      <c r="I14" s="56">
        <f>Table2[[#This Row],[infection count, high end of estimate range]]-Table2[[#This Row],[infection count, low end of estimate range]]</f>
        <v>1321.6783216783217</v>
      </c>
      <c r="J14" s="56">
        <f>(Table2[[#This Row],[infection count, low end of estimate range]]+Table2[[#This Row],[infection count, high end of estimate range]])/2</f>
        <v>1630.0699300699303</v>
      </c>
      <c r="K14" s="26">
        <f>Table2[[#This Row],[estimated infections]]/$T$6</f>
        <v>2.2896268998451777E-2</v>
      </c>
      <c r="L14" s="26">
        <f>Table2[[#This Row],[infection count, low end of estimate range]]/$T$6</f>
        <v>1.0567508768516205E-2</v>
      </c>
      <c r="M14" s="26">
        <f>Table2[[#This Row],[infection count, high end of estimate range]]/$T$6</f>
        <v>2.4977747998311029E-2</v>
      </c>
      <c r="N14" s="14">
        <f>Table2[[#This Row],[infection percentage, high end of estimate range]]-Table2[[#This Row],[infection percentage, low end of estimate range]]</f>
        <v>1.4410239229794824E-2</v>
      </c>
      <c r="O14" s="26">
        <f>(Table2[[#This Row],[infection percentage, low end of estimate range]]+Table2[[#This Row],[infection percentage, high end of estimate range]])/2</f>
        <v>1.7772628383413619E-2</v>
      </c>
      <c r="P14" s="12">
        <f>$T$6/(Table2[[#This Row],[cases]]*5)</f>
        <v>72.792063492063491</v>
      </c>
      <c r="Q14" s="12">
        <f>$T$6/(Table2[[#This Row],[cases]]*7)</f>
        <v>51.994331065759638</v>
      </c>
      <c r="R14" s="3">
        <f>Table2[[#This Row],[1-in-X odds, estimating 5x cases infected]]-Table2[[#This Row],[1-in-X odds, estimating 7x cases infected]]</f>
        <v>20.797732426303853</v>
      </c>
      <c r="S14" s="3">
        <f>(Table2[[#This Row],[1-in-X odds, estimating 5x cases infected]]+Table2[[#This Row],[1-in-X odds, estimating 7x cases infected]])/2</f>
        <v>62.393197278911565</v>
      </c>
      <c r="U14" s="34" t="s">
        <v>28</v>
      </c>
      <c r="V14" s="3"/>
    </row>
    <row r="15" spans="1:24" x14ac:dyDescent="0.2">
      <c r="A15" s="8">
        <v>43923</v>
      </c>
      <c r="B15" s="9">
        <v>268</v>
      </c>
      <c r="C15" s="71">
        <f>Table2[[#This Row],[cases]]/$B$2</f>
        <v>2.922000043611941E-3</v>
      </c>
      <c r="D15" s="26">
        <f>(Table2[[#This Row],[cases]]-B14)/B14</f>
        <v>6.3492063492063489E-2</v>
      </c>
      <c r="E15" s="38">
        <f t="shared" si="0"/>
        <v>11.26008618531381</v>
      </c>
      <c r="F15" s="81">
        <f>Table2[[#This Row],[cases]]*100/$T$19</f>
        <v>2233.3333333333335</v>
      </c>
      <c r="G15" s="56">
        <f>Table2[[#This Row],[cases]]*100/$T$13</f>
        <v>1030.7692307692307</v>
      </c>
      <c r="H15" s="56">
        <f>Table2[[#This Row],[cases]]*100/$T$16</f>
        <v>2436.3636363636365</v>
      </c>
      <c r="I15" s="56">
        <f>Table2[[#This Row],[infection count, high end of estimate range]]-Table2[[#This Row],[infection count, low end of estimate range]]</f>
        <v>1405.5944055944058</v>
      </c>
      <c r="J15" s="56">
        <f>(Table2[[#This Row],[infection count, low end of estimate range]]+Table2[[#This Row],[infection count, high end of estimate range]])/2</f>
        <v>1733.5664335664337</v>
      </c>
      <c r="K15" s="26">
        <f>Table2[[#This Row],[estimated infections]]/$T$6</f>
        <v>2.4350000363432843E-2</v>
      </c>
      <c r="L15" s="26">
        <f>Table2[[#This Row],[infection count, low end of estimate range]]/$T$6</f>
        <v>1.1238461706199772E-2</v>
      </c>
      <c r="M15" s="26">
        <f>Table2[[#This Row],[infection count, high end of estimate range]]/$T$6</f>
        <v>2.6563636760108554E-2</v>
      </c>
      <c r="N15" s="14">
        <f>Table2[[#This Row],[infection percentage, high end of estimate range]]-Table2[[#This Row],[infection percentage, low end of estimate range]]</f>
        <v>1.5325175053908782E-2</v>
      </c>
      <c r="O15" s="26">
        <f>(Table2[[#This Row],[infection percentage, low end of estimate range]]+Table2[[#This Row],[infection percentage, high end of estimate range]])/2</f>
        <v>1.8901049233154162E-2</v>
      </c>
      <c r="P15" s="12">
        <f>$T$6/(Table2[[#This Row],[cases]]*5)</f>
        <v>68.446268656716413</v>
      </c>
      <c r="Q15" s="12">
        <f>$T$6/(Table2[[#This Row],[cases]]*7)</f>
        <v>48.890191897654582</v>
      </c>
      <c r="R15" s="3">
        <f>Table2[[#This Row],[1-in-X odds, estimating 5x cases infected]]-Table2[[#This Row],[1-in-X odds, estimating 7x cases infected]]</f>
        <v>19.556076759061831</v>
      </c>
      <c r="S15" s="3">
        <f>(Table2[[#This Row],[1-in-X odds, estimating 5x cases infected]]+Table2[[#This Row],[1-in-X odds, estimating 7x cases infected]])/2</f>
        <v>58.668230277185501</v>
      </c>
      <c r="T15" s="34" t="s">
        <v>38</v>
      </c>
      <c r="U15" s="27">
        <f ca="1">OFFSET(compute!K4,COUNTA(compute!K:K)-1,0)</f>
        <v>5.8876120281733141E-2</v>
      </c>
      <c r="V15" s="3"/>
    </row>
    <row r="16" spans="1:24" x14ac:dyDescent="0.2">
      <c r="A16" s="8">
        <v>43924</v>
      </c>
      <c r="B16" s="9">
        <v>302</v>
      </c>
      <c r="C16" s="71">
        <f>Table2[[#This Row],[cases]]/$B$2</f>
        <v>3.2927015416821127E-3</v>
      </c>
      <c r="D16" s="26">
        <f>(Table2[[#This Row],[cases]]-B15)/B15</f>
        <v>0.12686567164179105</v>
      </c>
      <c r="E16" s="38">
        <f t="shared" si="0"/>
        <v>5.803306820384857</v>
      </c>
      <c r="F16" s="81">
        <f>Table2[[#This Row],[cases]]*100/$T$19</f>
        <v>2516.6666666666665</v>
      </c>
      <c r="G16" s="56">
        <f>Table2[[#This Row],[cases]]*100/$T$13</f>
        <v>1161.5384615384614</v>
      </c>
      <c r="H16" s="56">
        <f>Table2[[#This Row],[cases]]*100/$T$16</f>
        <v>2745.4545454545455</v>
      </c>
      <c r="I16" s="56">
        <f>Table2[[#This Row],[infection count, high end of estimate range]]-Table2[[#This Row],[infection count, low end of estimate range]]</f>
        <v>1583.9160839160841</v>
      </c>
      <c r="J16" s="56">
        <f>(Table2[[#This Row],[infection count, low end of estimate range]]+Table2[[#This Row],[infection count, high end of estimate range]])/2</f>
        <v>1953.4965034965035</v>
      </c>
      <c r="K16" s="26">
        <f>Table2[[#This Row],[estimated infections]]/$T$6</f>
        <v>2.7439179514017604E-2</v>
      </c>
      <c r="L16" s="26">
        <f>Table2[[#This Row],[infection count, low end of estimate range]]/$T$6</f>
        <v>1.2664236698777354E-2</v>
      </c>
      <c r="M16" s="26">
        <f>Table2[[#This Row],[infection count, high end of estimate range]]/$T$6</f>
        <v>2.9933650378928298E-2</v>
      </c>
      <c r="N16" s="14">
        <f>Table2[[#This Row],[infection percentage, high end of estimate range]]-Table2[[#This Row],[infection percentage, low end of estimate range]]</f>
        <v>1.7269413680150943E-2</v>
      </c>
      <c r="O16" s="26">
        <f>(Table2[[#This Row],[infection percentage, low end of estimate range]]+Table2[[#This Row],[infection percentage, high end of estimate range]])/2</f>
        <v>2.1298943538852824E-2</v>
      </c>
      <c r="P16" s="12">
        <f>$T$6/(Table2[[#This Row],[cases]]*5)</f>
        <v>60.740397350993376</v>
      </c>
      <c r="Q16" s="12">
        <f>$T$6/(Table2[[#This Row],[cases]]*7)</f>
        <v>43.385998107852416</v>
      </c>
      <c r="R16" s="3">
        <f>Table2[[#This Row],[1-in-X odds, estimating 5x cases infected]]-Table2[[#This Row],[1-in-X odds, estimating 7x cases infected]]</f>
        <v>17.354399243140961</v>
      </c>
      <c r="S16" s="3">
        <f>(Table2[[#This Row],[1-in-X odds, estimating 5x cases infected]]+Table2[[#This Row],[1-in-X odds, estimating 7x cases infected]])/2</f>
        <v>52.063197729422896</v>
      </c>
      <c r="T16" s="3">
        <v>11</v>
      </c>
      <c r="V16" s="3"/>
    </row>
    <row r="17" spans="1:22" x14ac:dyDescent="0.2">
      <c r="A17" s="8">
        <v>43925</v>
      </c>
      <c r="B17" s="9">
        <v>341</v>
      </c>
      <c r="C17" s="71">
        <f>Table2[[#This Row],[cases]]/$B$2</f>
        <v>3.7179179659390742E-3</v>
      </c>
      <c r="D17" s="26">
        <f>(Table2[[#This Row],[cases]]-B16)/B16</f>
        <v>0.12913907284768211</v>
      </c>
      <c r="E17" s="38">
        <f t="shared" si="0"/>
        <v>5.7070071702111713</v>
      </c>
      <c r="F17" s="81">
        <f>Table2[[#This Row],[cases]]*100/$T$19</f>
        <v>2841.6666666666665</v>
      </c>
      <c r="G17" s="56">
        <f>Table2[[#This Row],[cases]]*100/$T$13</f>
        <v>1311.5384615384614</v>
      </c>
      <c r="H17" s="56">
        <f>Table2[[#This Row],[cases]]*100/$T$16</f>
        <v>3100</v>
      </c>
      <c r="I17" s="56">
        <f>Table2[[#This Row],[infection count, high end of estimate range]]-Table2[[#This Row],[infection count, low end of estimate range]]</f>
        <v>1788.4615384615386</v>
      </c>
      <c r="J17" s="56">
        <f>(Table2[[#This Row],[infection count, low end of estimate range]]+Table2[[#This Row],[infection count, high end of estimate range]])/2</f>
        <v>2205.7692307692305</v>
      </c>
      <c r="K17" s="26">
        <f>Table2[[#This Row],[estimated infections]]/$T$6</f>
        <v>3.0982649716158949E-2</v>
      </c>
      <c r="L17" s="26">
        <f>Table2[[#This Row],[infection count, low end of estimate range]]/$T$6</f>
        <v>1.4299684484381053E-2</v>
      </c>
      <c r="M17" s="26">
        <f>Table2[[#This Row],[infection count, high end of estimate range]]/$T$6</f>
        <v>3.3799254235809761E-2</v>
      </c>
      <c r="N17" s="14">
        <f>Table2[[#This Row],[infection percentage, high end of estimate range]]-Table2[[#This Row],[infection percentage, low end of estimate range]]</f>
        <v>1.9499569751428709E-2</v>
      </c>
      <c r="O17" s="26">
        <f>(Table2[[#This Row],[infection percentage, low end of estimate range]]+Table2[[#This Row],[infection percentage, high end of estimate range]])/2</f>
        <v>2.4049469360095409E-2</v>
      </c>
      <c r="P17" s="12">
        <f>$T$6/(Table2[[#This Row],[cases]]*5)</f>
        <v>53.793548387096777</v>
      </c>
      <c r="Q17" s="12">
        <f>$T$6/(Table2[[#This Row],[cases]]*7)</f>
        <v>38.423963133640555</v>
      </c>
      <c r="R17" s="3">
        <f>Table2[[#This Row],[1-in-X odds, estimating 5x cases infected]]-Table2[[#This Row],[1-in-X odds, estimating 7x cases infected]]</f>
        <v>15.369585253456222</v>
      </c>
      <c r="S17" s="3">
        <f>(Table2[[#This Row],[1-in-X odds, estimating 5x cases infected]]+Table2[[#This Row],[1-in-X odds, estimating 7x cases infected]])/2</f>
        <v>46.108755760368666</v>
      </c>
      <c r="U17" s="34" t="s">
        <v>29</v>
      </c>
      <c r="V17" s="3"/>
    </row>
    <row r="18" spans="1:22" x14ac:dyDescent="0.2">
      <c r="A18" s="8">
        <v>43926</v>
      </c>
      <c r="B18" s="9">
        <v>361</v>
      </c>
      <c r="C18" s="71">
        <f>Table2[[#This Row],[cases]]/$B$2</f>
        <v>3.9359776706862342E-3</v>
      </c>
      <c r="D18" s="26">
        <f>(Table2[[#This Row],[cases]]-B17)/B17</f>
        <v>5.865102639296188E-2</v>
      </c>
      <c r="E18" s="38">
        <f t="shared" si="0"/>
        <v>12.161441008974148</v>
      </c>
      <c r="F18" s="81">
        <f>Table2[[#This Row],[cases]]*100/$T$19</f>
        <v>3008.3333333333335</v>
      </c>
      <c r="G18" s="56">
        <f>Table2[[#This Row],[cases]]*100/$T$13</f>
        <v>1388.4615384615386</v>
      </c>
      <c r="H18" s="56">
        <f>Table2[[#This Row],[cases]]*100/$T$16</f>
        <v>3281.818181818182</v>
      </c>
      <c r="I18" s="56">
        <f>Table2[[#This Row],[infection count, high end of estimate range]]-Table2[[#This Row],[infection count, low end of estimate range]]</f>
        <v>1893.3566433566434</v>
      </c>
      <c r="J18" s="56">
        <f>(Table2[[#This Row],[infection count, low end of estimate range]]+Table2[[#This Row],[infection count, high end of estimate range]])/2</f>
        <v>2335.1398601398605</v>
      </c>
      <c r="K18" s="26">
        <f>Table2[[#This Row],[estimated infections]]/$T$6</f>
        <v>3.2799813922385283E-2</v>
      </c>
      <c r="L18" s="26">
        <f>Table2[[#This Row],[infection count, low end of estimate range]]/$T$6</f>
        <v>1.5138375656485516E-2</v>
      </c>
      <c r="M18" s="26">
        <f>Table2[[#This Row],[infection count, high end of estimate range]]/$T$6</f>
        <v>3.578161518805667E-2</v>
      </c>
      <c r="N18" s="14">
        <f>Table2[[#This Row],[infection percentage, high end of estimate range]]-Table2[[#This Row],[infection percentage, low end of estimate range]]</f>
        <v>2.0643239531571156E-2</v>
      </c>
      <c r="O18" s="26">
        <f>(Table2[[#This Row],[infection percentage, low end of estimate range]]+Table2[[#This Row],[infection percentage, high end of estimate range]])/2</f>
        <v>2.5459995422271092E-2</v>
      </c>
      <c r="P18" s="12">
        <f>$T$6/(Table2[[#This Row],[cases]]*5)</f>
        <v>50.813296398891964</v>
      </c>
      <c r="Q18" s="12">
        <f>$T$6/(Table2[[#This Row],[cases]]*7)</f>
        <v>36.295211713494261</v>
      </c>
      <c r="R18" s="3">
        <f>Table2[[#This Row],[1-in-X odds, estimating 5x cases infected]]-Table2[[#This Row],[1-in-X odds, estimating 7x cases infected]]</f>
        <v>14.518084685397703</v>
      </c>
      <c r="S18" s="3">
        <f>(Table2[[#This Row],[1-in-X odds, estimating 5x cases infected]]+Table2[[#This Row],[1-in-X odds, estimating 7x cases infected]])/2</f>
        <v>43.554254056193116</v>
      </c>
      <c r="T18" s="34" t="s">
        <v>59</v>
      </c>
      <c r="U18" s="3">
        <f ca="1">OFFSET(compute!S4,COUNTA(compute!S:S)-1,0)</f>
        <v>24.264021164021166</v>
      </c>
      <c r="V18" s="3"/>
    </row>
    <row r="19" spans="1:22" x14ac:dyDescent="0.2">
      <c r="A19" s="8">
        <v>43927</v>
      </c>
      <c r="B19" s="9">
        <v>383</v>
      </c>
      <c r="C19" s="71">
        <f>Table2[[#This Row],[cases]]/$B$2</f>
        <v>4.1758433459081097E-3</v>
      </c>
      <c r="D19" s="26">
        <f>(Table2[[#This Row],[cases]]-B18)/B18</f>
        <v>6.0941828254847646E-2</v>
      </c>
      <c r="E19" s="38">
        <f t="shared" si="0"/>
        <v>11.717071844658532</v>
      </c>
      <c r="F19" s="81">
        <f>Table2[[#This Row],[cases]]*100/$T$19</f>
        <v>3191.6666666666665</v>
      </c>
      <c r="G19" s="35">
        <f>Table2[[#This Row],[cases]]*100/$T$13</f>
        <v>1473.0769230769231</v>
      </c>
      <c r="H19" s="35">
        <f>Table2[[#This Row],[cases]]*100/$T$16</f>
        <v>3481.818181818182</v>
      </c>
      <c r="I19" s="35">
        <f>Table2[[#This Row],[infection count, high end of estimate range]]-Table2[[#This Row],[infection count, low end of estimate range]]</f>
        <v>2008.7412587412589</v>
      </c>
      <c r="J19" s="35">
        <f>(Table2[[#This Row],[infection count, low end of estimate range]]+Table2[[#This Row],[infection count, high end of estimate range]])/2</f>
        <v>2477.4475524475524</v>
      </c>
      <c r="K19" s="26">
        <f>Table2[[#This Row],[estimated infections]]/$T$6</f>
        <v>3.4798694549234246E-2</v>
      </c>
      <c r="L19" s="27">
        <f>Table2[[#This Row],[infection count, low end of estimate range]]/$T$6</f>
        <v>1.6060935945800422E-2</v>
      </c>
      <c r="M19" s="26">
        <f>Table2[[#This Row],[infection count, high end of estimate range]]/$T$6</f>
        <v>3.7962212235528273E-2</v>
      </c>
      <c r="N19" s="15">
        <f>Table2[[#This Row],[infection percentage, high end of estimate range]]-Table2[[#This Row],[infection percentage, low end of estimate range]]</f>
        <v>2.190127628972785E-2</v>
      </c>
      <c r="O19" s="27">
        <f>(Table2[[#This Row],[infection percentage, low end of estimate range]]+Table2[[#This Row],[infection percentage, high end of estimate range]])/2</f>
        <v>2.7011574090664348E-2</v>
      </c>
      <c r="P19" s="3">
        <f>$T$6/(Table2[[#This Row],[cases]]*5)</f>
        <v>47.894516971279373</v>
      </c>
      <c r="Q19" s="3">
        <f>$T$6/(Table2[[#This Row],[cases]]*7)</f>
        <v>34.210369265199553</v>
      </c>
      <c r="R19" s="3">
        <f>Table2[[#This Row],[1-in-X odds, estimating 5x cases infected]]-Table2[[#This Row],[1-in-X odds, estimating 7x cases infected]]</f>
        <v>13.68414770607982</v>
      </c>
      <c r="S19" s="3">
        <f>(Table2[[#This Row],[1-in-X odds, estimating 5x cases infected]]+Table2[[#This Row],[1-in-X odds, estimating 7x cases infected]])/2</f>
        <v>41.052443118239466</v>
      </c>
      <c r="T19" s="3">
        <v>12</v>
      </c>
      <c r="V19" s="32" t="s">
        <v>23</v>
      </c>
    </row>
    <row r="20" spans="1:22" x14ac:dyDescent="0.2">
      <c r="A20" s="8">
        <v>43928</v>
      </c>
      <c r="B20" s="9">
        <v>426</v>
      </c>
      <c r="C20" s="71">
        <f>Table2[[#This Row],[cases]]/$B$2</f>
        <v>4.6446717111145027E-3</v>
      </c>
      <c r="D20" s="26">
        <f>(Table2[[#This Row],[cases]]-B19)/B19</f>
        <v>0.1122715404699739</v>
      </c>
      <c r="E20" s="38">
        <f t="shared" si="0"/>
        <v>6.5142744106049149</v>
      </c>
      <c r="F20" s="81">
        <f>Table2[[#This Row],[cases]]*100/$T$19</f>
        <v>3550</v>
      </c>
      <c r="G20" s="35">
        <f>Table2[[#This Row],[cases]]*100/$T$13</f>
        <v>1638.4615384615386</v>
      </c>
      <c r="H20" s="35">
        <f>Table2[[#This Row],[cases]]*100/$T$16</f>
        <v>3872.7272727272725</v>
      </c>
      <c r="I20" s="35">
        <f>Table2[[#This Row],[infection count, high end of estimate range]]-Table2[[#This Row],[infection count, low end of estimate range]]</f>
        <v>2234.265734265734</v>
      </c>
      <c r="J20" s="35">
        <f>(Table2[[#This Row],[infection count, low end of estimate range]]+Table2[[#This Row],[infection count, high end of estimate range]])/2</f>
        <v>2755.5944055944055</v>
      </c>
      <c r="K20" s="26">
        <f>Table2[[#This Row],[estimated infections]]/$T$6</f>
        <v>3.8705597592620856E-2</v>
      </c>
      <c r="L20" s="27">
        <f>Table2[[#This Row],[infection count, low end of estimate range]]/$T$6</f>
        <v>1.7864121965825014E-2</v>
      </c>
      <c r="M20" s="26">
        <f>Table2[[#This Row],[infection count, high end of estimate range]]/$T$6</f>
        <v>4.2224288282859117E-2</v>
      </c>
      <c r="N20" s="15">
        <f>Table2[[#This Row],[infection percentage, high end of estimate range]]-Table2[[#This Row],[infection percentage, low end of estimate range]]</f>
        <v>2.4360166317034103E-2</v>
      </c>
      <c r="O20" s="27">
        <f>(Table2[[#This Row],[infection percentage, low end of estimate range]]+Table2[[#This Row],[infection percentage, high end of estimate range]])/2</f>
        <v>3.0044205124342065E-2</v>
      </c>
      <c r="P20" s="3">
        <f>$T$6/(Table2[[#This Row],[cases]]*5)</f>
        <v>43.060093896713617</v>
      </c>
      <c r="Q20" s="3">
        <f>$T$6/(Table2[[#This Row],[cases]]*7)</f>
        <v>30.757209926224011</v>
      </c>
      <c r="R20" s="3">
        <f>Table2[[#This Row],[1-in-X odds, estimating 5x cases infected]]-Table2[[#This Row],[1-in-X odds, estimating 7x cases infected]]</f>
        <v>12.302883970489606</v>
      </c>
      <c r="S20" s="3">
        <f>(Table2[[#This Row],[1-in-X odds, estimating 5x cases infected]]+Table2[[#This Row],[1-in-X odds, estimating 7x cases infected]])/2</f>
        <v>36.908651911468816</v>
      </c>
      <c r="U20" s="34" t="s">
        <v>30</v>
      </c>
      <c r="V20" s="66" t="s">
        <v>22</v>
      </c>
    </row>
    <row r="21" spans="1:22" x14ac:dyDescent="0.2">
      <c r="A21" s="8">
        <v>43929</v>
      </c>
      <c r="B21" s="9">
        <v>453</v>
      </c>
      <c r="C21" s="71">
        <f>Table2[[#This Row],[cases]]/$B$2</f>
        <v>4.939052312523169E-3</v>
      </c>
      <c r="D21" s="26">
        <f>(Table2[[#This Row],[cases]]-B20)/B20</f>
        <v>6.3380281690140844E-2</v>
      </c>
      <c r="E21" s="38">
        <f t="shared" si="0"/>
        <v>11.27934634412482</v>
      </c>
      <c r="F21" s="81">
        <f>Table2[[#This Row],[cases]]*100/$T$19</f>
        <v>3775</v>
      </c>
      <c r="G21" s="35">
        <f>Table2[[#This Row],[cases]]*100/$T$13</f>
        <v>1742.3076923076924</v>
      </c>
      <c r="H21" s="35">
        <f>Table2[[#This Row],[cases]]*100/$T$16</f>
        <v>4118.181818181818</v>
      </c>
      <c r="I21" s="35">
        <f>Table2[[#This Row],[infection count, high end of estimate range]]-Table2[[#This Row],[infection count, low end of estimate range]]</f>
        <v>2375.8741258741256</v>
      </c>
      <c r="J21" s="35">
        <f>(Table2[[#This Row],[infection count, low end of estimate range]]+Table2[[#This Row],[infection count, high end of estimate range]])/2</f>
        <v>2930.2447552447552</v>
      </c>
      <c r="K21" s="26">
        <f>Table2[[#This Row],[estimated infections]]/$T$6</f>
        <v>4.1158769271026407E-2</v>
      </c>
      <c r="L21" s="27">
        <f>Table2[[#This Row],[infection count, low end of estimate range]]/$T$6</f>
        <v>1.8996355048166033E-2</v>
      </c>
      <c r="M21" s="27">
        <f>Table2[[#This Row],[infection count, high end of estimate range]]/$T$6</f>
        <v>4.4900475568392439E-2</v>
      </c>
      <c r="N21" s="15">
        <f>Table2[[#This Row],[infection percentage, high end of estimate range]]-Table2[[#This Row],[infection percentage, low end of estimate range]]</f>
        <v>2.5904120520226406E-2</v>
      </c>
      <c r="O21" s="27">
        <f>(Table2[[#This Row],[infection percentage, low end of estimate range]]+Table2[[#This Row],[infection percentage, high end of estimate range]])/2</f>
        <v>3.1948415308279236E-2</v>
      </c>
      <c r="P21" s="3">
        <f>$T$6/(Table2[[#This Row],[cases]]*5)</f>
        <v>40.493598233995584</v>
      </c>
      <c r="Q21" s="3">
        <f>$T$6/(Table2[[#This Row],[cases]]*7)</f>
        <v>28.923998738568276</v>
      </c>
      <c r="R21" s="3">
        <f>Table2[[#This Row],[1-in-X odds, estimating 5x cases infected]]-Table2[[#This Row],[1-in-X odds, estimating 7x cases infected]]</f>
        <v>11.569599495427308</v>
      </c>
      <c r="S21" s="3">
        <f>(Table2[[#This Row],[1-in-X odds, estimating 5x cases infected]]+Table2[[#This Row],[1-in-X odds, estimating 7x cases infected]])/2</f>
        <v>34.708798486281928</v>
      </c>
      <c r="U21" s="3">
        <f ca="1">OFFSET(compute!E4,COUNTA(compute!E:E)-1,0)</f>
        <v>55.797630484028609</v>
      </c>
      <c r="V21" s="31"/>
    </row>
    <row r="22" spans="1:22" x14ac:dyDescent="0.2">
      <c r="A22" s="8">
        <v>43930</v>
      </c>
      <c r="B22" s="9">
        <v>464</v>
      </c>
      <c r="C22" s="71">
        <f>Table2[[#This Row],[cases]]/$B$2</f>
        <v>5.0589851501341068E-3</v>
      </c>
      <c r="D22" s="26">
        <f>(Table2[[#This Row],[cases]]-B21)/B21</f>
        <v>2.4282560706401765E-2</v>
      </c>
      <c r="E22" s="38">
        <f t="shared" ref="E22" si="1">(LN(2)/LN(B22/B21))</f>
        <v>28.890248909722647</v>
      </c>
      <c r="F22" s="81">
        <f>Table2[[#This Row],[cases]]*100/$T$19</f>
        <v>3866.6666666666665</v>
      </c>
      <c r="G22" s="35">
        <f>Table2[[#This Row],[cases]]*100/$T$13</f>
        <v>1784.6153846153845</v>
      </c>
      <c r="H22" s="35">
        <f>Table2[[#This Row],[cases]]*100/$T$16</f>
        <v>4218.181818181818</v>
      </c>
      <c r="I22" s="35">
        <f>Table2[[#This Row],[infection count, high end of estimate range]]-Table2[[#This Row],[infection count, low end of estimate range]]</f>
        <v>2433.5664335664333</v>
      </c>
      <c r="J22" s="35">
        <f>(Table2[[#This Row],[infection count, low end of estimate range]]+Table2[[#This Row],[infection count, high end of estimate range]])/2</f>
        <v>3001.3986013986014</v>
      </c>
      <c r="K22" s="26">
        <f>Table2[[#This Row],[estimated infections]]/$T$6</f>
        <v>4.2158209584450886E-2</v>
      </c>
      <c r="L22" s="27">
        <f>Table2[[#This Row],[infection count, low end of estimate range]]/$T$6</f>
        <v>1.9457635192823487E-2</v>
      </c>
      <c r="M22" s="27">
        <f>Table2[[#This Row],[infection count, high end of estimate range]]/$T$6</f>
        <v>4.5990774092128241E-2</v>
      </c>
      <c r="N22" s="15">
        <f>Table2[[#This Row],[infection percentage, high end of estimate range]]-Table2[[#This Row],[infection percentage, low end of estimate range]]</f>
        <v>2.6533138899304753E-2</v>
      </c>
      <c r="O22" s="27">
        <f>(Table2[[#This Row],[infection percentage, low end of estimate range]]+Table2[[#This Row],[infection percentage, high end of estimate range]])/2</f>
        <v>3.2724204642475864E-2</v>
      </c>
      <c r="P22" s="3">
        <f>$T$6/(Table2[[#This Row],[cases]]*5)</f>
        <v>39.533620689655173</v>
      </c>
      <c r="Q22" s="3">
        <f>$T$6/(Table2[[#This Row],[cases]]*7)</f>
        <v>28.238300492610836</v>
      </c>
      <c r="R22" s="3">
        <f>Table2[[#This Row],[1-in-X odds, estimating 5x cases infected]]-Table2[[#This Row],[1-in-X odds, estimating 7x cases infected]]</f>
        <v>11.295320197044337</v>
      </c>
      <c r="S22" s="3">
        <f>(Table2[[#This Row],[1-in-X odds, estimating 5x cases infected]]+Table2[[#This Row],[1-in-X odds, estimating 7x cases infected]])/2</f>
        <v>33.885960591133006</v>
      </c>
      <c r="V22" s="31"/>
    </row>
    <row r="23" spans="1:22" x14ac:dyDescent="0.2">
      <c r="A23" s="8">
        <v>43931</v>
      </c>
      <c r="B23" s="9">
        <v>479</v>
      </c>
      <c r="C23" s="71">
        <f>Table2[[#This Row],[cases]]/$B$2</f>
        <v>5.2225299286944764E-3</v>
      </c>
      <c r="D23" s="26">
        <f>(Table2[[#This Row],[cases]]-B22)/B22</f>
        <v>3.2327586206896554E-2</v>
      </c>
      <c r="E23" s="38">
        <f t="shared" ref="E23" si="2">(LN(2)/LN(B23/B22))</f>
        <v>21.78608863977048</v>
      </c>
      <c r="F23" s="81">
        <f>Table2[[#This Row],[cases]]*100/$T$19</f>
        <v>3991.6666666666665</v>
      </c>
      <c r="G23" s="35">
        <f>Table2[[#This Row],[cases]]*100/$T$13</f>
        <v>1842.3076923076924</v>
      </c>
      <c r="H23" s="35">
        <f>Table2[[#This Row],[cases]]*100/$T$16</f>
        <v>4354.545454545455</v>
      </c>
      <c r="I23" s="35">
        <f>Table2[[#This Row],[infection count, high end of estimate range]]-Table2[[#This Row],[infection count, low end of estimate range]]</f>
        <v>2512.2377622377626</v>
      </c>
      <c r="J23" s="35">
        <f>(Table2[[#This Row],[infection count, low end of estimate range]]+Table2[[#This Row],[infection count, high end of estimate range]])/2</f>
        <v>3098.4265734265737</v>
      </c>
      <c r="K23" s="26">
        <f>Table2[[#This Row],[estimated infections]]/$T$6</f>
        <v>4.3521082739120635E-2</v>
      </c>
      <c r="L23" s="27">
        <f>Table2[[#This Row],[infection count, low end of estimate range]]/$T$6</f>
        <v>2.0086653571901834E-2</v>
      </c>
      <c r="M23" s="27">
        <f>Table2[[#This Row],[infection count, high end of estimate range]]/$T$6</f>
        <v>4.7477544806313429E-2</v>
      </c>
      <c r="N23" s="15">
        <f>Table2[[#This Row],[infection percentage, high end of estimate range]]-Table2[[#This Row],[infection percentage, low end of estimate range]]</f>
        <v>2.7390891234411595E-2</v>
      </c>
      <c r="O23" s="27">
        <f>(Table2[[#This Row],[infection percentage, low end of estimate range]]+Table2[[#This Row],[infection percentage, high end of estimate range]])/2</f>
        <v>3.3782099189107628E-2</v>
      </c>
      <c r="P23" s="3">
        <f>$T$6/(Table2[[#This Row],[cases]]*5)</f>
        <v>38.29561586638831</v>
      </c>
      <c r="Q23" s="3">
        <f>$T$6/(Table2[[#This Row],[cases]]*7)</f>
        <v>27.354011333134505</v>
      </c>
      <c r="R23" s="3">
        <f>Table2[[#This Row],[1-in-X odds, estimating 5x cases infected]]-Table2[[#This Row],[1-in-X odds, estimating 7x cases infected]]</f>
        <v>10.941604533253805</v>
      </c>
      <c r="S23" s="3">
        <f>(Table2[[#This Row],[1-in-X odds, estimating 5x cases infected]]+Table2[[#This Row],[1-in-X odds, estimating 7x cases infected]])/2</f>
        <v>32.824813599761406</v>
      </c>
      <c r="V23" s="31" t="s">
        <v>48</v>
      </c>
    </row>
    <row r="24" spans="1:22" x14ac:dyDescent="0.2">
      <c r="A24" s="8">
        <v>43932</v>
      </c>
      <c r="B24" s="9">
        <v>516</v>
      </c>
      <c r="C24" s="71">
        <f>Table2[[#This Row],[cases]]/$B$2</f>
        <v>5.6259403824767224E-3</v>
      </c>
      <c r="D24" s="26">
        <f>(Table2[[#This Row],[cases]]-B23)/B23</f>
        <v>7.724425887265135E-2</v>
      </c>
      <c r="E24" s="38">
        <f t="shared" ref="E24" si="3">(LN(2)/LN(B24/B23))</f>
        <v>9.3157220501103151</v>
      </c>
      <c r="F24" s="81">
        <f>Table2[[#This Row],[cases]]*100/$T$19</f>
        <v>4300</v>
      </c>
      <c r="G24" s="35">
        <f>Table2[[#This Row],[cases]]*100/$T$13</f>
        <v>1984.6153846153845</v>
      </c>
      <c r="H24" s="35">
        <f>Table2[[#This Row],[cases]]*100/$T$16</f>
        <v>4690.909090909091</v>
      </c>
      <c r="I24" s="35">
        <f>Table2[[#This Row],[infection count, high end of estimate range]]-Table2[[#This Row],[infection count, low end of estimate range]]</f>
        <v>2706.2937062937062</v>
      </c>
      <c r="J24" s="35">
        <f>(Table2[[#This Row],[infection count, low end of estimate range]]+Table2[[#This Row],[infection count, high end of estimate range]])/2</f>
        <v>3337.7622377622379</v>
      </c>
      <c r="K24" s="26">
        <f>Table2[[#This Row],[estimated infections]]/$T$6</f>
        <v>4.6882836520639348E-2</v>
      </c>
      <c r="L24" s="27">
        <f>Table2[[#This Row],[infection count, low end of estimate range]]/$T$6</f>
        <v>2.1638232240295083E-2</v>
      </c>
      <c r="M24" s="27">
        <f>Table2[[#This Row],[infection count, high end of estimate range]]/$T$6</f>
        <v>5.1144912567970199E-2</v>
      </c>
      <c r="N24" s="15">
        <f>Table2[[#This Row],[infection percentage, high end of estimate range]]-Table2[[#This Row],[infection percentage, low end of estimate range]]</f>
        <v>2.9506680327675117E-2</v>
      </c>
      <c r="O24" s="27">
        <f>(Table2[[#This Row],[infection percentage, low end of estimate range]]+Table2[[#This Row],[infection percentage, high end of estimate range]])/2</f>
        <v>3.6391572404132641E-2</v>
      </c>
      <c r="P24" s="3">
        <f>$T$6/(Table2[[#This Row],[cases]]*5)</f>
        <v>35.549612403100774</v>
      </c>
      <c r="Q24" s="3">
        <f>$T$6/(Table2[[#This Row],[cases]]*7)</f>
        <v>25.392580287929125</v>
      </c>
      <c r="R24" s="3">
        <f>Table2[[#This Row],[1-in-X odds, estimating 5x cases infected]]-Table2[[#This Row],[1-in-X odds, estimating 7x cases infected]]</f>
        <v>10.157032115171649</v>
      </c>
      <c r="S24" s="3">
        <f>(Table2[[#This Row],[1-in-X odds, estimating 5x cases infected]]+Table2[[#This Row],[1-in-X odds, estimating 7x cases infected]])/2</f>
        <v>30.471096345514951</v>
      </c>
      <c r="V24" s="31"/>
    </row>
    <row r="25" spans="1:22" x14ac:dyDescent="0.2">
      <c r="A25" s="8">
        <v>43933</v>
      </c>
      <c r="B25" s="9">
        <v>523</v>
      </c>
      <c r="C25" s="71">
        <f>Table2[[#This Row],[cases]]/$B$2</f>
        <v>5.7022612791382283E-3</v>
      </c>
      <c r="D25" s="26">
        <f>(Table2[[#This Row],[cases]]-B24)/B24</f>
        <v>1.3565891472868217E-2</v>
      </c>
      <c r="E25" s="38">
        <f t="shared" ref="E25" si="4">(LN(2)/LN(B25/B24))</f>
        <v>51.440644573371593</v>
      </c>
      <c r="F25" s="81">
        <f>Table2[[#This Row],[cases]]*100/$T$19</f>
        <v>4358.333333333333</v>
      </c>
      <c r="G25" s="35">
        <f>Table2[[#This Row],[cases]]*100/$T$13</f>
        <v>2011.5384615384614</v>
      </c>
      <c r="H25" s="35">
        <f>Table2[[#This Row],[cases]]*100/$T$16</f>
        <v>4754.545454545455</v>
      </c>
      <c r="I25" s="35">
        <f>Table2[[#This Row],[infection count, high end of estimate range]]-Table2[[#This Row],[infection count, low end of estimate range]]</f>
        <v>2743.0069930069935</v>
      </c>
      <c r="J25" s="35">
        <f>(Table2[[#This Row],[infection count, low end of estimate range]]+Table2[[#This Row],[infection count, high end of estimate range]])/2</f>
        <v>3383.0419580419584</v>
      </c>
      <c r="K25" s="26">
        <f>Table2[[#This Row],[estimated infections]]/$T$6</f>
        <v>4.7518843992818562E-2</v>
      </c>
      <c r="L25" s="27">
        <f>Table2[[#This Row],[infection count, low end of estimate range]]/$T$6</f>
        <v>2.1931774150531644E-2</v>
      </c>
      <c r="M25" s="27">
        <f>Table2[[#This Row],[infection count, high end of estimate range]]/$T$6</f>
        <v>5.183873890125662E-2</v>
      </c>
      <c r="N25" s="15">
        <f>Table2[[#This Row],[infection percentage, high end of estimate range]]-Table2[[#This Row],[infection percentage, low end of estimate range]]</f>
        <v>2.9906964750724976E-2</v>
      </c>
      <c r="O25" s="27">
        <f>(Table2[[#This Row],[infection percentage, low end of estimate range]]+Table2[[#This Row],[infection percentage, high end of estimate range]])/2</f>
        <v>3.6885256525894132E-2</v>
      </c>
      <c r="P25" s="3">
        <f>$T$6/(Table2[[#This Row],[cases]]*5)</f>
        <v>35.073804971319312</v>
      </c>
      <c r="Q25" s="3">
        <f>$T$6/(Table2[[#This Row],[cases]]*7)</f>
        <v>25.052717836656651</v>
      </c>
      <c r="R25" s="3">
        <f>Table2[[#This Row],[1-in-X odds, estimating 5x cases infected]]-Table2[[#This Row],[1-in-X odds, estimating 7x cases infected]]</f>
        <v>10.021087134662661</v>
      </c>
      <c r="S25" s="3">
        <f>(Table2[[#This Row],[1-in-X odds, estimating 5x cases infected]]+Table2[[#This Row],[1-in-X odds, estimating 7x cases infected]])/2</f>
        <v>30.06326140398798</v>
      </c>
      <c r="V25" s="31"/>
    </row>
    <row r="26" spans="1:22" x14ac:dyDescent="0.2">
      <c r="A26" s="8">
        <v>43934</v>
      </c>
      <c r="B26" s="9">
        <v>553</v>
      </c>
      <c r="C26" s="71">
        <f>Table2[[#This Row],[cases]]/$B$2</f>
        <v>6.0293508362589676E-3</v>
      </c>
      <c r="D26" s="26">
        <f>(Table2[[#This Row],[cases]]-B25)/B25</f>
        <v>5.736137667304015E-2</v>
      </c>
      <c r="E26" s="38">
        <f t="shared" ref="E26" si="5">(LN(2)/LN(B26/B25))</f>
        <v>12.427217825939763</v>
      </c>
      <c r="F26" s="81">
        <f>Table2[[#This Row],[cases]]*100/$T$19</f>
        <v>4608.333333333333</v>
      </c>
      <c r="G26" s="35">
        <f>Table2[[#This Row],[cases]]*100/$T$13</f>
        <v>2126.9230769230771</v>
      </c>
      <c r="H26" s="35">
        <f>Table2[[#This Row],[cases]]*100/$T$16</f>
        <v>5027.272727272727</v>
      </c>
      <c r="I26" s="35">
        <f>Table2[[#This Row],[infection count, high end of estimate range]]-Table2[[#This Row],[infection count, low end of estimate range]]</f>
        <v>2900.3496503496499</v>
      </c>
      <c r="J26" s="35">
        <f>(Table2[[#This Row],[infection count, low end of estimate range]]+Table2[[#This Row],[infection count, high end of estimate range]])/2</f>
        <v>3577.0979020979021</v>
      </c>
      <c r="K26" s="26">
        <f>Table2[[#This Row],[estimated infections]]/$T$6</f>
        <v>5.0244590302158061E-2</v>
      </c>
      <c r="L26" s="27">
        <f>Table2[[#This Row],[infection count, low end of estimate range]]/$T$6</f>
        <v>2.3189810908688338E-2</v>
      </c>
      <c r="M26" s="27">
        <f>Table2[[#This Row],[infection count, high end of estimate range]]/$T$6</f>
        <v>5.4812280329626976E-2</v>
      </c>
      <c r="N26" s="15">
        <f>Table2[[#This Row],[infection percentage, high end of estimate range]]-Table2[[#This Row],[infection percentage, low end of estimate range]]</f>
        <v>3.1622469420938638E-2</v>
      </c>
      <c r="O26" s="27">
        <f>(Table2[[#This Row],[infection percentage, low end of estimate range]]+Table2[[#This Row],[infection percentage, high end of estimate range]])/2</f>
        <v>3.9001045619157654E-2</v>
      </c>
      <c r="P26" s="3">
        <f>$T$6/(Table2[[#This Row],[cases]]*5)</f>
        <v>33.171066907775767</v>
      </c>
      <c r="Q26" s="3">
        <f>$T$6/(Table2[[#This Row],[cases]]*7)</f>
        <v>23.693619219839835</v>
      </c>
      <c r="R26" s="3">
        <f>Table2[[#This Row],[1-in-X odds, estimating 5x cases infected]]-Table2[[#This Row],[1-in-X odds, estimating 7x cases infected]]</f>
        <v>9.477447687935932</v>
      </c>
      <c r="S26" s="3">
        <f>(Table2[[#This Row],[1-in-X odds, estimating 5x cases infected]]+Table2[[#This Row],[1-in-X odds, estimating 7x cases infected]])/2</f>
        <v>28.432343063807799</v>
      </c>
      <c r="V26" s="31"/>
    </row>
    <row r="27" spans="1:22" x14ac:dyDescent="0.2">
      <c r="A27" s="8">
        <v>43935</v>
      </c>
      <c r="B27" s="9">
        <v>562</v>
      </c>
      <c r="C27" s="71">
        <f>Table2[[#This Row],[cases]]/$B$2</f>
        <v>6.1274777033951894E-3</v>
      </c>
      <c r="D27" s="26">
        <f>(Table2[[#This Row],[cases]]-B26)/B26</f>
        <v>1.62748643761302E-2</v>
      </c>
      <c r="E27" s="38">
        <f t="shared" ref="E27" si="6">(LN(2)/LN(B27/B26))</f>
        <v>42.935684516821048</v>
      </c>
      <c r="F27" s="81">
        <f>Table2[[#This Row],[cases]]*100/$T$19</f>
        <v>4683.333333333333</v>
      </c>
      <c r="G27" s="35">
        <f>Table2[[#This Row],[cases]]*100/$T$13</f>
        <v>2161.5384615384614</v>
      </c>
      <c r="H27" s="35">
        <f>Table2[[#This Row],[cases]]*100/$T$16</f>
        <v>5109.090909090909</v>
      </c>
      <c r="I27" s="35">
        <f>Table2[[#This Row],[infection count, high end of estimate range]]-Table2[[#This Row],[infection count, low end of estimate range]]</f>
        <v>2947.5524475524476</v>
      </c>
      <c r="J27" s="35">
        <f>(Table2[[#This Row],[infection count, low end of estimate range]]+Table2[[#This Row],[infection count, high end of estimate range]])/2</f>
        <v>3635.3146853146854</v>
      </c>
      <c r="K27" s="26">
        <f>Table2[[#This Row],[estimated infections]]/$T$6</f>
        <v>5.1062314194959907E-2</v>
      </c>
      <c r="L27" s="27">
        <f>Table2[[#This Row],[infection count, low end of estimate range]]/$T$6</f>
        <v>2.3567221936135342E-2</v>
      </c>
      <c r="M27" s="27">
        <f>Table2[[#This Row],[infection count, high end of estimate range]]/$T$6</f>
        <v>5.5704342758138084E-2</v>
      </c>
      <c r="N27" s="15">
        <f>Table2[[#This Row],[infection percentage, high end of estimate range]]-Table2[[#This Row],[infection percentage, low end of estimate range]]</f>
        <v>3.2137120822002742E-2</v>
      </c>
      <c r="O27" s="27">
        <f>(Table2[[#This Row],[infection percentage, low end of estimate range]]+Table2[[#This Row],[infection percentage, high end of estimate range]])/2</f>
        <v>3.9635782347136717E-2</v>
      </c>
      <c r="P27" s="3">
        <f>$T$6/(Table2[[#This Row],[cases]]*5)</f>
        <v>32.639857651245549</v>
      </c>
      <c r="Q27" s="3">
        <f>$T$6/(Table2[[#This Row],[cases]]*7)</f>
        <v>23.314184036603965</v>
      </c>
      <c r="R27" s="3">
        <f>Table2[[#This Row],[1-in-X odds, estimating 5x cases infected]]-Table2[[#This Row],[1-in-X odds, estimating 7x cases infected]]</f>
        <v>9.325673614641584</v>
      </c>
      <c r="S27" s="3">
        <f>(Table2[[#This Row],[1-in-X odds, estimating 5x cases infected]]+Table2[[#This Row],[1-in-X odds, estimating 7x cases infected]])/2</f>
        <v>27.977020843924755</v>
      </c>
      <c r="V27" s="31"/>
    </row>
    <row r="28" spans="1:22" x14ac:dyDescent="0.2">
      <c r="A28" s="8">
        <v>43936</v>
      </c>
      <c r="B28" s="9">
        <v>577</v>
      </c>
      <c r="C28" s="71">
        <f>Table2[[#This Row],[cases]]/$B$2</f>
        <v>6.2910224819555591E-3</v>
      </c>
      <c r="D28" s="26">
        <f>(Table2[[#This Row],[cases]]-B27)/B27</f>
        <v>2.6690391459074734E-2</v>
      </c>
      <c r="E28" s="38">
        <f t="shared" ref="E28" si="7">(LN(2)/LN(B28/B27))</f>
        <v>26.314966490726817</v>
      </c>
      <c r="F28" s="81">
        <f>Table2[[#This Row],[cases]]*100/$T$19</f>
        <v>4808.333333333333</v>
      </c>
      <c r="G28" s="35">
        <f>Table2[[#This Row],[cases]]*100/$T$13</f>
        <v>2219.2307692307691</v>
      </c>
      <c r="H28" s="35">
        <f>Table2[[#This Row],[cases]]*100/$T$16</f>
        <v>5245.454545454545</v>
      </c>
      <c r="I28" s="35">
        <f>Table2[[#This Row],[infection count, high end of estimate range]]-Table2[[#This Row],[infection count, low end of estimate range]]</f>
        <v>3026.223776223776</v>
      </c>
      <c r="J28" s="35">
        <f>(Table2[[#This Row],[infection count, low end of estimate range]]+Table2[[#This Row],[infection count, high end of estimate range]])/2</f>
        <v>3732.3426573426568</v>
      </c>
      <c r="K28" s="26">
        <f>Table2[[#This Row],[estimated infections]]/$T$6</f>
        <v>5.2425187349629657E-2</v>
      </c>
      <c r="L28" s="27">
        <f>Table2[[#This Row],[infection count, low end of estimate range]]/$T$6</f>
        <v>2.4196240315213689E-2</v>
      </c>
      <c r="M28" s="27">
        <f>Table2[[#This Row],[infection count, high end of estimate range]]/$T$6</f>
        <v>5.7191113472323266E-2</v>
      </c>
      <c r="N28" s="15">
        <f>Table2[[#This Row],[infection percentage, high end of estimate range]]-Table2[[#This Row],[infection percentage, low end of estimate range]]</f>
        <v>3.2994873157109576E-2</v>
      </c>
      <c r="O28" s="27">
        <f>(Table2[[#This Row],[infection percentage, low end of estimate range]]+Table2[[#This Row],[infection percentage, high end of estimate range]])/2</f>
        <v>4.0693676893768474E-2</v>
      </c>
      <c r="P28" s="3">
        <f>$T$6/(Table2[[#This Row],[cases]]*5)</f>
        <v>31.791334488734837</v>
      </c>
      <c r="Q28" s="3">
        <f>$T$6/(Table2[[#This Row],[cases]]*7)</f>
        <v>22.708096063382026</v>
      </c>
      <c r="R28" s="3">
        <f>Table2[[#This Row],[1-in-X odds, estimating 5x cases infected]]-Table2[[#This Row],[1-in-X odds, estimating 7x cases infected]]</f>
        <v>9.0832384253528105</v>
      </c>
      <c r="S28" s="3">
        <f>(Table2[[#This Row],[1-in-X odds, estimating 5x cases infected]]+Table2[[#This Row],[1-in-X odds, estimating 7x cases infected]])/2</f>
        <v>27.249715276058431</v>
      </c>
      <c r="V28" s="31"/>
    </row>
    <row r="29" spans="1:22" x14ac:dyDescent="0.2">
      <c r="A29" s="8">
        <v>43937</v>
      </c>
      <c r="B29" s="9">
        <v>583</v>
      </c>
      <c r="C29" s="71">
        <f>Table2[[#This Row],[cases]]/$B$2</f>
        <v>6.3564403933797069E-3</v>
      </c>
      <c r="D29" s="26">
        <f>(Table2[[#This Row],[cases]]-B28)/B28</f>
        <v>1.0398613518197574E-2</v>
      </c>
      <c r="E29" s="38">
        <f t="shared" ref="E29:E30" si="8">(LN(2)/LN(B29/B28))</f>
        <v>67.003629909192583</v>
      </c>
      <c r="F29" s="81">
        <f>Table2[[#This Row],[cases]]*100/$T$19</f>
        <v>4858.333333333333</v>
      </c>
      <c r="G29" s="35">
        <f>Table2[[#This Row],[cases]]*100/$T$13</f>
        <v>2242.3076923076924</v>
      </c>
      <c r="H29" s="35">
        <f>Table2[[#This Row],[cases]]*100/$T$16</f>
        <v>5300</v>
      </c>
      <c r="I29" s="35">
        <f>Table2[[#This Row],[infection count, high end of estimate range]]-Table2[[#This Row],[infection count, low end of estimate range]]</f>
        <v>3057.6923076923076</v>
      </c>
      <c r="J29" s="35">
        <f>(Table2[[#This Row],[infection count, low end of estimate range]]+Table2[[#This Row],[infection count, high end of estimate range]])/2</f>
        <v>3771.1538461538462</v>
      </c>
      <c r="K29" s="26">
        <f>Table2[[#This Row],[estimated infections]]/$T$6</f>
        <v>5.2970336611497561E-2</v>
      </c>
      <c r="L29" s="27">
        <f>Table2[[#This Row],[infection count, low end of estimate range]]/$T$6</f>
        <v>2.4447847666845029E-2</v>
      </c>
      <c r="M29" s="27">
        <f>Table2[[#This Row],[infection count, high end of estimate range]]/$T$6</f>
        <v>5.778582175799734E-2</v>
      </c>
      <c r="N29" s="15">
        <f>Table2[[#This Row],[infection percentage, high end of estimate range]]-Table2[[#This Row],[infection percentage, low end of estimate range]]</f>
        <v>3.3337974091152314E-2</v>
      </c>
      <c r="O29" s="27">
        <f>(Table2[[#This Row],[infection percentage, low end of estimate range]]+Table2[[#This Row],[infection percentage, high end of estimate range]])/2</f>
        <v>4.1116834712421182E-2</v>
      </c>
      <c r="P29" s="3">
        <f>$T$6/(Table2[[#This Row],[cases]]*5)</f>
        <v>31.464150943396227</v>
      </c>
      <c r="Q29" s="3">
        <f>$T$6/(Table2[[#This Row],[cases]]*7)</f>
        <v>22.474393530997304</v>
      </c>
      <c r="R29" s="3">
        <f>Table2[[#This Row],[1-in-X odds, estimating 5x cases infected]]-Table2[[#This Row],[1-in-X odds, estimating 7x cases infected]]</f>
        <v>8.989757412398923</v>
      </c>
      <c r="S29" s="3">
        <f>(Table2[[#This Row],[1-in-X odds, estimating 5x cases infected]]+Table2[[#This Row],[1-in-X odds, estimating 7x cases infected]])/2</f>
        <v>26.969272237196765</v>
      </c>
      <c r="V29" s="31"/>
    </row>
    <row r="30" spans="1:22" x14ac:dyDescent="0.2">
      <c r="A30" s="8">
        <v>43938</v>
      </c>
      <c r="B30" s="9">
        <v>601</v>
      </c>
      <c r="C30" s="71">
        <f>Table2[[#This Row],[cases]]/$B$2</f>
        <v>6.5526941276521514E-3</v>
      </c>
      <c r="D30" s="26">
        <f>(Table2[[#This Row],[cases]]-B29)/B29</f>
        <v>3.0874785591766724E-2</v>
      </c>
      <c r="E30" s="38">
        <f t="shared" si="8"/>
        <v>22.795084211739212</v>
      </c>
      <c r="F30" s="81">
        <f>Table2[[#This Row],[cases]]*100/$T$19</f>
        <v>5008.333333333333</v>
      </c>
      <c r="G30" s="35">
        <f>Table2[[#This Row],[cases]]*100/$T$13</f>
        <v>2311.5384615384614</v>
      </c>
      <c r="H30" s="35">
        <f>Table2[[#This Row],[cases]]*100/$T$16</f>
        <v>5463.636363636364</v>
      </c>
      <c r="I30" s="35">
        <f>Table2[[#This Row],[infection count, high end of estimate range]]-Table2[[#This Row],[infection count, low end of estimate range]]</f>
        <v>3152.0979020979025</v>
      </c>
      <c r="J30" s="35">
        <f>(Table2[[#This Row],[infection count, low end of estimate range]]+Table2[[#This Row],[infection count, high end of estimate range]])/2</f>
        <v>3887.5874125874125</v>
      </c>
      <c r="K30" s="26">
        <f>Table2[[#This Row],[estimated infections]]/$T$6</f>
        <v>5.4605784397101259E-2</v>
      </c>
      <c r="L30" s="27">
        <f>Table2[[#This Row],[infection count, low end of estimate range]]/$T$6</f>
        <v>2.5202669721739041E-2</v>
      </c>
      <c r="M30" s="27">
        <f>Table2[[#This Row],[infection count, high end of estimate range]]/$T$6</f>
        <v>5.9569946615019562E-2</v>
      </c>
      <c r="N30" s="15">
        <f>Table2[[#This Row],[infection percentage, high end of estimate range]]-Table2[[#This Row],[infection percentage, low end of estimate range]]</f>
        <v>3.4367276893280521E-2</v>
      </c>
      <c r="O30" s="27">
        <f>(Table2[[#This Row],[infection percentage, low end of estimate range]]+Table2[[#This Row],[infection percentage, high end of estimate range]])/2</f>
        <v>4.2386308168379301E-2</v>
      </c>
      <c r="P30" s="3">
        <f>$T$6/(Table2[[#This Row],[cases]]*5)</f>
        <v>30.521797004991679</v>
      </c>
      <c r="Q30" s="3">
        <f>$T$6/(Table2[[#This Row],[cases]]*7)</f>
        <v>21.801283574994059</v>
      </c>
      <c r="R30" s="3">
        <f>Table2[[#This Row],[1-in-X odds, estimating 5x cases infected]]-Table2[[#This Row],[1-in-X odds, estimating 7x cases infected]]</f>
        <v>8.7205134299976201</v>
      </c>
      <c r="S30" s="3">
        <f>(Table2[[#This Row],[1-in-X odds, estimating 5x cases infected]]+Table2[[#This Row],[1-in-X odds, estimating 7x cases infected]])/2</f>
        <v>26.161540289992871</v>
      </c>
      <c r="V30" s="31"/>
    </row>
    <row r="31" spans="1:22" x14ac:dyDescent="0.2">
      <c r="A31" s="8">
        <v>43939</v>
      </c>
      <c r="B31" s="9">
        <v>614</v>
      </c>
      <c r="C31" s="71">
        <f>Table2[[#This Row],[cases]]/$B$2</f>
        <v>6.6944329357378051E-3</v>
      </c>
      <c r="D31" s="26">
        <f>(Table2[[#This Row],[cases]]-B30)/B30</f>
        <v>2.1630615640599003E-2</v>
      </c>
      <c r="E31" s="38">
        <f t="shared" ref="E31" si="9">(LN(2)/LN(B31/B30))</f>
        <v>32.390064835036874</v>
      </c>
      <c r="F31" s="81">
        <f>Table2[[#This Row],[cases]]*100/$T$19</f>
        <v>5116.666666666667</v>
      </c>
      <c r="G31" s="35">
        <f>Table2[[#This Row],[cases]]*100/$T$13</f>
        <v>2361.5384615384614</v>
      </c>
      <c r="H31" s="35">
        <f>Table2[[#This Row],[cases]]*100/$T$16</f>
        <v>5581.818181818182</v>
      </c>
      <c r="I31" s="35">
        <f>Table2[[#This Row],[infection count, high end of estimate range]]-Table2[[#This Row],[infection count, low end of estimate range]]</f>
        <v>3220.2797202797206</v>
      </c>
      <c r="J31" s="35">
        <f>(Table2[[#This Row],[infection count, low end of estimate range]]+Table2[[#This Row],[infection count, high end of estimate range]])/2</f>
        <v>3971.6783216783215</v>
      </c>
      <c r="K31" s="26">
        <f>Table2[[#This Row],[estimated infections]]/$T$6</f>
        <v>5.5786941131148376E-2</v>
      </c>
      <c r="L31" s="27">
        <f>Table2[[#This Row],[infection count, low end of estimate range]]/$T$6</f>
        <v>2.5747818983606941E-2</v>
      </c>
      <c r="M31" s="27">
        <f>Table2[[#This Row],[infection count, high end of estimate range]]/$T$6</f>
        <v>6.085848123398005E-2</v>
      </c>
      <c r="N31" s="15">
        <f>Table2[[#This Row],[infection percentage, high end of estimate range]]-Table2[[#This Row],[infection percentage, low end of estimate range]]</f>
        <v>3.5110662250373112E-2</v>
      </c>
      <c r="O31" s="27">
        <f>(Table2[[#This Row],[infection percentage, low end of estimate range]]+Table2[[#This Row],[infection percentage, high end of estimate range]])/2</f>
        <v>4.3303150108793494E-2</v>
      </c>
      <c r="P31" s="3">
        <f>$T$6/(Table2[[#This Row],[cases]]*5)</f>
        <v>29.87557003257329</v>
      </c>
      <c r="Q31" s="3">
        <f>$T$6/(Table2[[#This Row],[cases]]*7)</f>
        <v>21.339692880409494</v>
      </c>
      <c r="R31" s="3">
        <f>Table2[[#This Row],[1-in-X odds, estimating 5x cases infected]]-Table2[[#This Row],[1-in-X odds, estimating 7x cases infected]]</f>
        <v>8.5358771521637955</v>
      </c>
      <c r="S31" s="3">
        <f>(Table2[[#This Row],[1-in-X odds, estimating 5x cases infected]]+Table2[[#This Row],[1-in-X odds, estimating 7x cases infected]])/2</f>
        <v>25.60763145649139</v>
      </c>
      <c r="V31" s="31"/>
    </row>
    <row r="32" spans="1:22" x14ac:dyDescent="0.2">
      <c r="A32" s="8">
        <v>43940</v>
      </c>
      <c r="B32" s="9">
        <v>620</v>
      </c>
      <c r="C32" s="71">
        <f>Table2[[#This Row],[cases]]/$B$2</f>
        <v>6.759850847161953E-3</v>
      </c>
      <c r="D32" s="26">
        <f>(Table2[[#This Row],[cases]]-B31)/B31</f>
        <v>9.7719869706840382E-3</v>
      </c>
      <c r="E32" s="38">
        <f t="shared" ref="E32:E34" si="10">(LN(2)/LN(B32/B31))</f>
        <v>71.278073356438</v>
      </c>
      <c r="F32" s="81">
        <f>Table2[[#This Row],[cases]]*100/$T$19</f>
        <v>5166.666666666667</v>
      </c>
      <c r="G32" s="35">
        <f>Table2[[#This Row],[cases]]*100/$T$13</f>
        <v>2384.6153846153848</v>
      </c>
      <c r="H32" s="35">
        <f>Table2[[#This Row],[cases]]*100/$T$16</f>
        <v>5636.363636363636</v>
      </c>
      <c r="I32" s="35">
        <f>Table2[[#This Row],[infection count, high end of estimate range]]-Table2[[#This Row],[infection count, low end of estimate range]]</f>
        <v>3251.7482517482513</v>
      </c>
      <c r="J32" s="35">
        <f>(Table2[[#This Row],[infection count, low end of estimate range]]+Table2[[#This Row],[infection count, high end of estimate range]])/2</f>
        <v>4010.4895104895104</v>
      </c>
      <c r="K32" s="26">
        <f>Table2[[#This Row],[estimated infections]]/$T$6</f>
        <v>5.6332090393016281E-2</v>
      </c>
      <c r="L32" s="27">
        <f>Table2[[#This Row],[infection count, low end of estimate range]]/$T$6</f>
        <v>2.5999426335238281E-2</v>
      </c>
      <c r="M32" s="27">
        <f>Table2[[#This Row],[infection count, high end of estimate range]]/$T$6</f>
        <v>6.1453189519654117E-2</v>
      </c>
      <c r="N32" s="15">
        <f>Table2[[#This Row],[infection percentage, high end of estimate range]]-Table2[[#This Row],[infection percentage, low end of estimate range]]</f>
        <v>3.5453763184415836E-2</v>
      </c>
      <c r="O32" s="27">
        <f>(Table2[[#This Row],[infection percentage, low end of estimate range]]+Table2[[#This Row],[infection percentage, high end of estimate range]])/2</f>
        <v>4.3726307927446195E-2</v>
      </c>
      <c r="P32" s="3">
        <f>$T$6/(Table2[[#This Row],[cases]]*5)</f>
        <v>29.586451612903225</v>
      </c>
      <c r="Q32" s="3">
        <f>$T$6/(Table2[[#This Row],[cases]]*7)</f>
        <v>21.133179723502305</v>
      </c>
      <c r="R32" s="3">
        <f>Table2[[#This Row],[1-in-X odds, estimating 5x cases infected]]-Table2[[#This Row],[1-in-X odds, estimating 7x cases infected]]</f>
        <v>8.45327188940092</v>
      </c>
      <c r="S32" s="3">
        <f>(Table2[[#This Row],[1-in-X odds, estimating 5x cases infected]]+Table2[[#This Row],[1-in-X odds, estimating 7x cases infected]])/2</f>
        <v>25.359815668202764</v>
      </c>
      <c r="V32" s="31"/>
    </row>
    <row r="33" spans="1:22" x14ac:dyDescent="0.2">
      <c r="A33" s="8">
        <v>43941</v>
      </c>
      <c r="B33" s="9">
        <v>640</v>
      </c>
      <c r="C33" s="71">
        <f>Table2[[#This Row],[cases]]/$B$2</f>
        <v>6.9779105519091125E-3</v>
      </c>
      <c r="D33" s="26">
        <f>(Table2[[#This Row],[cases]]-B32)/B32</f>
        <v>3.2258064516129031E-2</v>
      </c>
      <c r="E33" s="38">
        <f t="shared" si="10"/>
        <v>21.832302341719139</v>
      </c>
      <c r="F33" s="81">
        <f>Table2[[#This Row],[cases]]*100/$T$19</f>
        <v>5333.333333333333</v>
      </c>
      <c r="G33" s="35">
        <f>Table2[[#This Row],[cases]]*100/$T$13</f>
        <v>2461.5384615384614</v>
      </c>
      <c r="H33" s="35">
        <f>Table2[[#This Row],[cases]]*100/$T$16</f>
        <v>5818.181818181818</v>
      </c>
      <c r="I33" s="35">
        <f>Table2[[#This Row],[infection count, high end of estimate range]]-Table2[[#This Row],[infection count, low end of estimate range]]</f>
        <v>3356.6433566433566</v>
      </c>
      <c r="J33" s="35">
        <f>(Table2[[#This Row],[infection count, low end of estimate range]]+Table2[[#This Row],[infection count, high end of estimate range]])/2</f>
        <v>4139.8601398601395</v>
      </c>
      <c r="K33" s="26">
        <f>Table2[[#This Row],[estimated infections]]/$T$6</f>
        <v>5.8149254599242604E-2</v>
      </c>
      <c r="L33" s="27">
        <f>Table2[[#This Row],[infection count, low end of estimate range]]/$T$6</f>
        <v>2.6838117507342739E-2</v>
      </c>
      <c r="M33" s="27">
        <f>Table2[[#This Row],[infection count, high end of estimate range]]/$T$6</f>
        <v>6.3435550471901025E-2</v>
      </c>
      <c r="N33" s="15">
        <f>Table2[[#This Row],[infection percentage, high end of estimate range]]-Table2[[#This Row],[infection percentage, low end of estimate range]]</f>
        <v>3.6597432964558287E-2</v>
      </c>
      <c r="O33" s="27">
        <f>(Table2[[#This Row],[infection percentage, low end of estimate range]]+Table2[[#This Row],[infection percentage, high end of estimate range]])/2</f>
        <v>4.5136833989621886E-2</v>
      </c>
      <c r="P33" s="3">
        <f>$T$6/(Table2[[#This Row],[cases]]*5)</f>
        <v>28.661874999999998</v>
      </c>
      <c r="Q33" s="3">
        <f>$T$6/(Table2[[#This Row],[cases]]*7)</f>
        <v>20.472767857142856</v>
      </c>
      <c r="R33" s="3">
        <f>Table2[[#This Row],[1-in-X odds, estimating 5x cases infected]]-Table2[[#This Row],[1-in-X odds, estimating 7x cases infected]]</f>
        <v>8.1891071428571429</v>
      </c>
      <c r="S33" s="3">
        <f>(Table2[[#This Row],[1-in-X odds, estimating 5x cases infected]]+Table2[[#This Row],[1-in-X odds, estimating 7x cases infected]])/2</f>
        <v>24.567321428571425</v>
      </c>
      <c r="V33" s="31"/>
    </row>
    <row r="34" spans="1:22" x14ac:dyDescent="0.2">
      <c r="A34" s="8">
        <v>43942</v>
      </c>
      <c r="B34" s="9">
        <v>648</v>
      </c>
      <c r="C34" s="71">
        <f>Table2[[#This Row],[cases]]/$B$2</f>
        <v>7.0651344338079763E-3</v>
      </c>
      <c r="D34" s="26">
        <f>(Table2[[#This Row],[cases]]-B33)/B33</f>
        <v>1.2500000000000001E-2</v>
      </c>
      <c r="E34" s="38">
        <f t="shared" si="10"/>
        <v>55.797630484028609</v>
      </c>
      <c r="F34" s="81">
        <f>Table2[[#This Row],[cases]]*100/$T$19</f>
        <v>5400</v>
      </c>
      <c r="G34" s="35">
        <f>Table2[[#This Row],[cases]]*100/$T$13</f>
        <v>2492.3076923076924</v>
      </c>
      <c r="H34" s="35">
        <f>Table2[[#This Row],[cases]]*100/$T$16</f>
        <v>5890.909090909091</v>
      </c>
      <c r="I34" s="35">
        <f>Table2[[#This Row],[infection count, high end of estimate range]]-Table2[[#This Row],[infection count, low end of estimate range]]</f>
        <v>3398.6013986013986</v>
      </c>
      <c r="J34" s="35">
        <f>(Table2[[#This Row],[infection count, low end of estimate range]]+Table2[[#This Row],[infection count, high end of estimate range]])/2</f>
        <v>4191.6083916083917</v>
      </c>
      <c r="K34" s="26">
        <f>Table2[[#This Row],[estimated infections]]/$T$6</f>
        <v>5.8876120281733141E-2</v>
      </c>
      <c r="L34" s="27">
        <f>Table2[[#This Row],[infection count, low end of estimate range]]/$T$6</f>
        <v>2.7173593976184525E-2</v>
      </c>
      <c r="M34" s="27">
        <f>Table2[[#This Row],[infection count, high end of estimate range]]/$T$6</f>
        <v>6.4228494852799786E-2</v>
      </c>
      <c r="N34" s="15">
        <f>Table2[[#This Row],[infection percentage, high end of estimate range]]-Table2[[#This Row],[infection percentage, low end of estimate range]]</f>
        <v>3.7054900876615261E-2</v>
      </c>
      <c r="O34" s="27">
        <f>(Table2[[#This Row],[infection percentage, low end of estimate range]]+Table2[[#This Row],[infection percentage, high end of estimate range]])/2</f>
        <v>4.5701044414492159E-2</v>
      </c>
      <c r="P34" s="3">
        <f>$T$6/(Table2[[#This Row],[cases]]*5)</f>
        <v>28.308024691358025</v>
      </c>
      <c r="Q34" s="3">
        <f>$T$6/(Table2[[#This Row],[cases]]*7)</f>
        <v>20.220017636684304</v>
      </c>
      <c r="R34" s="3">
        <f>Table2[[#This Row],[1-in-X odds, estimating 5x cases infected]]-Table2[[#This Row],[1-in-X odds, estimating 7x cases infected]]</f>
        <v>8.0880070546737208</v>
      </c>
      <c r="S34" s="3">
        <f>(Table2[[#This Row],[1-in-X odds, estimating 5x cases infected]]+Table2[[#This Row],[1-in-X odds, estimating 7x cases infected]])/2</f>
        <v>24.264021164021166</v>
      </c>
      <c r="V34" s="31"/>
    </row>
    <row r="35" spans="1:22" x14ac:dyDescent="0.2">
      <c r="V35" s="55" t="str">
        <f ca="1">"updated " &amp; TEXT($U6,"MMMM d, yyyy") &amp; ", " &amp; T9</f>
        <v>updated April 21, 2020, morning</v>
      </c>
    </row>
    <row r="36" spans="1:22" x14ac:dyDescent="0.2">
      <c r="U36" s="34" t="s">
        <v>32</v>
      </c>
      <c r="V36" s="36"/>
    </row>
    <row r="37" spans="1:22" x14ac:dyDescent="0.2">
      <c r="U37" s="27">
        <f ca="1">OFFSET(compute!D4,COUNTA(compute!D:D)-1,0)</f>
        <v>1.2500000000000001E-2</v>
      </c>
    </row>
    <row r="38" spans="1:22" x14ac:dyDescent="0.2">
      <c r="V38" s="33" t="s">
        <v>24</v>
      </c>
    </row>
    <row r="39" spans="1:22" x14ac:dyDescent="0.2">
      <c r="V39" s="1" t="str">
        <f ca="1">"There have been " &amp;TEXT( U9,"0") &amp; " confirmed cases of COVID-19 disease in " &amp; B1 &amp; " since the start of the outbreak."</f>
        <v>There have been 648 confirmed cases of COVID-19 disease in Miami Beach since the start of the outbreak.</v>
      </c>
    </row>
    <row r="41" spans="1:22" x14ac:dyDescent="0.2">
      <c r="V41" s="1" t="str">
        <f ca="1">"Around " &amp;TEXT(ROUND(U12,-3),"#,##0") &amp;" people in " &amp; B1 &amp; " may have already been infected with the SARS-CoV-2 virus."</f>
        <v>Around 5,000 people in Miami Beach may have already been infected with the SARS-CoV-2 virus.</v>
      </c>
    </row>
    <row r="43" spans="1:22" x14ac:dyDescent="0.2">
      <c r="V43" s="1" t="str">
        <f ca="1">"Around " &amp; TEXT(U15,"0.0%") &amp; " of the total population of " &amp; B1 &amp; " may have already been infected with the SARS-CoV-2 virus, based on an estimated population of " &amp; TEXT(T6,"0,000") &amp; "."</f>
        <v>Around 5.9% of the total population of Miami Beach may have already been infected with the SARS-CoV-2 virus, based on an estimated population of 91,718.</v>
      </c>
    </row>
    <row r="45" spans="1:22" x14ac:dyDescent="0.2">
      <c r="V45"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24.</v>
      </c>
    </row>
    <row r="47" spans="1:22" x14ac:dyDescent="0.2">
      <c r="V47" s="1" t="str">
        <f ca="1">"doubing in " &amp; TEXT(U21,"0.0") &amp; " days"</f>
        <v>doubing in 55.8 days</v>
      </c>
    </row>
    <row r="49" spans="22:22" x14ac:dyDescent="0.2">
      <c r="V49" s="1" t="str">
        <f ca="1">TEXT(U37, "+0.0%;-0.0%") &amp; " per day"</f>
        <v>+1.3% per day</v>
      </c>
    </row>
    <row r="51" spans="22:22" x14ac:dyDescent="0.2">
      <c r="V51" t="str">
        <f ca="1">"The current rate of increase is " &amp; V49</f>
        <v>The current rate of increase is +1.3%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34"/>
  <sheetViews>
    <sheetView workbookViewId="0">
      <selection sqref="A1:B34"/>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row r="28" spans="1:4" x14ac:dyDescent="0.2">
      <c r="A28" s="8">
        <v>43936</v>
      </c>
      <c r="B28" s="9">
        <v>577</v>
      </c>
      <c r="C28" s="26">
        <f t="shared" ref="C28:C34" si="13">(B28-B27)/B27</f>
        <v>2.6690391459074734E-2</v>
      </c>
      <c r="D28" s="38">
        <f t="shared" ref="D28:D34" si="14">(LN(2)/LN(B28/B27))</f>
        <v>26.314966490726817</v>
      </c>
    </row>
    <row r="29" spans="1:4" x14ac:dyDescent="0.2">
      <c r="A29" s="8">
        <v>43937</v>
      </c>
      <c r="B29" s="9">
        <v>583</v>
      </c>
      <c r="C29" s="26">
        <f t="shared" si="13"/>
        <v>1.0398613518197574E-2</v>
      </c>
      <c r="D29" s="38">
        <f t="shared" si="14"/>
        <v>67.003629909192583</v>
      </c>
    </row>
    <row r="30" spans="1:4" x14ac:dyDescent="0.2">
      <c r="A30" s="8">
        <v>43938</v>
      </c>
      <c r="B30" s="9">
        <v>601</v>
      </c>
      <c r="C30" s="26">
        <f t="shared" si="13"/>
        <v>3.0874785591766724E-2</v>
      </c>
      <c r="D30" s="38">
        <f t="shared" si="14"/>
        <v>22.795084211739212</v>
      </c>
    </row>
    <row r="31" spans="1:4" x14ac:dyDescent="0.2">
      <c r="A31" s="8">
        <v>43939</v>
      </c>
      <c r="B31" s="9">
        <v>614</v>
      </c>
      <c r="C31" s="26">
        <f t="shared" si="13"/>
        <v>2.1630615640599003E-2</v>
      </c>
      <c r="D31" s="38">
        <f t="shared" si="14"/>
        <v>32.390064835036874</v>
      </c>
    </row>
    <row r="32" spans="1:4" x14ac:dyDescent="0.2">
      <c r="A32" s="8">
        <v>43940</v>
      </c>
      <c r="B32" s="9">
        <v>620</v>
      </c>
      <c r="C32" s="26">
        <f t="shared" si="13"/>
        <v>9.7719869706840382E-3</v>
      </c>
      <c r="D32" s="38">
        <f t="shared" si="14"/>
        <v>71.278073356438</v>
      </c>
    </row>
    <row r="33" spans="1:4" x14ac:dyDescent="0.2">
      <c r="A33" s="8">
        <v>43941</v>
      </c>
      <c r="B33" s="9">
        <v>640</v>
      </c>
      <c r="C33" s="26">
        <f t="shared" si="13"/>
        <v>3.2258064516129031E-2</v>
      </c>
      <c r="D33" s="38">
        <f t="shared" si="14"/>
        <v>21.832302341719139</v>
      </c>
    </row>
    <row r="34" spans="1:4" x14ac:dyDescent="0.2">
      <c r="A34" s="8">
        <v>43942</v>
      </c>
      <c r="B34" s="9">
        <v>648</v>
      </c>
      <c r="C34" s="26">
        <f t="shared" si="13"/>
        <v>1.2500000000000001E-2</v>
      </c>
      <c r="D34" s="38">
        <f t="shared" si="14"/>
        <v>55.797630484028609</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1"/>
  <sheetViews>
    <sheetView workbookViewId="0">
      <selection activeCell="B32" sqref="B32"/>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2020-04-21T21:42:07Z</dcterms:modified>
</cp:coreProperties>
</file>