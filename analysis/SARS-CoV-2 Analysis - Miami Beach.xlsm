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E4A48F13-2CED-3E4A-AD5D-6A475E64618F}" xr6:coauthVersionLast="45" xr6:coauthVersionMax="45" xr10:uidLastSave="{00000000-0000-0000-0000-000000000000}"/>
  <bookViews>
    <workbookView xWindow="0" yWindow="0" windowWidth="28800" windowHeight="18000" firstSheet="6" activeTab="9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r:id="rId11"/>
    <sheet name="Miami Beach evening" sheetId="10" r:id="rId12"/>
    <sheet name="Miami morning" sheetId="11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definedNames>
    <definedName name="_xlchart.v1.0" hidden="1">compute!$A$5:$A$10039</definedName>
    <definedName name="_xlchart.v1.1" hidden="1">compute!$B$4</definedName>
    <definedName name="_xlchart.v1.2" hidden="1">compute!$B$5:$B$10039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7" i="12" l="1"/>
  <c r="D57" i="12"/>
  <c r="M8" i="5"/>
  <c r="M7" i="5"/>
  <c r="C57" i="1"/>
  <c r="D57" i="1"/>
  <c r="E57" i="1"/>
  <c r="F57" i="1"/>
  <c r="G57" i="1"/>
  <c r="H57" i="1"/>
  <c r="I57" i="1" s="1"/>
  <c r="J57" i="1"/>
  <c r="C57" i="10"/>
  <c r="D57" i="10"/>
  <c r="C56" i="1" l="1"/>
  <c r="D56" i="1"/>
  <c r="E56" i="1"/>
  <c r="F56" i="1"/>
  <c r="G56" i="1"/>
  <c r="H56" i="1"/>
  <c r="I56" i="1" s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J56" i="1" l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I35" i="1" s="1"/>
  <c r="C36" i="1"/>
  <c r="D36" i="1"/>
  <c r="E36" i="1"/>
  <c r="F36" i="1"/>
  <c r="G36" i="1"/>
  <c r="H36" i="1"/>
  <c r="C37" i="1"/>
  <c r="D37" i="1"/>
  <c r="E37" i="1"/>
  <c r="F37" i="1"/>
  <c r="G37" i="1"/>
  <c r="H37" i="1"/>
  <c r="I37" i="1" s="1"/>
  <c r="C38" i="1"/>
  <c r="D38" i="1"/>
  <c r="E38" i="1"/>
  <c r="F38" i="1"/>
  <c r="G38" i="1"/>
  <c r="H38" i="1"/>
  <c r="C39" i="1"/>
  <c r="D39" i="1"/>
  <c r="E39" i="1"/>
  <c r="F39" i="1"/>
  <c r="G39" i="1"/>
  <c r="H39" i="1"/>
  <c r="I39" i="1" s="1"/>
  <c r="C40" i="1"/>
  <c r="D40" i="1"/>
  <c r="E40" i="1"/>
  <c r="F40" i="1"/>
  <c r="G40" i="1"/>
  <c r="H40" i="1"/>
  <c r="C41" i="1"/>
  <c r="D41" i="1"/>
  <c r="E41" i="1"/>
  <c r="F41" i="1"/>
  <c r="G41" i="1"/>
  <c r="H41" i="1"/>
  <c r="I41" i="1" s="1"/>
  <c r="C42" i="1"/>
  <c r="D42" i="1"/>
  <c r="E42" i="1"/>
  <c r="F42" i="1"/>
  <c r="G42" i="1"/>
  <c r="H42" i="1"/>
  <c r="C43" i="1"/>
  <c r="D43" i="1"/>
  <c r="E43" i="1"/>
  <c r="F43" i="1"/>
  <c r="G43" i="1"/>
  <c r="H43" i="1"/>
  <c r="I52" i="1" l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64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58" i="1" s="1"/>
  <c r="U9" i="1"/>
  <c r="C6" i="6" s="1"/>
  <c r="X6" i="1"/>
  <c r="T9" i="1"/>
  <c r="T6" i="1"/>
  <c r="K57" i="1" l="1"/>
  <c r="L57" i="1"/>
  <c r="O57" i="1" s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N33" i="1" s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62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N56" i="1" l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70" i="1" s="1"/>
  <c r="C8" i="6" s="1"/>
  <c r="U60" i="1"/>
  <c r="V72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74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66" i="1" l="1"/>
  <c r="U18" i="1"/>
  <c r="V68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<sst xmlns="http://schemas.openxmlformats.org/spreadsheetml/2006/main" count="165" uniqueCount="65">
  <si>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</si>
  <si>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</si>
  <si>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</si>
  <si>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</si>
  <si>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</si>
  <si>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</si>
  <si>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</si>
  <si>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</si>
  <si>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</si>
  <si>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</si>
  <si>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</si>
  <si>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</si>
  <si>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</si>
  <si>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</si>
  <si>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</si>
  <si>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</si>
  <si>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</si>
  <si>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</si>
  <si>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</si>
  <si>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</si>
  <si>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</si>
  <si>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</si>
  <si>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</si>
  <si>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</si>
  <si>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</si>
  <si>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</si>
  <si>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</si>
  <si>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</si>
  <si>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</si>
  <si>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</si>
  <si>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</si>
  <si>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</si>
  <si>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</si>
  <si>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</si>
  <si>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</si>
  <si>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</si>
  <si>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</si>
  <si>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</si>
  <si>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</si>
  <si>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</si>
  <si>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</si>
  <si>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</si>
  <si>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</si>
  <si>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</si>
  <si>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</si>
  <si>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</si>
  <si>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</si>
  <si>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</si>
  <si>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</si>
  <si>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</si>
  <si>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</si>
  <si>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</si>
  <si>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</si>
  <si>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</si>
  <si>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</si>
  <si>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</si>
  <si>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</si>
  <si>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</si>
  <si>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</si>
  <si>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</si>
  <si>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</si>
  <si>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</si>
  <si>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</si>
  <si>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8 - 14</t>
  </si>
  <si>
    <t>May 1 - 7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</si>
</sst>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6727692513012145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accent2">
                    <a:alpha val="50000"/>
                  </a:schemeClr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cat>
            <c:numRef>
              <c:f>compute!$A$6:$A$10039</c:f>
              <c:numCache>
                <c:formatCode>d\-mmm</c:formatCode>
                <c:ptCount val="1003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</c:numCache>
            </c:numRef>
          </c:cat>
          <c:val>
            <c:numRef>
              <c:f>compute!$D$6:$D$10039</c:f>
              <c:numCache>
                <c:formatCode>0.0%</c:formatCode>
                <c:ptCount val="10034"/>
                <c:pt idx="0">
                  <c:v>0.28947368421052633</c:v>
                </c:pt>
                <c:pt idx="1">
                  <c:v>0.30612244897959184</c:v>
                </c:pt>
                <c:pt idx="2">
                  <c:v>0.34765625</c:v>
                </c:pt>
                <c:pt idx="3">
                  <c:v>0.34492753623188405</c:v>
                </c:pt>
                <c:pt idx="4">
                  <c:v>0.29956896551724138</c:v>
                </c:pt>
                <c:pt idx="5">
                  <c:v>0.34660033167495852</c:v>
                </c:pt>
                <c:pt idx="6">
                  <c:v>0.14655172413793102</c:v>
                </c:pt>
                <c:pt idx="7">
                  <c:v>0.26638023630504831</c:v>
                </c:pt>
                <c:pt idx="8">
                  <c:v>0.16284987277353691</c:v>
                </c:pt>
                <c:pt idx="9">
                  <c:v>0.22319474835886213</c:v>
                </c:pt>
                <c:pt idx="10">
                  <c:v>0.16815742397137745</c:v>
                </c:pt>
                <c:pt idx="11">
                  <c:v>0.16947422154160285</c:v>
                </c:pt>
                <c:pt idx="12">
                  <c:v>7.4203404626800529E-2</c:v>
                </c:pt>
                <c:pt idx="13">
                  <c:v>0.13856156034132466</c:v>
                </c:pt>
                <c:pt idx="14">
                  <c:v>0.10635260528194147</c:v>
                </c:pt>
                <c:pt idx="15">
                  <c:v>7.0000000000000007E-2</c:v>
                </c:pt>
                <c:pt idx="16">
                  <c:v>8.1398854386493816E-2</c:v>
                </c:pt>
                <c:pt idx="17">
                  <c:v>6.3841650404237518E-2</c:v>
                </c:pt>
                <c:pt idx="18">
                  <c:v>7.20649895178197E-2</c:v>
                </c:pt>
                <c:pt idx="19">
                  <c:v>4.4487900268882913E-2</c:v>
                </c:pt>
                <c:pt idx="20">
                  <c:v>5.0081909665340513E-2</c:v>
                </c:pt>
                <c:pt idx="21">
                  <c:v>3.5881435257410298E-2</c:v>
                </c:pt>
                <c:pt idx="22">
                  <c:v>4.4965576592082619E-2</c:v>
                </c:pt>
                <c:pt idx="23">
                  <c:v>3.3148033765698991E-2</c:v>
                </c:pt>
                <c:pt idx="24">
                  <c:v>6.1179752889597448E-2</c:v>
                </c:pt>
                <c:pt idx="25">
                  <c:v>2.7793427230046949E-2</c:v>
                </c:pt>
                <c:pt idx="26">
                  <c:v>3.1427005298739263E-2</c:v>
                </c:pt>
                <c:pt idx="27">
                  <c:v>3.6669619131975202E-2</c:v>
                </c:pt>
                <c:pt idx="28">
                  <c:v>3.6226930963773066E-2</c:v>
                </c:pt>
                <c:pt idx="29">
                  <c:v>2.6879947229551452E-2</c:v>
                </c:pt>
                <c:pt idx="30">
                  <c:v>2.9869921310422355E-2</c:v>
                </c:pt>
                <c:pt idx="31">
                  <c:v>3.8203648838297209E-2</c:v>
                </c:pt>
                <c:pt idx="32">
                  <c:v>7.8101531991589066E-3</c:v>
                </c:pt>
                <c:pt idx="33">
                  <c:v>4.3368107302533529E-2</c:v>
                </c:pt>
                <c:pt idx="34">
                  <c:v>2.2568204542208255E-2</c:v>
                </c:pt>
                <c:pt idx="35">
                  <c:v>2.8635284257577873E-2</c:v>
                </c:pt>
                <c:pt idx="36">
                  <c:v>7.3329712112982079E-3</c:v>
                </c:pt>
                <c:pt idx="37">
                  <c:v>9.7061202480452947E-3</c:v>
                </c:pt>
                <c:pt idx="38">
                  <c:v>2.6034712950600801E-2</c:v>
                </c:pt>
                <c:pt idx="39">
                  <c:v>1.9648666232921275E-2</c:v>
                </c:pt>
                <c:pt idx="40">
                  <c:v>1.1740684022460439E-2</c:v>
                </c:pt>
                <c:pt idx="41">
                  <c:v>3.0020181634712411E-2</c:v>
                </c:pt>
                <c:pt idx="42">
                  <c:v>1.3348028410482488E-2</c:v>
                </c:pt>
                <c:pt idx="43">
                  <c:v>1.3413897280966768E-2</c:v>
                </c:pt>
                <c:pt idx="44">
                  <c:v>1.7409968995945622E-2</c:v>
                </c:pt>
                <c:pt idx="45">
                  <c:v>7.266760431317393E-3</c:v>
                </c:pt>
                <c:pt idx="46">
                  <c:v>1.407959041191529E-2</c:v>
                </c:pt>
                <c:pt idx="47">
                  <c:v>1.2392426850258176E-2</c:v>
                </c:pt>
                <c:pt idx="48">
                  <c:v>5.6670066870678909E-3</c:v>
                </c:pt>
                <c:pt idx="49">
                  <c:v>1.6003606446523159E-2</c:v>
                </c:pt>
                <c:pt idx="50">
                  <c:v>6.2118691070438157E-3</c:v>
                </c:pt>
                <c:pt idx="51">
                  <c:v>8.8193142983133063E-3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3963"/>
          <c:min val="43941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7744641665554512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>
                    <a:alpha val="50000"/>
                  </a:schemeClr>
                </a:solidFill>
                <a:prstDash val="solid"/>
              </a:ln>
              <a:effectLst/>
            </c:spPr>
            <c:trendlineType val="movingAvg"/>
            <c:period val="10"/>
            <c:forward val="1"/>
            <c:dispRSqr val="0"/>
            <c:dispEq val="0"/>
          </c:trendline>
          <c:cat>
            <c:numRef>
              <c:f>compute!$A$6:$A$10039</c:f>
              <c:numCache>
                <c:formatCode>d\-mmm</c:formatCode>
                <c:ptCount val="10034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</c:numCache>
            </c:numRef>
          </c:cat>
          <c:val>
            <c:numRef>
              <c:f>compute!$E$6:$E$10039</c:f>
              <c:numCache>
                <c:formatCode>0.0</c:formatCode>
                <c:ptCount val="10034"/>
                <c:pt idx="0">
                  <c:v>2.7264126877891832</c:v>
                </c:pt>
                <c:pt idx="1">
                  <c:v>2.5954465348422167</c:v>
                </c:pt>
                <c:pt idx="2">
                  <c:v>2.3231364203342348</c:v>
                </c:pt>
                <c:pt idx="3">
                  <c:v>2.3390256608477276</c:v>
                </c:pt>
                <c:pt idx="4">
                  <c:v>2.6452703321760542</c:v>
                </c:pt>
                <c:pt idx="5">
                  <c:v>2.329255523549266</c:v>
                </c:pt>
                <c:pt idx="6">
                  <c:v>5.0683867188519347</c:v>
                </c:pt>
                <c:pt idx="7">
                  <c:v>2.9350418410450274</c:v>
                </c:pt>
                <c:pt idx="8">
                  <c:v>4.594218989141579</c:v>
                </c:pt>
                <c:pt idx="9">
                  <c:v>3.4405155090192001</c:v>
                </c:pt>
                <c:pt idx="10">
                  <c:v>4.4596129019590443</c:v>
                </c:pt>
                <c:pt idx="11">
                  <c:v>4.4275202769727011</c:v>
                </c:pt>
                <c:pt idx="12">
                  <c:v>9.6836169490150699</c:v>
                </c:pt>
                <c:pt idx="13">
                  <c:v>5.3415294338518668</c:v>
                </c:pt>
                <c:pt idx="14">
                  <c:v>6.8581809240681908</c:v>
                </c:pt>
                <c:pt idx="15">
                  <c:v>10.244768351058712</c:v>
                </c:pt>
                <c:pt idx="16">
                  <c:v>8.857495313952132</c:v>
                </c:pt>
                <c:pt idx="17">
                  <c:v>11.20028704389693</c:v>
                </c:pt>
                <c:pt idx="18">
                  <c:v>9.96091676104197</c:v>
                </c:pt>
                <c:pt idx="19">
                  <c:v>15.924637026490627</c:v>
                </c:pt>
                <c:pt idx="20">
                  <c:v>14.184021538998522</c:v>
                </c:pt>
                <c:pt idx="21">
                  <c:v>19.662247910950395</c:v>
                </c:pt>
                <c:pt idx="22">
                  <c:v>15.759095716636351</c:v>
                </c:pt>
                <c:pt idx="23">
                  <c:v>21.255347458768309</c:v>
                </c:pt>
                <c:pt idx="24">
                  <c:v>11.672826375517154</c:v>
                </c:pt>
                <c:pt idx="25">
                  <c:v>25.284238323265988</c:v>
                </c:pt>
                <c:pt idx="26">
                  <c:v>22.400568352945822</c:v>
                </c:pt>
                <c:pt idx="27">
                  <c:v>19.246985379249875</c:v>
                </c:pt>
                <c:pt idx="28">
                  <c:v>19.477995929350573</c:v>
                </c:pt>
                <c:pt idx="29">
                  <c:v>26.131817554080403</c:v>
                </c:pt>
                <c:pt idx="30">
                  <c:v>23.55039768449053</c:v>
                </c:pt>
                <c:pt idx="31">
                  <c:v>18.487889118218384</c:v>
                </c:pt>
                <c:pt idx="32">
                  <c:v>89.095622829796753</c:v>
                </c:pt>
                <c:pt idx="33">
                  <c:v>16.326999709277924</c:v>
                </c:pt>
                <c:pt idx="34">
                  <c:v>31.058723813341835</c:v>
                </c:pt>
                <c:pt idx="35">
                  <c:v>24.550994839858753</c:v>
                </c:pt>
                <c:pt idx="36">
                  <c:v>94.870889301226129</c:v>
                </c:pt>
                <c:pt idx="37">
                  <c:v>71.759429333057724</c:v>
                </c:pt>
                <c:pt idx="38">
                  <c:v>26.969049960532978</c:v>
                </c:pt>
                <c:pt idx="39">
                  <c:v>35.622509801798749</c:v>
                </c:pt>
                <c:pt idx="40">
                  <c:v>59.383957056845482</c:v>
                </c:pt>
                <c:pt idx="41">
                  <c:v>23.434238408786449</c:v>
                </c:pt>
                <c:pt idx="42">
                  <c:v>52.274613886566158</c:v>
                </c:pt>
                <c:pt idx="43">
                  <c:v>52.019614008401071</c:v>
                </c:pt>
                <c:pt idx="44">
                  <c:v>40.158811241103884</c:v>
                </c:pt>
                <c:pt idx="45">
                  <c:v>95.732151243481965</c:v>
                </c:pt>
                <c:pt idx="46">
                  <c:v>49.576401282989799</c:v>
                </c:pt>
                <c:pt idx="47">
                  <c:v>56.278988829986361</c:v>
                </c:pt>
                <c:pt idx="48">
                  <c:v>122.65899865694688</c:v>
                </c:pt>
                <c:pt idx="49">
                  <c:v>43.657592657146672</c:v>
                </c:pt>
                <c:pt idx="50">
                  <c:v>111.93053433065666</c:v>
                </c:pt>
                <c:pt idx="51">
                  <c:v>78.94029233636499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44668357133325"/>
          <c:y val="0.14576271186440679"/>
          <c:w val="0.81490404377418924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compute!$A$5:$A$10039</c:f>
              <c:numCache>
                <c:formatCode>d\-mmm</c:formatCode>
                <c:ptCount val="1003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compute!$G$5:$G$10039</c:f>
              <c:numCache>
                <c:formatCode>#,##0</c:formatCode>
                <c:ptCount val="10035"/>
                <c:pt idx="0">
                  <c:v>584.61538461538464</c:v>
                </c:pt>
                <c:pt idx="1">
                  <c:v>753.84615384615381</c:v>
                </c:pt>
                <c:pt idx="2">
                  <c:v>984.61538461538464</c:v>
                </c:pt>
                <c:pt idx="3">
                  <c:v>1326.9230769230769</c:v>
                </c:pt>
                <c:pt idx="4">
                  <c:v>1784.6153846153845</c:v>
                </c:pt>
                <c:pt idx="5">
                  <c:v>2319.2307692307691</c:v>
                </c:pt>
                <c:pt idx="6">
                  <c:v>3123.0769230769229</c:v>
                </c:pt>
                <c:pt idx="7">
                  <c:v>3580.7692307692309</c:v>
                </c:pt>
                <c:pt idx="8">
                  <c:v>4534.6153846153848</c:v>
                </c:pt>
                <c:pt idx="9">
                  <c:v>5273.0769230769229</c:v>
                </c:pt>
                <c:pt idx="10">
                  <c:v>6450</c:v>
                </c:pt>
                <c:pt idx="11">
                  <c:v>7534.6153846153848</c:v>
                </c:pt>
                <c:pt idx="12">
                  <c:v>8811.538461538461</c:v>
                </c:pt>
                <c:pt idx="13">
                  <c:v>9465.3846153846152</c:v>
                </c:pt>
                <c:pt idx="14">
                  <c:v>10776.923076923076</c:v>
                </c:pt>
                <c:pt idx="15">
                  <c:v>11923.076923076924</c:v>
                </c:pt>
                <c:pt idx="16">
                  <c:v>12757.692307692309</c:v>
                </c:pt>
                <c:pt idx="17">
                  <c:v>13796.153846153846</c:v>
                </c:pt>
                <c:pt idx="18">
                  <c:v>14676.923076923076</c:v>
                </c:pt>
                <c:pt idx="19">
                  <c:v>15734.615384615385</c:v>
                </c:pt>
                <c:pt idx="20">
                  <c:v>16434.615384615383</c:v>
                </c:pt>
                <c:pt idx="21">
                  <c:v>17257.692307692309</c:v>
                </c:pt>
                <c:pt idx="22">
                  <c:v>17876.923076923078</c:v>
                </c:pt>
                <c:pt idx="23">
                  <c:v>18680.76923076923</c:v>
                </c:pt>
                <c:pt idx="24">
                  <c:v>19300</c:v>
                </c:pt>
                <c:pt idx="25">
                  <c:v>20480.76923076923</c:v>
                </c:pt>
                <c:pt idx="26">
                  <c:v>21050</c:v>
                </c:pt>
                <c:pt idx="27">
                  <c:v>21711.538461538461</c:v>
                </c:pt>
                <c:pt idx="28">
                  <c:v>22507.692307692309</c:v>
                </c:pt>
                <c:pt idx="29">
                  <c:v>23323.076923076922</c:v>
                </c:pt>
                <c:pt idx="30">
                  <c:v>23950</c:v>
                </c:pt>
                <c:pt idx="31">
                  <c:v>24665.384615384617</c:v>
                </c:pt>
                <c:pt idx="32">
                  <c:v>25607.692307692309</c:v>
                </c:pt>
                <c:pt idx="33">
                  <c:v>25807.692307692309</c:v>
                </c:pt>
                <c:pt idx="34">
                  <c:v>26926.923076923078</c:v>
                </c:pt>
                <c:pt idx="35">
                  <c:v>27534.615384615383</c:v>
                </c:pt>
                <c:pt idx="36">
                  <c:v>28323.076923076922</c:v>
                </c:pt>
                <c:pt idx="37">
                  <c:v>28530.76923076923</c:v>
                </c:pt>
                <c:pt idx="38">
                  <c:v>28807.692307692309</c:v>
                </c:pt>
                <c:pt idx="39">
                  <c:v>29557.692307692309</c:v>
                </c:pt>
                <c:pt idx="40">
                  <c:v>30138.461538461539</c:v>
                </c:pt>
                <c:pt idx="41">
                  <c:v>30492.307692307691</c:v>
                </c:pt>
                <c:pt idx="42">
                  <c:v>31407.692307692309</c:v>
                </c:pt>
                <c:pt idx="43">
                  <c:v>31826.923076923078</c:v>
                </c:pt>
                <c:pt idx="44">
                  <c:v>32253.846153846152</c:v>
                </c:pt>
                <c:pt idx="45">
                  <c:v>32815.384615384617</c:v>
                </c:pt>
                <c:pt idx="46">
                  <c:v>33053.846153846156</c:v>
                </c:pt>
                <c:pt idx="47">
                  <c:v>33519.230769230766</c:v>
                </c:pt>
                <c:pt idx="48">
                  <c:v>33934.615384615383</c:v>
                </c:pt>
                <c:pt idx="49">
                  <c:v>34126.923076923078</c:v>
                </c:pt>
                <c:pt idx="50">
                  <c:v>34673.076923076922</c:v>
                </c:pt>
                <c:pt idx="51">
                  <c:v>34888.461538461539</c:v>
                </c:pt>
                <c:pt idx="52">
                  <c:v>35196.153846153844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compute!$A$5:$A$10039</c:f>
              <c:numCache>
                <c:formatCode>d\-mmm</c:formatCode>
                <c:ptCount val="1003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compute!$I$5:$I$10039</c:f>
              <c:numCache>
                <c:formatCode>#,##0</c:formatCode>
                <c:ptCount val="10035"/>
                <c:pt idx="0">
                  <c:v>797.20279720279711</c:v>
                </c:pt>
                <c:pt idx="1">
                  <c:v>1027.9720279720279</c:v>
                </c:pt>
                <c:pt idx="2">
                  <c:v>1342.6573426573427</c:v>
                </c:pt>
                <c:pt idx="3">
                  <c:v>1809.4405594405596</c:v>
                </c:pt>
                <c:pt idx="4">
                  <c:v>2433.5664335664333</c:v>
                </c:pt>
                <c:pt idx="5">
                  <c:v>3162.5874125874129</c:v>
                </c:pt>
                <c:pt idx="6">
                  <c:v>4258.7412587412591</c:v>
                </c:pt>
                <c:pt idx="7">
                  <c:v>4882.8671328671335</c:v>
                </c:pt>
                <c:pt idx="8">
                  <c:v>6183.5664335664333</c:v>
                </c:pt>
                <c:pt idx="9">
                  <c:v>7190.5594405594411</c:v>
                </c:pt>
                <c:pt idx="10">
                  <c:v>8795.454545454546</c:v>
                </c:pt>
                <c:pt idx="11">
                  <c:v>10274.475524475523</c:v>
                </c:pt>
                <c:pt idx="12">
                  <c:v>12015.734265734267</c:v>
                </c:pt>
                <c:pt idx="13">
                  <c:v>12907.342657342657</c:v>
                </c:pt>
                <c:pt idx="14">
                  <c:v>14695.804195804196</c:v>
                </c:pt>
                <c:pt idx="15">
                  <c:v>16258.741258741256</c:v>
                </c:pt>
                <c:pt idx="16">
                  <c:v>17396.853146853147</c:v>
                </c:pt>
                <c:pt idx="17">
                  <c:v>18812.937062937061</c:v>
                </c:pt>
                <c:pt idx="18">
                  <c:v>20013.98601398601</c:v>
                </c:pt>
                <c:pt idx="19">
                  <c:v>21456.293706293705</c:v>
                </c:pt>
                <c:pt idx="20">
                  <c:v>22410.839160839161</c:v>
                </c:pt>
                <c:pt idx="21">
                  <c:v>23533.21678321678</c:v>
                </c:pt>
                <c:pt idx="22">
                  <c:v>24377.622377622378</c:v>
                </c:pt>
                <c:pt idx="23">
                  <c:v>25473.776223776225</c:v>
                </c:pt>
                <c:pt idx="24">
                  <c:v>26318.181818181816</c:v>
                </c:pt>
                <c:pt idx="25">
                  <c:v>27928.321678321681</c:v>
                </c:pt>
                <c:pt idx="26">
                  <c:v>28704.545454545456</c:v>
                </c:pt>
                <c:pt idx="27">
                  <c:v>29606.643356643355</c:v>
                </c:pt>
                <c:pt idx="28">
                  <c:v>30692.307692307691</c:v>
                </c:pt>
                <c:pt idx="29">
                  <c:v>31804.195804195806</c:v>
                </c:pt>
                <c:pt idx="30">
                  <c:v>32659.090909090912</c:v>
                </c:pt>
                <c:pt idx="31">
                  <c:v>33634.615384615383</c:v>
                </c:pt>
                <c:pt idx="32">
                  <c:v>34919.580419580423</c:v>
                </c:pt>
                <c:pt idx="33">
                  <c:v>35192.307692307688</c:v>
                </c:pt>
                <c:pt idx="34">
                  <c:v>36718.531468531466</c:v>
                </c:pt>
                <c:pt idx="35">
                  <c:v>37547.202797202801</c:v>
                </c:pt>
                <c:pt idx="36">
                  <c:v>38622.377622377622</c:v>
                </c:pt>
                <c:pt idx="37">
                  <c:v>38905.594405594398</c:v>
                </c:pt>
                <c:pt idx="38">
                  <c:v>39283.216783216776</c:v>
                </c:pt>
                <c:pt idx="39">
                  <c:v>40305.944055944055</c:v>
                </c:pt>
                <c:pt idx="40">
                  <c:v>41097.902097902093</c:v>
                </c:pt>
                <c:pt idx="41">
                  <c:v>41580.419580419592</c:v>
                </c:pt>
                <c:pt idx="42">
                  <c:v>42828.67132867132</c:v>
                </c:pt>
                <c:pt idx="43">
                  <c:v>43400.349650349643</c:v>
                </c:pt>
                <c:pt idx="44">
                  <c:v>43982.517482517476</c:v>
                </c:pt>
                <c:pt idx="45">
                  <c:v>44748.251748251751</c:v>
                </c:pt>
                <c:pt idx="46">
                  <c:v>45073.426573426565</c:v>
                </c:pt>
                <c:pt idx="47">
                  <c:v>45708.041958041955</c:v>
                </c:pt>
                <c:pt idx="48">
                  <c:v>46274.475524475529</c:v>
                </c:pt>
                <c:pt idx="49">
                  <c:v>46536.71328671329</c:v>
                </c:pt>
                <c:pt idx="50">
                  <c:v>47281.468531468534</c:v>
                </c:pt>
                <c:pt idx="51">
                  <c:v>47575.174825174829</c:v>
                </c:pt>
                <c:pt idx="52">
                  <c:v>47994.755244755244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compute!$A$5:$A$10039</c:f>
              <c:numCache>
                <c:formatCode>d\-mmm</c:formatCode>
                <c:ptCount val="1003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compute!$F$5:$F$10039</c:f>
              <c:numCache>
                <c:formatCode>#,##0</c:formatCode>
                <c:ptCount val="10035"/>
                <c:pt idx="0">
                  <c:v>1266.6666666666667</c:v>
                </c:pt>
                <c:pt idx="1">
                  <c:v>1633.3333333333333</c:v>
                </c:pt>
                <c:pt idx="2">
                  <c:v>2133.3333333333335</c:v>
                </c:pt>
                <c:pt idx="3">
                  <c:v>2875</c:v>
                </c:pt>
                <c:pt idx="4">
                  <c:v>3866.6666666666665</c:v>
                </c:pt>
                <c:pt idx="5">
                  <c:v>5025</c:v>
                </c:pt>
                <c:pt idx="6">
                  <c:v>6766.666666666667</c:v>
                </c:pt>
                <c:pt idx="7">
                  <c:v>7758.333333333333</c:v>
                </c:pt>
                <c:pt idx="8">
                  <c:v>9825</c:v>
                </c:pt>
                <c:pt idx="9">
                  <c:v>11425</c:v>
                </c:pt>
                <c:pt idx="10">
                  <c:v>13975</c:v>
                </c:pt>
                <c:pt idx="11">
                  <c:v>16325</c:v>
                </c:pt>
                <c:pt idx="12">
                  <c:v>19091.666666666668</c:v>
                </c:pt>
                <c:pt idx="13">
                  <c:v>20508.333333333332</c:v>
                </c:pt>
                <c:pt idx="14">
                  <c:v>23350</c:v>
                </c:pt>
                <c:pt idx="15">
                  <c:v>25833.333333333332</c:v>
                </c:pt>
                <c:pt idx="16">
                  <c:v>27641.666666666668</c:v>
                </c:pt>
                <c:pt idx="17">
                  <c:v>29891.666666666668</c:v>
                </c:pt>
                <c:pt idx="18">
                  <c:v>31800</c:v>
                </c:pt>
                <c:pt idx="19">
                  <c:v>34091.666666666664</c:v>
                </c:pt>
                <c:pt idx="20">
                  <c:v>35608.333333333336</c:v>
                </c:pt>
                <c:pt idx="21">
                  <c:v>37391.666666666664</c:v>
                </c:pt>
                <c:pt idx="22">
                  <c:v>38733.333333333336</c:v>
                </c:pt>
                <c:pt idx="23">
                  <c:v>40475</c:v>
                </c:pt>
                <c:pt idx="24">
                  <c:v>41816.666666666664</c:v>
                </c:pt>
                <c:pt idx="25">
                  <c:v>44375</c:v>
                </c:pt>
                <c:pt idx="26">
                  <c:v>45608.333333333336</c:v>
                </c:pt>
                <c:pt idx="27">
                  <c:v>47041.666666666664</c:v>
                </c:pt>
                <c:pt idx="28">
                  <c:v>48766.666666666664</c:v>
                </c:pt>
                <c:pt idx="29">
                  <c:v>50533.333333333336</c:v>
                </c:pt>
                <c:pt idx="30">
                  <c:v>51891.666666666664</c:v>
                </c:pt>
                <c:pt idx="31">
                  <c:v>53441.666666666664</c:v>
                </c:pt>
                <c:pt idx="32">
                  <c:v>55483.333333333336</c:v>
                </c:pt>
                <c:pt idx="33">
                  <c:v>55916.666666666664</c:v>
                </c:pt>
                <c:pt idx="34">
                  <c:v>58341.666666666664</c:v>
                </c:pt>
                <c:pt idx="35">
                  <c:v>59658.333333333336</c:v>
                </c:pt>
                <c:pt idx="36">
                  <c:v>61366.666666666664</c:v>
                </c:pt>
                <c:pt idx="37">
                  <c:v>61816.666666666664</c:v>
                </c:pt>
                <c:pt idx="38">
                  <c:v>62416.666666666664</c:v>
                </c:pt>
                <c:pt idx="39">
                  <c:v>64041.666666666664</c:v>
                </c:pt>
                <c:pt idx="40">
                  <c:v>65300</c:v>
                </c:pt>
                <c:pt idx="41">
                  <c:v>66066.666666666672</c:v>
                </c:pt>
                <c:pt idx="42">
                  <c:v>68050</c:v>
                </c:pt>
                <c:pt idx="43">
                  <c:v>68958.333333333328</c:v>
                </c:pt>
                <c:pt idx="44">
                  <c:v>69883.333333333328</c:v>
                </c:pt>
                <c:pt idx="45">
                  <c:v>71100</c:v>
                </c:pt>
                <c:pt idx="46">
                  <c:v>71616.666666666672</c:v>
                </c:pt>
                <c:pt idx="47">
                  <c:v>72625</c:v>
                </c:pt>
                <c:pt idx="48">
                  <c:v>73525</c:v>
                </c:pt>
                <c:pt idx="49">
                  <c:v>73941.666666666672</c:v>
                </c:pt>
                <c:pt idx="50">
                  <c:v>75125</c:v>
                </c:pt>
                <c:pt idx="51">
                  <c:v>75591.666666666672</c:v>
                </c:pt>
                <c:pt idx="52">
                  <c:v>76258.333333333328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3507273455225"/>
          <c:y val="0.14745762711864407"/>
          <c:w val="0.84580221540104106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compute!$A$5:$A$57</c:f>
              <c:numCache>
                <c:formatCode>d\-mmm</c:formatCode>
                <c:ptCount val="5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compute!$L$5:$L$57</c:f>
              <c:numCache>
                <c:formatCode>0.0%</c:formatCode>
                <c:ptCount val="53"/>
                <c:pt idx="0">
                  <c:v>1.2414482997222098E-3</c:v>
                </c:pt>
                <c:pt idx="1">
                  <c:v>1.6008149127996912E-3</c:v>
                </c:pt>
                <c:pt idx="2">
                  <c:v>2.0908602942689846E-3</c:v>
                </c:pt>
                <c:pt idx="3">
                  <c:v>2.8177609434484364E-3</c:v>
                </c:pt>
                <c:pt idx="4">
                  <c:v>3.7896842833625346E-3</c:v>
                </c:pt>
                <c:pt idx="5">
                  <c:v>4.9249560837663969E-3</c:v>
                </c:pt>
                <c:pt idx="6">
                  <c:v>6.6319474958844351E-3</c:v>
                </c:pt>
                <c:pt idx="7">
                  <c:v>7.6038708357985341E-3</c:v>
                </c:pt>
                <c:pt idx="8">
                  <c:v>9.6293917458716138E-3</c:v>
                </c:pt>
                <c:pt idx="9">
                  <c:v>1.119753696657335E-2</c:v>
                </c:pt>
                <c:pt idx="10">
                  <c:v>1.3696768412066747E-2</c:v>
                </c:pt>
                <c:pt idx="11">
                  <c:v>1.5999981704972424E-2</c:v>
                </c:pt>
                <c:pt idx="12">
                  <c:v>1.8711566149102514E-2</c:v>
                </c:pt>
                <c:pt idx="13">
                  <c:v>2.0100028063265513E-2</c:v>
                </c:pt>
                <c:pt idx="14">
                  <c:v>2.2885119314615995E-2</c:v>
                </c:pt>
                <c:pt idx="15">
                  <c:v>2.5319011375913487E-2</c:v>
                </c:pt>
                <c:pt idx="16">
                  <c:v>2.7091342172227431E-2</c:v>
                </c:pt>
                <c:pt idx="17">
                  <c:v>2.9296546388839249E-2</c:v>
                </c:pt>
                <c:pt idx="18">
                  <c:v>3.1166886261447049E-2</c:v>
                </c:pt>
                <c:pt idx="19">
                  <c:v>3.3412927593181312E-2</c:v>
                </c:pt>
                <c:pt idx="20">
                  <c:v>3.4899398583638164E-2</c:v>
                </c:pt>
                <c:pt idx="21">
                  <c:v>3.6647227110878651E-2</c:v>
                </c:pt>
                <c:pt idx="22">
                  <c:v>3.7962182217821251E-2</c:v>
                </c:pt>
                <c:pt idx="23">
                  <c:v>3.966917362993929E-2</c:v>
                </c:pt>
                <c:pt idx="24">
                  <c:v>4.098412873688189E-2</c:v>
                </c:pt>
                <c:pt idx="25">
                  <c:v>4.3491527605399774E-2</c:v>
                </c:pt>
                <c:pt idx="26">
                  <c:v>4.4700306213024031E-2</c:v>
                </c:pt>
                <c:pt idx="27">
                  <c:v>4.6105102973236008E-2</c:v>
                </c:pt>
                <c:pt idx="28">
                  <c:v>4.7795759539305073E-2</c:v>
                </c:pt>
                <c:pt idx="29">
                  <c:v>4.9527253220496573E-2</c:v>
                </c:pt>
                <c:pt idx="30">
                  <c:v>5.0858543173488154E-2</c:v>
                </c:pt>
                <c:pt idx="31">
                  <c:v>5.2377683856042967E-2</c:v>
                </c:pt>
                <c:pt idx="32">
                  <c:v>5.4378702497042575E-2</c:v>
                </c:pt>
                <c:pt idx="33">
                  <c:v>5.4803408494315968E-2</c:v>
                </c:pt>
                <c:pt idx="34">
                  <c:v>5.7180128594442041E-2</c:v>
                </c:pt>
                <c:pt idx="35">
                  <c:v>5.8470581432311174E-2</c:v>
                </c:pt>
                <c:pt idx="36">
                  <c:v>6.0144903152331258E-2</c:v>
                </c:pt>
                <c:pt idx="37">
                  <c:v>6.0585943995653625E-2</c:v>
                </c:pt>
                <c:pt idx="38">
                  <c:v>6.1173998453416777E-2</c:v>
                </c:pt>
                <c:pt idx="39">
                  <c:v>6.2766645943191979E-2</c:v>
                </c:pt>
                <c:pt idx="40">
                  <c:v>6.3999926819889696E-2</c:v>
                </c:pt>
                <c:pt idx="41">
                  <c:v>6.4751329738142613E-2</c:v>
                </c:pt>
                <c:pt idx="42">
                  <c:v>6.669517641797082E-2</c:v>
                </c:pt>
                <c:pt idx="43">
                  <c:v>6.7585425527640033E-2</c:v>
                </c:pt>
                <c:pt idx="44">
                  <c:v>6.8492009483358221E-2</c:v>
                </c:pt>
                <c:pt idx="45">
                  <c:v>6.9684453244933511E-2</c:v>
                </c:pt>
                <c:pt idx="46">
                  <c:v>7.019083347245178E-2</c:v>
                </c:pt>
                <c:pt idx="47">
                  <c:v>7.1179091658414836E-2</c:v>
                </c:pt>
                <c:pt idx="48">
                  <c:v>7.206117334505957E-2</c:v>
                </c:pt>
                <c:pt idx="49">
                  <c:v>7.2469544496283983E-2</c:v>
                </c:pt>
                <c:pt idx="50">
                  <c:v>7.3629318565761312E-2</c:v>
                </c:pt>
                <c:pt idx="51">
                  <c:v>7.408669425513266E-2</c:v>
                </c:pt>
                <c:pt idx="52">
                  <c:v>7.4740088097091706E-2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compute!$A$5:$A$57</c:f>
              <c:numCache>
                <c:formatCode>d\-mmm</c:formatCode>
                <c:ptCount val="5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compute!$N$5:$N$57</c:f>
              <c:numCache>
                <c:formatCode>0.00%</c:formatCode>
                <c:ptCount val="53"/>
                <c:pt idx="0">
                  <c:v>1.69288404507574E-3</c:v>
                </c:pt>
                <c:pt idx="1">
                  <c:v>2.1829294265450338E-3</c:v>
                </c:pt>
                <c:pt idx="2">
                  <c:v>2.851173128548616E-3</c:v>
                </c:pt>
                <c:pt idx="3">
                  <c:v>3.8424012865205951E-3</c:v>
                </c:pt>
                <c:pt idx="4">
                  <c:v>5.167751295494365E-3</c:v>
                </c:pt>
                <c:pt idx="5">
                  <c:v>6.715849205135997E-3</c:v>
                </c:pt>
                <c:pt idx="6">
                  <c:v>9.043564767115141E-3</c:v>
                </c:pt>
                <c:pt idx="7">
                  <c:v>1.0368914776088912E-2</c:v>
                </c:pt>
                <c:pt idx="8">
                  <c:v>1.3130988744370379E-2</c:v>
                </c:pt>
                <c:pt idx="9">
                  <c:v>1.5269368590781845E-2</c:v>
                </c:pt>
                <c:pt idx="10">
                  <c:v>1.8677411471000112E-2</c:v>
                </c:pt>
                <c:pt idx="11">
                  <c:v>2.1818156870416945E-2</c:v>
                </c:pt>
                <c:pt idx="12">
                  <c:v>2.551577202150343E-2</c:v>
                </c:pt>
                <c:pt idx="13">
                  <c:v>2.7409129177180244E-2</c:v>
                </c:pt>
                <c:pt idx="14">
                  <c:v>3.1206980883567263E-2</c:v>
                </c:pt>
                <c:pt idx="15">
                  <c:v>3.4525924603518388E-2</c:v>
                </c:pt>
                <c:pt idx="16">
                  <c:v>3.6942739325764681E-2</c:v>
                </c:pt>
                <c:pt idx="17">
                  <c:v>3.9949835984780802E-2</c:v>
                </c:pt>
                <c:pt idx="18">
                  <c:v>4.2500299447427795E-2</c:v>
                </c:pt>
                <c:pt idx="19">
                  <c:v>4.5563083081610882E-2</c:v>
                </c:pt>
                <c:pt idx="20">
                  <c:v>4.7590088977688419E-2</c:v>
                </c:pt>
                <c:pt idx="21">
                  <c:v>4.997349151483451E-2</c:v>
                </c:pt>
                <c:pt idx="22">
                  <c:v>5.1766612115210796E-2</c:v>
                </c:pt>
                <c:pt idx="23">
                  <c:v>5.4094327677189948E-2</c:v>
                </c:pt>
                <c:pt idx="24">
                  <c:v>5.5887448277566219E-2</c:v>
                </c:pt>
                <c:pt idx="25">
                  <c:v>5.9306628552817889E-2</c:v>
                </c:pt>
                <c:pt idx="26">
                  <c:v>6.0954963017760051E-2</c:v>
                </c:pt>
                <c:pt idx="27">
                  <c:v>6.287059496350364E-2</c:v>
                </c:pt>
                <c:pt idx="28">
                  <c:v>6.5176035735415999E-2</c:v>
                </c:pt>
                <c:pt idx="29">
                  <c:v>6.7537163482495333E-2</c:v>
                </c:pt>
                <c:pt idx="30">
                  <c:v>6.9352558872938397E-2</c:v>
                </c:pt>
                <c:pt idx="31">
                  <c:v>7.1424114349149484E-2</c:v>
                </c:pt>
                <c:pt idx="32">
                  <c:v>7.4152776132330789E-2</c:v>
                </c:pt>
                <c:pt idx="33">
                  <c:v>7.4731920674067198E-2</c:v>
                </c:pt>
                <c:pt idx="34">
                  <c:v>7.7972902628784591E-2</c:v>
                </c:pt>
                <c:pt idx="35">
                  <c:v>7.9732611044060681E-2</c:v>
                </c:pt>
                <c:pt idx="36">
                  <c:v>8.2015777025906261E-2</c:v>
                </c:pt>
                <c:pt idx="37">
                  <c:v>8.2617196357709477E-2</c:v>
                </c:pt>
                <c:pt idx="38">
                  <c:v>8.3419088800113783E-2</c:v>
                </c:pt>
                <c:pt idx="39">
                  <c:v>8.5590880831625443E-2</c:v>
                </c:pt>
                <c:pt idx="40">
                  <c:v>8.7272627481667781E-2</c:v>
                </c:pt>
                <c:pt idx="41">
                  <c:v>8.8297267824739942E-2</c:v>
                </c:pt>
                <c:pt idx="42">
                  <c:v>9.0947967842687466E-2</c:v>
                </c:pt>
                <c:pt idx="43">
                  <c:v>9.2161943901327301E-2</c:v>
                </c:pt>
                <c:pt idx="44">
                  <c:v>9.3398194750033928E-2</c:v>
                </c:pt>
                <c:pt idx="45">
                  <c:v>9.5024254424909319E-2</c:v>
                </c:pt>
                <c:pt idx="46">
                  <c:v>9.5714772916979662E-2</c:v>
                </c:pt>
                <c:pt idx="47">
                  <c:v>9.7062397716020252E-2</c:v>
                </c:pt>
                <c:pt idx="48">
                  <c:v>9.8265236379626697E-2</c:v>
                </c:pt>
                <c:pt idx="49">
                  <c:v>9.8822106131296356E-2</c:v>
                </c:pt>
                <c:pt idx="50">
                  <c:v>0.10040361622603815</c:v>
                </c:pt>
                <c:pt idx="51">
                  <c:v>0.10102731034790817</c:v>
                </c:pt>
                <c:pt idx="52">
                  <c:v>0.1019183019505796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compute!$A$5:$A$57</c:f>
              <c:numCache>
                <c:formatCode>d\-mmm</c:formatCode>
                <c:ptCount val="53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compute!$K$5:$K$57</c:f>
              <c:numCache>
                <c:formatCode>0.0%</c:formatCode>
                <c:ptCount val="53"/>
                <c:pt idx="0">
                  <c:v>2.6898046493981208E-3</c:v>
                </c:pt>
                <c:pt idx="1">
                  <c:v>3.4684323110659976E-3</c:v>
                </c:pt>
                <c:pt idx="2">
                  <c:v>4.5301973042494673E-3</c:v>
                </c:pt>
                <c:pt idx="3">
                  <c:v>6.1051487108049456E-3</c:v>
                </c:pt>
                <c:pt idx="4">
                  <c:v>8.2109826139521586E-3</c:v>
                </c:pt>
                <c:pt idx="5">
                  <c:v>1.0670738181493861E-2</c:v>
                </c:pt>
                <c:pt idx="6">
                  <c:v>1.4369219574416277E-2</c:v>
                </c:pt>
                <c:pt idx="7">
                  <c:v>1.6475053477563489E-2</c:v>
                </c:pt>
                <c:pt idx="8">
                  <c:v>2.086368211605516E-2</c:v>
                </c:pt>
                <c:pt idx="9">
                  <c:v>2.4261330094242261E-2</c:v>
                </c:pt>
                <c:pt idx="10">
                  <c:v>2.967633155947795E-2</c:v>
                </c:pt>
                <c:pt idx="11">
                  <c:v>3.4666627027440257E-2</c:v>
                </c:pt>
                <c:pt idx="12">
                  <c:v>4.0541726656388784E-2</c:v>
                </c:pt>
                <c:pt idx="13">
                  <c:v>4.3550060803741943E-2</c:v>
                </c:pt>
                <c:pt idx="14">
                  <c:v>4.9584425181667988E-2</c:v>
                </c:pt>
                <c:pt idx="15">
                  <c:v>5.4857857981145883E-2</c:v>
                </c:pt>
                <c:pt idx="16">
                  <c:v>5.8697908039826101E-2</c:v>
                </c:pt>
                <c:pt idx="17">
                  <c:v>6.3475850509151707E-2</c:v>
                </c:pt>
                <c:pt idx="18">
                  <c:v>6.7528253566468618E-2</c:v>
                </c:pt>
                <c:pt idx="19">
                  <c:v>7.2394676451892834E-2</c:v>
                </c:pt>
                <c:pt idx="20">
                  <c:v>7.5615363597882707E-2</c:v>
                </c:pt>
                <c:pt idx="21">
                  <c:v>7.9402325406903729E-2</c:v>
                </c:pt>
                <c:pt idx="22">
                  <c:v>8.225139480527939E-2</c:v>
                </c:pt>
                <c:pt idx="23">
                  <c:v>8.5949876198201797E-2</c:v>
                </c:pt>
                <c:pt idx="24">
                  <c:v>8.879894559657743E-2</c:v>
                </c:pt>
                <c:pt idx="25">
                  <c:v>9.4231643145032851E-2</c:v>
                </c:pt>
                <c:pt idx="26">
                  <c:v>9.6850663461552078E-2</c:v>
                </c:pt>
                <c:pt idx="27">
                  <c:v>9.9894389775344677E-2</c:v>
                </c:pt>
                <c:pt idx="28">
                  <c:v>0.10355747900182764</c:v>
                </c:pt>
                <c:pt idx="29">
                  <c:v>0.10730904864440925</c:v>
                </c:pt>
                <c:pt idx="30">
                  <c:v>0.11019351020922433</c:v>
                </c:pt>
                <c:pt idx="31">
                  <c:v>0.11348498168809308</c:v>
                </c:pt>
                <c:pt idx="32">
                  <c:v>0.11782052207692559</c:v>
                </c:pt>
                <c:pt idx="33">
                  <c:v>0.11874071840435126</c:v>
                </c:pt>
                <c:pt idx="34">
                  <c:v>0.12389027862129107</c:v>
                </c:pt>
                <c:pt idx="35">
                  <c:v>0.12668625977000755</c:v>
                </c:pt>
                <c:pt idx="36">
                  <c:v>0.13031395683005106</c:v>
                </c:pt>
                <c:pt idx="37">
                  <c:v>0.13126954532391619</c:v>
                </c:pt>
                <c:pt idx="38">
                  <c:v>0.13254366331573633</c:v>
                </c:pt>
                <c:pt idx="39">
                  <c:v>0.13599439954358261</c:v>
                </c:pt>
                <c:pt idx="40">
                  <c:v>0.13866650810976103</c:v>
                </c:pt>
                <c:pt idx="41">
                  <c:v>0.14029454776597569</c:v>
                </c:pt>
                <c:pt idx="42">
                  <c:v>0.14450621557227009</c:v>
                </c:pt>
                <c:pt idx="43">
                  <c:v>0.14643508864322005</c:v>
                </c:pt>
                <c:pt idx="44">
                  <c:v>0.14839935388060946</c:v>
                </c:pt>
                <c:pt idx="45">
                  <c:v>0.15098298203068924</c:v>
                </c:pt>
                <c:pt idx="46">
                  <c:v>0.15208013919031219</c:v>
                </c:pt>
                <c:pt idx="47">
                  <c:v>0.15422136525989882</c:v>
                </c:pt>
                <c:pt idx="48">
                  <c:v>0.15613254224762907</c:v>
                </c:pt>
                <c:pt idx="49">
                  <c:v>0.15701734640861531</c:v>
                </c:pt>
                <c:pt idx="50">
                  <c:v>0.15953019022581619</c:v>
                </c:pt>
                <c:pt idx="51">
                  <c:v>0.16052117088612075</c:v>
                </c:pt>
                <c:pt idx="52">
                  <c:v>0.16193685754369869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5523871054579725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compute!$A$5:$A$10039</c:f>
              <c:numCache>
                <c:formatCode>d\-mmm</c:formatCode>
                <c:ptCount val="1003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compute!$Q$5:$Q$10039</c:f>
              <c:numCache>
                <c:formatCode>0</c:formatCode>
                <c:ptCount val="10035"/>
                <c:pt idx="0">
                  <c:v>442.58834586466168</c:v>
                </c:pt>
                <c:pt idx="1">
                  <c:v>343.23177842565599</c:v>
                </c:pt>
                <c:pt idx="2">
                  <c:v>262.78683035714283</c:v>
                </c:pt>
                <c:pt idx="3">
                  <c:v>194.99544513457556</c:v>
                </c:pt>
                <c:pt idx="4">
                  <c:v>144.98583743842366</c:v>
                </c:pt>
                <c:pt idx="5">
                  <c:v>111.56455816157309</c:v>
                </c:pt>
                <c:pt idx="6">
                  <c:v>82.849049964813517</c:v>
                </c:pt>
                <c:pt idx="7">
                  <c:v>72.259321773822307</c:v>
                </c:pt>
                <c:pt idx="8">
                  <c:v>57.059735853628986</c:v>
                </c:pt>
                <c:pt idx="9">
                  <c:v>49.068875690319892</c:v>
                </c:pt>
                <c:pt idx="10">
                  <c:v>40.115342022318764</c:v>
                </c:pt>
                <c:pt idx="11">
                  <c:v>34.340698607161087</c:v>
                </c:pt>
                <c:pt idx="12">
                  <c:v>29.364220240693395</c:v>
                </c:pt>
                <c:pt idx="13">
                  <c:v>27.335810065594707</c:v>
                </c:pt>
                <c:pt idx="14">
                  <c:v>24.009075150402772</c:v>
                </c:pt>
                <c:pt idx="15">
                  <c:v>21.701105990783411</c:v>
                </c:pt>
                <c:pt idx="16">
                  <c:v>20.281407468021879</c:v>
                </c:pt>
                <c:pt idx="17">
                  <c:v>18.754789119439245</c:v>
                </c:pt>
                <c:pt idx="18">
                  <c:v>17.629305181191974</c:v>
                </c:pt>
                <c:pt idx="19">
                  <c:v>16.444250445228203</c:v>
                </c:pt>
                <c:pt idx="20">
                  <c:v>15.743840058841229</c:v>
                </c:pt>
                <c:pt idx="21">
                  <c:v>14.992963800184661</c:v>
                </c:pt>
                <c:pt idx="22">
                  <c:v>14.473629210720432</c:v>
                </c:pt>
                <c:pt idx="23">
                  <c:v>13.850819141739462</c:v>
                </c:pt>
                <c:pt idx="24">
                  <c:v>13.40642259295109</c:v>
                </c:pt>
                <c:pt idx="25">
                  <c:v>12.633507712944333</c:v>
                </c:pt>
                <c:pt idx="26">
                  <c:v>12.29187439638746</c:v>
                </c:pt>
                <c:pt idx="27">
                  <c:v>11.91734784259142</c:v>
                </c:pt>
                <c:pt idx="28">
                  <c:v>11.495801191289914</c:v>
                </c:pt>
                <c:pt idx="29">
                  <c:v>11.093903128533736</c:v>
                </c:pt>
                <c:pt idx="30">
                  <c:v>10.803505471563927</c:v>
                </c:pt>
                <c:pt idx="31">
                  <c:v>10.490165066494397</c:v>
                </c:pt>
                <c:pt idx="32">
                  <c:v>10.104149680298674</c:v>
                </c:pt>
                <c:pt idx="33">
                  <c:v>10.025846284862679</c:v>
                </c:pt>
                <c:pt idx="34">
                  <c:v>9.6091170649090945</c:v>
                </c:pt>
                <c:pt idx="35">
                  <c:v>9.3970426835352097</c:v>
                </c:pt>
                <c:pt idx="36">
                  <c:v>9.13544657406689</c:v>
                </c:pt>
                <c:pt idx="37">
                  <c:v>9.0689442668412745</c:v>
                </c:pt>
                <c:pt idx="38">
                  <c:v>8.9817661644096898</c:v>
                </c:pt>
                <c:pt idx="39">
                  <c:v>8.7538618830746344</c:v>
                </c:pt>
                <c:pt idx="40">
                  <c:v>8.5851746517902718</c:v>
                </c:pt>
                <c:pt idx="41">
                  <c:v>8.4855485080005764</c:v>
                </c:pt>
                <c:pt idx="42">
                  <c:v>8.2382351912109435</c:v>
                </c:pt>
                <c:pt idx="43">
                  <c:v>8.1297194648252056</c:v>
                </c:pt>
                <c:pt idx="44">
                  <c:v>8.0221116827365329</c:v>
                </c:pt>
                <c:pt idx="45">
                  <c:v>7.8848369164824863</c:v>
                </c:pt>
                <c:pt idx="46">
                  <c:v>7.8279530569500313</c:v>
                </c:pt>
                <c:pt idx="47">
                  <c:v>7.7192689123842309</c:v>
                </c:pt>
                <c:pt idx="48">
                  <c:v>7.6247793915253963</c:v>
                </c:pt>
                <c:pt idx="49">
                  <c:v>7.5818132053903495</c:v>
                </c:pt>
                <c:pt idx="50">
                  <c:v>7.462388083353142</c:v>
                </c:pt>
                <c:pt idx="51">
                  <c:v>7.416318881206986</c:v>
                </c:pt>
                <c:pt idx="52">
                  <c:v>7.351483834709712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compute!$A$5:$A$10039</c:f>
              <c:numCache>
                <c:formatCode>d\-mmm</c:formatCode>
                <c:ptCount val="1003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compute!$R$5:$R$10039</c:f>
              <c:numCache>
                <c:formatCode>0</c:formatCode>
                <c:ptCount val="10035"/>
                <c:pt idx="0">
                  <c:v>177.03533834586466</c:v>
                </c:pt>
                <c:pt idx="1">
                  <c:v>137.2927113702624</c:v>
                </c:pt>
                <c:pt idx="2">
                  <c:v>105.11473214285718</c:v>
                </c:pt>
                <c:pt idx="3">
                  <c:v>77.998178053830259</c:v>
                </c:pt>
                <c:pt idx="4">
                  <c:v>57.994334975369441</c:v>
                </c:pt>
                <c:pt idx="5">
                  <c:v>44.625823264629233</c:v>
                </c:pt>
                <c:pt idx="6">
                  <c:v>33.139619985925393</c:v>
                </c:pt>
                <c:pt idx="7">
                  <c:v>28.903728709528934</c:v>
                </c:pt>
                <c:pt idx="8">
                  <c:v>22.823894341451584</c:v>
                </c:pt>
                <c:pt idx="9">
                  <c:v>19.627550276127955</c:v>
                </c:pt>
                <c:pt idx="10">
                  <c:v>16.046136808927507</c:v>
                </c:pt>
                <c:pt idx="11">
                  <c:v>13.736279442864436</c:v>
                </c:pt>
                <c:pt idx="12">
                  <c:v>11.745688096277359</c:v>
                </c:pt>
                <c:pt idx="13">
                  <c:v>10.934324026237881</c:v>
                </c:pt>
                <c:pt idx="14">
                  <c:v>9.6036300601611089</c:v>
                </c:pt>
                <c:pt idx="15">
                  <c:v>8.6804423963133637</c:v>
                </c:pt>
                <c:pt idx="16">
                  <c:v>8.1125629872087508</c:v>
                </c:pt>
                <c:pt idx="17">
                  <c:v>7.5019156477756965</c:v>
                </c:pt>
                <c:pt idx="18">
                  <c:v>7.0517220724767888</c:v>
                </c:pt>
                <c:pt idx="19">
                  <c:v>6.5777001780912805</c:v>
                </c:pt>
                <c:pt idx="20">
                  <c:v>6.297536023536491</c:v>
                </c:pt>
                <c:pt idx="21">
                  <c:v>5.9971855200738631</c:v>
                </c:pt>
                <c:pt idx="22">
                  <c:v>5.7894516842881742</c:v>
                </c:pt>
                <c:pt idx="23">
                  <c:v>5.5403276566957853</c:v>
                </c:pt>
                <c:pt idx="24">
                  <c:v>5.3625690371804371</c:v>
                </c:pt>
                <c:pt idx="25">
                  <c:v>5.0534030851777345</c:v>
                </c:pt>
                <c:pt idx="26">
                  <c:v>4.9167497585549853</c:v>
                </c:pt>
                <c:pt idx="27">
                  <c:v>4.7669391370365677</c:v>
                </c:pt>
                <c:pt idx="28">
                  <c:v>4.5983204765159655</c:v>
                </c:pt>
                <c:pt idx="29">
                  <c:v>4.4375612514134932</c:v>
                </c:pt>
                <c:pt idx="30">
                  <c:v>4.3214021886255711</c:v>
                </c:pt>
                <c:pt idx="31">
                  <c:v>4.1960660265977605</c:v>
                </c:pt>
                <c:pt idx="32">
                  <c:v>4.0416598721194692</c:v>
                </c:pt>
                <c:pt idx="33">
                  <c:v>4.0103385139450705</c:v>
                </c:pt>
                <c:pt idx="34">
                  <c:v>3.8436468259636385</c:v>
                </c:pt>
                <c:pt idx="35">
                  <c:v>3.7588170734140842</c:v>
                </c:pt>
                <c:pt idx="36">
                  <c:v>3.6541786296267542</c:v>
                </c:pt>
                <c:pt idx="37">
                  <c:v>3.6275777067365098</c:v>
                </c:pt>
                <c:pt idx="38">
                  <c:v>3.5927064657638752</c:v>
                </c:pt>
                <c:pt idx="39">
                  <c:v>3.5015447532298545</c:v>
                </c:pt>
                <c:pt idx="40">
                  <c:v>3.4340698607161091</c:v>
                </c:pt>
                <c:pt idx="41">
                  <c:v>3.3942194032002302</c:v>
                </c:pt>
                <c:pt idx="42">
                  <c:v>3.2952940764843781</c:v>
                </c:pt>
                <c:pt idx="43">
                  <c:v>3.2518877859300819</c:v>
                </c:pt>
                <c:pt idx="44">
                  <c:v>3.2088446730946139</c:v>
                </c:pt>
                <c:pt idx="45">
                  <c:v>3.1539347665929949</c:v>
                </c:pt>
                <c:pt idx="46">
                  <c:v>3.1311812227800129</c:v>
                </c:pt>
                <c:pt idx="47">
                  <c:v>3.0877075649536918</c:v>
                </c:pt>
                <c:pt idx="48">
                  <c:v>3.0499117566101583</c:v>
                </c:pt>
                <c:pt idx="49">
                  <c:v>3.0327252821561403</c:v>
                </c:pt>
                <c:pt idx="50">
                  <c:v>2.9849552333412568</c:v>
                </c:pt>
                <c:pt idx="51">
                  <c:v>2.9665275524827939</c:v>
                </c:pt>
                <c:pt idx="52">
                  <c:v>2.9405935338838836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layout>
                <c:manualLayout>
                  <c:x val="-4.2721236536321885E-2"/>
                  <c:y val="-6.10170114077493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compute!$A$5:$A$10039</c:f>
              <c:numCache>
                <c:formatCode>d\-mmm</c:formatCode>
                <c:ptCount val="1003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compute!$S$5:$S$10039</c:f>
              <c:numCache>
                <c:formatCode>0</c:formatCode>
                <c:ptCount val="10035"/>
                <c:pt idx="0">
                  <c:v>531.10601503759403</c:v>
                </c:pt>
                <c:pt idx="1">
                  <c:v>411.87813411078719</c:v>
                </c:pt>
                <c:pt idx="2">
                  <c:v>315.34419642857142</c:v>
                </c:pt>
                <c:pt idx="3">
                  <c:v>233.99453416149069</c:v>
                </c:pt>
                <c:pt idx="4">
                  <c:v>173.98300492610838</c:v>
                </c:pt>
                <c:pt idx="5">
                  <c:v>133.87746979388771</c:v>
                </c:pt>
                <c:pt idx="6">
                  <c:v>99.41885995777622</c:v>
                </c:pt>
                <c:pt idx="7">
                  <c:v>86.711186128586775</c:v>
                </c:pt>
                <c:pt idx="8">
                  <c:v>68.471683024354775</c:v>
                </c:pt>
                <c:pt idx="9">
                  <c:v>58.882650828383873</c:v>
                </c:pt>
                <c:pt idx="10">
                  <c:v>48.138410426782514</c:v>
                </c:pt>
                <c:pt idx="11">
                  <c:v>41.208838328593302</c:v>
                </c:pt>
                <c:pt idx="12">
                  <c:v>35.237064288832073</c:v>
                </c:pt>
                <c:pt idx="13">
                  <c:v>32.802972078713651</c:v>
                </c:pt>
                <c:pt idx="14">
                  <c:v>28.810890180483327</c:v>
                </c:pt>
                <c:pt idx="15">
                  <c:v>26.041327188940095</c:v>
                </c:pt>
                <c:pt idx="16">
                  <c:v>24.337688961626256</c:v>
                </c:pt>
                <c:pt idx="17">
                  <c:v>22.505746943327093</c:v>
                </c:pt>
                <c:pt idx="18">
                  <c:v>21.15516621743037</c:v>
                </c:pt>
                <c:pt idx="19">
                  <c:v>19.733100534273845</c:v>
                </c:pt>
                <c:pt idx="20">
                  <c:v>18.892608070609477</c:v>
                </c:pt>
                <c:pt idx="21">
                  <c:v>17.991556560221593</c:v>
                </c:pt>
                <c:pt idx="22">
                  <c:v>17.368355052864519</c:v>
                </c:pt>
                <c:pt idx="23">
                  <c:v>16.620982970087354</c:v>
                </c:pt>
                <c:pt idx="24">
                  <c:v>16.08770711154131</c:v>
                </c:pt>
                <c:pt idx="25">
                  <c:v>15.1602092555332</c:v>
                </c:pt>
                <c:pt idx="26">
                  <c:v>14.750249275664952</c:v>
                </c:pt>
                <c:pt idx="27">
                  <c:v>14.300817411109705</c:v>
                </c:pt>
                <c:pt idx="28">
                  <c:v>13.794961429547897</c:v>
                </c:pt>
                <c:pt idx="29">
                  <c:v>13.312683754240481</c:v>
                </c:pt>
                <c:pt idx="30">
                  <c:v>12.964206565876712</c:v>
                </c:pt>
                <c:pt idx="31">
                  <c:v>12.588198079793276</c:v>
                </c:pt>
                <c:pt idx="32">
                  <c:v>12.124979616358409</c:v>
                </c:pt>
                <c:pt idx="33">
                  <c:v>12.031015541835213</c:v>
                </c:pt>
                <c:pt idx="34">
                  <c:v>11.530940477890914</c:v>
                </c:pt>
                <c:pt idx="35">
                  <c:v>11.276451220242251</c:v>
                </c:pt>
                <c:pt idx="36">
                  <c:v>10.962535888880268</c:v>
                </c:pt>
                <c:pt idx="37">
                  <c:v>10.882733120209529</c:v>
                </c:pt>
                <c:pt idx="38">
                  <c:v>10.778119397291627</c:v>
                </c:pt>
                <c:pt idx="39">
                  <c:v>10.504634259689562</c:v>
                </c:pt>
                <c:pt idx="40">
                  <c:v>10.302209582148325</c:v>
                </c:pt>
                <c:pt idx="41">
                  <c:v>10.182658209600692</c:v>
                </c:pt>
                <c:pt idx="42">
                  <c:v>9.8858822294531326</c:v>
                </c:pt>
                <c:pt idx="43">
                  <c:v>9.7556633577902474</c:v>
                </c:pt>
                <c:pt idx="44">
                  <c:v>9.6265340192838398</c:v>
                </c:pt>
                <c:pt idx="45">
                  <c:v>9.4618042997789829</c:v>
                </c:pt>
                <c:pt idx="46">
                  <c:v>9.3935436683400368</c:v>
                </c:pt>
                <c:pt idx="47">
                  <c:v>9.2631226948610763</c:v>
                </c:pt>
                <c:pt idx="48">
                  <c:v>9.1497352698304759</c:v>
                </c:pt>
                <c:pt idx="49">
                  <c:v>9.0981758464684201</c:v>
                </c:pt>
                <c:pt idx="50">
                  <c:v>8.9548657000237704</c:v>
                </c:pt>
                <c:pt idx="51">
                  <c:v>8.8995826574483825</c:v>
                </c:pt>
                <c:pt idx="52">
                  <c:v>8.8217806016516533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compute!$A$5:$A$10039</c:f>
              <c:numCache>
                <c:formatCode>d\-mmm</c:formatCode>
                <c:ptCount val="1003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compute!$C$5:$C$58</c:f>
              <c:numCache>
                <c:formatCode>0.0%</c:formatCode>
                <c:ptCount val="54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compute!$C$5:$C$58</c:f>
              <c:numCache>
                <c:formatCode>0.0%</c:formatCode>
                <c:ptCount val="54"/>
                <c:pt idx="0">
                  <c:v>3.227765579277745E-4</c:v>
                </c:pt>
                <c:pt idx="1">
                  <c:v>4.1621187732791972E-4</c:v>
                </c:pt>
                <c:pt idx="2">
                  <c:v>5.4362367650993598E-4</c:v>
                </c:pt>
                <c:pt idx="3">
                  <c:v>7.3261784529659343E-4</c:v>
                </c:pt>
                <c:pt idx="4">
                  <c:v>9.8531791367425896E-4</c:v>
                </c:pt>
                <c:pt idx="5">
                  <c:v>1.2804885817792632E-3</c:v>
                </c:pt>
                <c:pt idx="6">
                  <c:v>1.7243063489299532E-3</c:v>
                </c:pt>
                <c:pt idx="7">
                  <c:v>1.9770064173076189E-3</c:v>
                </c:pt>
                <c:pt idx="8">
                  <c:v>2.5036418539266191E-3</c:v>
                </c:pt>
                <c:pt idx="9">
                  <c:v>2.9113596113090712E-3</c:v>
                </c:pt>
                <c:pt idx="10">
                  <c:v>3.5611597871373544E-3</c:v>
                </c:pt>
                <c:pt idx="11">
                  <c:v>4.1599952432928309E-3</c:v>
                </c:pt>
                <c:pt idx="12">
                  <c:v>4.8650071987666535E-3</c:v>
                </c:pt>
                <c:pt idx="13">
                  <c:v>5.2260072964490333E-3</c:v>
                </c:pt>
                <c:pt idx="14">
                  <c:v>5.9501310218001589E-3</c:v>
                </c:pt>
                <c:pt idx="15">
                  <c:v>6.5829429577375061E-3</c:v>
                </c:pt>
                <c:pt idx="16">
                  <c:v>7.0437489647791314E-3</c:v>
                </c:pt>
                <c:pt idx="17">
                  <c:v>7.6171020610982043E-3</c:v>
                </c:pt>
                <c:pt idx="18">
                  <c:v>8.1033904279762328E-3</c:v>
                </c:pt>
                <c:pt idx="19">
                  <c:v>8.6873611742271407E-3</c:v>
                </c:pt>
                <c:pt idx="20">
                  <c:v>9.0738436317459245E-3</c:v>
                </c:pt>
                <c:pt idx="21">
                  <c:v>9.5282790488284488E-3</c:v>
                </c:pt>
                <c:pt idx="22">
                  <c:v>9.8701673766335256E-3</c:v>
                </c:pt>
                <c:pt idx="23">
                  <c:v>1.0313985143784215E-2</c:v>
                </c:pt>
                <c:pt idx="24">
                  <c:v>1.0655873471589292E-2</c:v>
                </c:pt>
                <c:pt idx="25">
                  <c:v>1.1307797177403942E-2</c:v>
                </c:pt>
                <c:pt idx="26">
                  <c:v>1.1622079615386249E-2</c:v>
                </c:pt>
                <c:pt idx="27">
                  <c:v>1.1987326773041361E-2</c:v>
                </c:pt>
                <c:pt idx="28">
                  <c:v>1.2426897480219318E-2</c:v>
                </c:pt>
                <c:pt idx="29">
                  <c:v>1.2877085837329109E-2</c:v>
                </c:pt>
                <c:pt idx="30">
                  <c:v>1.3223221225106919E-2</c:v>
                </c:pt>
                <c:pt idx="31">
                  <c:v>1.361819780257117E-2</c:v>
                </c:pt>
                <c:pt idx="32">
                  <c:v>1.4138462649231069E-2</c:v>
                </c:pt>
                <c:pt idx="33">
                  <c:v>1.424888620852215E-2</c:v>
                </c:pt>
                <c:pt idx="34">
                  <c:v>1.486683343455493E-2</c:v>
                </c:pt>
                <c:pt idx="35">
                  <c:v>1.5202351172400905E-2</c:v>
                </c:pt>
                <c:pt idx="36">
                  <c:v>1.5637674819606127E-2</c:v>
                </c:pt>
                <c:pt idx="37">
                  <c:v>1.5752345438869941E-2</c:v>
                </c:pt>
                <c:pt idx="38">
                  <c:v>1.5905239597888362E-2</c:v>
                </c:pt>
                <c:pt idx="39">
                  <c:v>1.6319327945229913E-2</c:v>
                </c:pt>
                <c:pt idx="40">
                  <c:v>1.6639980973171323E-2</c:v>
                </c:pt>
                <c:pt idx="41">
                  <c:v>1.6835345731917081E-2</c:v>
                </c:pt>
                <c:pt idx="42">
                  <c:v>1.7340745868672413E-2</c:v>
                </c:pt>
                <c:pt idx="43">
                  <c:v>1.7572210637186409E-2</c:v>
                </c:pt>
                <c:pt idx="44">
                  <c:v>1.7807922465673139E-2</c:v>
                </c:pt>
                <c:pt idx="45">
                  <c:v>1.8117957843682711E-2</c:v>
                </c:pt>
                <c:pt idx="46">
                  <c:v>1.8249616702837462E-2</c:v>
                </c:pt>
                <c:pt idx="47">
                  <c:v>1.8506563831187862E-2</c:v>
                </c:pt>
                <c:pt idx="48">
                  <c:v>1.8735905069715491E-2</c:v>
                </c:pt>
                <c:pt idx="49">
                  <c:v>1.8842081569033838E-2</c:v>
                </c:pt>
                <c:pt idx="50">
                  <c:v>1.9143622827097941E-2</c:v>
                </c:pt>
                <c:pt idx="51">
                  <c:v>1.926254050633449E-2</c:v>
                </c:pt>
                <c:pt idx="52">
                  <c:v>1.9432422905243846E-2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compute!$A$5:$A$10039</c:f>
              <c:numCache>
                <c:formatCode>d\-mmm</c:formatCode>
                <c:ptCount val="1003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</c:numCache>
            </c:numRef>
          </c:cat>
          <c:val>
            <c:numRef>
              <c:f>compute!$K$5:$K$57</c:f>
              <c:numCache>
                <c:formatCode>0.0%</c:formatCode>
                <c:ptCount val="53"/>
                <c:pt idx="0">
                  <c:v>2.6898046493981208E-3</c:v>
                </c:pt>
                <c:pt idx="1">
                  <c:v>3.4684323110659976E-3</c:v>
                </c:pt>
                <c:pt idx="2">
                  <c:v>4.5301973042494673E-3</c:v>
                </c:pt>
                <c:pt idx="3">
                  <c:v>6.1051487108049456E-3</c:v>
                </c:pt>
                <c:pt idx="4">
                  <c:v>8.2109826139521586E-3</c:v>
                </c:pt>
                <c:pt idx="5">
                  <c:v>1.0670738181493861E-2</c:v>
                </c:pt>
                <c:pt idx="6">
                  <c:v>1.4369219574416277E-2</c:v>
                </c:pt>
                <c:pt idx="7">
                  <c:v>1.6475053477563489E-2</c:v>
                </c:pt>
                <c:pt idx="8">
                  <c:v>2.086368211605516E-2</c:v>
                </c:pt>
                <c:pt idx="9">
                  <c:v>2.4261330094242261E-2</c:v>
                </c:pt>
                <c:pt idx="10">
                  <c:v>2.967633155947795E-2</c:v>
                </c:pt>
                <c:pt idx="11">
                  <c:v>3.4666627027440257E-2</c:v>
                </c:pt>
                <c:pt idx="12">
                  <c:v>4.0541726656388784E-2</c:v>
                </c:pt>
                <c:pt idx="13">
                  <c:v>4.3550060803741943E-2</c:v>
                </c:pt>
                <c:pt idx="14">
                  <c:v>4.9584425181667988E-2</c:v>
                </c:pt>
                <c:pt idx="15">
                  <c:v>5.4857857981145883E-2</c:v>
                </c:pt>
                <c:pt idx="16">
                  <c:v>5.8697908039826101E-2</c:v>
                </c:pt>
                <c:pt idx="17">
                  <c:v>6.3475850509151707E-2</c:v>
                </c:pt>
                <c:pt idx="18">
                  <c:v>6.7528253566468618E-2</c:v>
                </c:pt>
                <c:pt idx="19">
                  <c:v>7.2394676451892834E-2</c:v>
                </c:pt>
                <c:pt idx="20">
                  <c:v>7.5615363597882707E-2</c:v>
                </c:pt>
                <c:pt idx="21">
                  <c:v>7.9402325406903729E-2</c:v>
                </c:pt>
                <c:pt idx="22">
                  <c:v>8.225139480527939E-2</c:v>
                </c:pt>
                <c:pt idx="23">
                  <c:v>8.5949876198201797E-2</c:v>
                </c:pt>
                <c:pt idx="24">
                  <c:v>8.879894559657743E-2</c:v>
                </c:pt>
                <c:pt idx="25">
                  <c:v>9.4231643145032851E-2</c:v>
                </c:pt>
                <c:pt idx="26">
                  <c:v>9.6850663461552078E-2</c:v>
                </c:pt>
                <c:pt idx="27">
                  <c:v>9.9894389775344677E-2</c:v>
                </c:pt>
                <c:pt idx="28">
                  <c:v>0.10355747900182764</c:v>
                </c:pt>
                <c:pt idx="29">
                  <c:v>0.10730904864440925</c:v>
                </c:pt>
                <c:pt idx="30">
                  <c:v>0.11019351020922433</c:v>
                </c:pt>
                <c:pt idx="31">
                  <c:v>0.11348498168809308</c:v>
                </c:pt>
                <c:pt idx="32">
                  <c:v>0.11782052207692559</c:v>
                </c:pt>
                <c:pt idx="33">
                  <c:v>0.11874071840435126</c:v>
                </c:pt>
                <c:pt idx="34">
                  <c:v>0.12389027862129107</c:v>
                </c:pt>
                <c:pt idx="35">
                  <c:v>0.12668625977000755</c:v>
                </c:pt>
                <c:pt idx="36">
                  <c:v>0.13031395683005106</c:v>
                </c:pt>
                <c:pt idx="37">
                  <c:v>0.13126954532391619</c:v>
                </c:pt>
                <c:pt idx="38">
                  <c:v>0.13254366331573633</c:v>
                </c:pt>
                <c:pt idx="39">
                  <c:v>0.13599439954358261</c:v>
                </c:pt>
                <c:pt idx="40">
                  <c:v>0.13866650810976103</c:v>
                </c:pt>
                <c:pt idx="41">
                  <c:v>0.14029454776597569</c:v>
                </c:pt>
                <c:pt idx="42">
                  <c:v>0.14450621557227009</c:v>
                </c:pt>
                <c:pt idx="43">
                  <c:v>0.14643508864322005</c:v>
                </c:pt>
                <c:pt idx="44">
                  <c:v>0.14839935388060946</c:v>
                </c:pt>
                <c:pt idx="45">
                  <c:v>0.15098298203068924</c:v>
                </c:pt>
                <c:pt idx="46">
                  <c:v>0.15208013919031219</c:v>
                </c:pt>
                <c:pt idx="47">
                  <c:v>0.15422136525989882</c:v>
                </c:pt>
                <c:pt idx="48">
                  <c:v>0.15613254224762907</c:v>
                </c:pt>
                <c:pt idx="49">
                  <c:v>0.15701734640861531</c:v>
                </c:pt>
                <c:pt idx="50">
                  <c:v>0.15953019022581619</c:v>
                </c:pt>
                <c:pt idx="51">
                  <c:v>0.16052117088612075</c:v>
                </c:pt>
                <c:pt idx="52">
                  <c:v>0.16193685754369869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1 - 7</c:v>
                </c:pt>
                <c:pt idx="1">
                  <c:v>May 8 - 14</c:v>
                </c:pt>
              </c:strCache>
            </c:strRef>
          </c:cat>
          <c:val>
            <c:numRef>
              <c:f>'Two-Weeks'!$M$7:$M$8</c:f>
              <c:numCache>
                <c:formatCode>General</c:formatCode>
                <c:ptCount val="2"/>
                <c:pt idx="0">
                  <c:v>1042</c:v>
                </c:pt>
                <c:pt idx="1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5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14,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58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14,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58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14,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14,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0.28243</cdr:x>
      <cdr:y>0.31501</cdr:y>
    </cdr:from>
    <cdr:to>
      <cdr:x>0.78582</cdr:x>
      <cdr:y>0.46271</cdr:y>
    </cdr:to>
    <cdr:sp macro="" textlink="compute!$V$68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98282" y="2360369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having been infected with SARS-CoV-2 is currently estimated to be around one in 9.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0.7764</cdr:x>
      <cdr:y>0.77664</cdr:y>
    </cdr:from>
    <cdr:to>
      <cdr:x>0.90309</cdr:x>
      <cdr:y>0.80878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760507" y="5869215"/>
          <a:ext cx="939924" cy="2428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58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14,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5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14,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58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14,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58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14,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58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14,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57" totalsRowShown="0" headerRowDxfId="23" dataDxfId="22" headerRowCellStyle="Heading 3">
  <autoFilter ref="A4:V57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O26" sqref="O2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O26" sqref="O2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M17" sqref="M1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K30" sqref="K30"/>
    </sheetView>
  </sheetViews>
  <sheetFormatPr baseColWidth="10" defaultRowHeight="16" x14ac:dyDescent="0.2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zoomScaleNormal="100" workbookViewId="0">
      <selection activeCell="N21" sqref="N21"/>
    </sheetView>
  </sheetViews>
  <sheetFormatPr baseColWidth="10" defaultRowHeight="16" x14ac:dyDescent="0.2"/>
  <cols>
    <col min="12" max="12" width="16.1640625" customWidth="1"/>
  </cols>
  <sheetData>
    <row r="7" spans="12:13" x14ac:dyDescent="0.2">
      <c r="L7" s="33" t="s">
        <v>64</v>
      </c>
      <c r="M7">
        <f>compute!B50-compute!B43</f>
        <v>1042</v>
      </c>
    </row>
    <row r="8" spans="12:13" x14ac:dyDescent="0.2">
      <c r="L8" s="33" t="s">
        <v>63</v>
      </c>
      <c r="M8">
        <f>compute!B56-compute!B49</f>
        <v>685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compute!U9</f>
        <v>9151</v>
      </c>
      <c r="D6" s="24"/>
      <c r="E6" s="17"/>
      <c r="F6" s="18"/>
      <c r="G6" s="82">
        <f ca="1">compute!U12</f>
        <v>76258.333333333328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compute!V70</f>
        <v>doubing in 78.9 days</v>
      </c>
      <c r="D8" s="44"/>
      <c r="E8" s="43"/>
      <c r="F8" s="46"/>
      <c r="G8" s="47" t="str">
        <f ca="1">compute!V72</f>
        <v>+0.9%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compute!U15</f>
        <v>0.16193685754369869</v>
      </c>
      <c r="D14" s="18"/>
      <c r="E14" s="17"/>
      <c r="F14" s="18"/>
      <c r="G14" s="19">
        <f ca="1">compute!U18</f>
        <v>8.8217806016516533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74"/>
  <sheetViews>
    <sheetView tabSelected="1" topLeftCell="A35" workbookViewId="0">
      <selection sqref="A1:B57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 x14ac:dyDescent="0.2">
      <c r="A1" s="9" t="s">
        <v>40</v>
      </c>
      <c r="B1" s="9" t="s">
        <v>44</v>
      </c>
      <c r="C1" s="71"/>
    </row>
    <row r="2" spans="1:24" ht="17" x14ac:dyDescent="0.2">
      <c r="A2" s="9" t="s">
        <v>41</v>
      </c>
      <c r="B2" s="57">
        <v>470914</v>
      </c>
      <c r="C2" s="72"/>
    </row>
    <row r="3" spans="1:24" x14ac:dyDescent="0.2">
      <c r="A3" s="9" t="s">
        <v>43</v>
      </c>
      <c r="B3" s="12" t="s">
        <v>35</v>
      </c>
      <c r="C3" s="71"/>
    </row>
    <row r="4" spans="1:24" s="2" customFormat="1" ht="81" customHeight="1" thickBot="1" x14ac:dyDescent="0.25">
      <c r="A4" s="62" t="s">
        <v>0</v>
      </c>
      <c r="B4" s="6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 x14ac:dyDescent="0.2">
      <c r="A5" s="8">
        <v>43913</v>
      </c>
      <c r="B5" s="9">
        <v>152</v>
      </c>
      <c r="C5" s="74">
        <f>Table2[[#This Row],[cases]]/$B$2</f>
        <v>3.227765579277745E-4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1266.6666666666667</v>
      </c>
      <c r="G5" s="56">
        <f>Table2[[#This Row],[cases]]*100/$T$13</f>
        <v>584.61538461538464</v>
      </c>
      <c r="H5" s="56">
        <f>Table2[[#This Row],[cases]]*100/$T$16</f>
        <v>1381.8181818181818</v>
      </c>
      <c r="I5" s="56">
        <f>Table2[[#This Row],[infection count, high end of estimate range]]-Table2[[#This Row],[infection count, low end of estimate range]]</f>
        <v>797.20279720279711</v>
      </c>
      <c r="J5" s="56">
        <f>(Table2[[#This Row],[infection count, low end of estimate range]]+Table2[[#This Row],[infection count, high end of estimate range]])/2</f>
        <v>983.21678321678314</v>
      </c>
      <c r="K5" s="26">
        <f>Table2[[#This Row],[estimated infections]]/$T$6</f>
        <v>2.6898046493981208E-3</v>
      </c>
      <c r="L5" s="26">
        <f>Table2[[#This Row],[infection count, low end of estimate range]]/$T$6</f>
        <v>1.2414482997222098E-3</v>
      </c>
      <c r="M5" s="26">
        <f>Table2[[#This Row],[infection count, high end of estimate range]]/$T$6</f>
        <v>2.9343323447979497E-3</v>
      </c>
      <c r="N5" s="14">
        <f>Table2[[#This Row],[infection percentage, high end of estimate range]]-Table2[[#This Row],[infection percentage, low end of estimate range]]</f>
        <v>1.69288404507574E-3</v>
      </c>
      <c r="O5" s="26">
        <f>(Table2[[#This Row],[infection percentage, low end of estimate range]]+Table2[[#This Row],[infection percentage, high end of estimate range]])/2</f>
        <v>2.08789032226008E-3</v>
      </c>
      <c r="P5" s="12">
        <f>$T$6/(Table2[[#This Row],[cases]]*5)</f>
        <v>619.62368421052633</v>
      </c>
      <c r="Q5" s="12">
        <f>$T$6/(Table2[[#This Row],[cases]]*7)</f>
        <v>442.58834586466168</v>
      </c>
      <c r="R5" s="3">
        <f>Table2[[#This Row],[1-in-X odds, estimating 5x cases infected]]-Table2[[#This Row],[1-in-X odds, estimating 7x cases infected]]</f>
        <v>177.03533834586466</v>
      </c>
      <c r="S5" s="5">
        <f>(Table2[[#This Row],[1-in-X odds, estimating 5x cases infected]]+Table2[[#This Row],[1-in-X odds, estimating 7x cases infected]])/2</f>
        <v>531.10601503759403</v>
      </c>
      <c r="T5" s="11" t="s">
        <v>11</v>
      </c>
      <c r="U5" s="11" t="s">
        <v>26</v>
      </c>
      <c r="V5" s="3"/>
      <c r="X5" s="1" t="s">
        <v>46</v>
      </c>
    </row>
    <row r="6" spans="1:24" x14ac:dyDescent="0.2">
      <c r="A6" s="8">
        <v>43914</v>
      </c>
      <c r="B6" s="9">
        <v>196</v>
      </c>
      <c r="C6" s="71">
        <f>Table2[[#This Row],[cases]]/$B$2</f>
        <v>4.1621187732791972E-4</v>
      </c>
      <c r="D6" s="26">
        <f>(Table2[[#This Row],[cases]]-B5)/B5</f>
        <v>0.28947368421052633</v>
      </c>
      <c r="E6" s="38">
        <f t="shared" si="0"/>
        <v>2.7264126877891832</v>
      </c>
      <c r="F6" s="81">
        <f>Table2[[#This Row],[cases]]*100/$T$19</f>
        <v>1633.3333333333333</v>
      </c>
      <c r="G6" s="56">
        <f>Table2[[#This Row],[cases]]*100/$T$13</f>
        <v>753.84615384615381</v>
      </c>
      <c r="H6" s="56">
        <f>Table2[[#This Row],[cases]]*100/$T$16</f>
        <v>1781.8181818181818</v>
      </c>
      <c r="I6" s="56">
        <f>Table2[[#This Row],[infection count, high end of estimate range]]-Table2[[#This Row],[infection count, low end of estimate range]]</f>
        <v>1027.9720279720279</v>
      </c>
      <c r="J6" s="56">
        <f>(Table2[[#This Row],[infection count, low end of estimate range]]+Table2[[#This Row],[infection count, high end of estimate range]])/2</f>
        <v>1267.8321678321677</v>
      </c>
      <c r="K6" s="26">
        <f>Table2[[#This Row],[estimated infections]]/$T$6</f>
        <v>3.4684323110659976E-3</v>
      </c>
      <c r="L6" s="26">
        <f>Table2[[#This Row],[infection count, low end of estimate range]]/$T$6</f>
        <v>1.6008149127996912E-3</v>
      </c>
      <c r="M6" s="26">
        <f>Table2[[#This Row],[infection count, high end of estimate range]]/$T$6</f>
        <v>3.783744339344725E-3</v>
      </c>
      <c r="N6" s="14">
        <f>Table2[[#This Row],[infection percentage, high end of estimate range]]-Table2[[#This Row],[infection percentage, low end of estimate range]]</f>
        <v>2.1829294265450338E-3</v>
      </c>
      <c r="O6" s="26">
        <f>(Table2[[#This Row],[infection percentage, low end of estimate range]]+Table2[[#This Row],[infection percentage, high end of estimate range]])/2</f>
        <v>2.6922796260722081E-3</v>
      </c>
      <c r="P6" s="12">
        <f>$T$6/(Table2[[#This Row],[cases]]*5)</f>
        <v>480.52448979591838</v>
      </c>
      <c r="Q6" s="12">
        <f>$T$6/(Table2[[#This Row],[cases]]*7)</f>
        <v>343.23177842565599</v>
      </c>
      <c r="R6" s="3">
        <f>Table2[[#This Row],[1-in-X odds, estimating 5x cases infected]]-Table2[[#This Row],[1-in-X odds, estimating 7x cases infected]]</f>
        <v>137.2927113702624</v>
      </c>
      <c r="S6" s="3">
        <f>(Table2[[#This Row],[1-in-X odds, estimating 5x cases infected]]+Table2[[#This Row],[1-in-X odds, estimating 7x cases infected]])/2</f>
        <v>411.87813411078719</v>
      </c>
      <c r="T6" s="3">
        <f>B2</f>
        <v>470914</v>
      </c>
      <c r="U6" s="29">
        <f ca="1">OFFSET(compute!A5,COUNTA(compute!A5:A10035)-1,0)</f>
        <v>43965</v>
      </c>
      <c r="V6" s="3"/>
      <c r="X6" t="str">
        <f>"Number of Confirmed COVID-19 Cases " &amp; B1</f>
        <v>Number of Confirmed COVID-19 Cases Miami</v>
      </c>
    </row>
    <row r="7" spans="1:24" x14ac:dyDescent="0.2">
      <c r="A7" s="8">
        <v>43915</v>
      </c>
      <c r="B7" s="9">
        <v>256</v>
      </c>
      <c r="C7" s="71">
        <f>Table2[[#This Row],[cases]]/$B$2</f>
        <v>5.4362367650993598E-4</v>
      </c>
      <c r="D7" s="26">
        <f>(Table2[[#This Row],[cases]]-B6)/B6</f>
        <v>0.30612244897959184</v>
      </c>
      <c r="E7" s="38">
        <f t="shared" si="0"/>
        <v>2.5954465348422167</v>
      </c>
      <c r="F7" s="81">
        <f>Table2[[#This Row],[cases]]*100/$T$19</f>
        <v>2133.3333333333335</v>
      </c>
      <c r="G7" s="56">
        <f>Table2[[#This Row],[cases]]*100/$T$13</f>
        <v>984.61538461538464</v>
      </c>
      <c r="H7" s="56">
        <f>Table2[[#This Row],[cases]]*100/$T$16</f>
        <v>2327.2727272727275</v>
      </c>
      <c r="I7" s="56">
        <f>Table2[[#This Row],[infection count, high end of estimate range]]-Table2[[#This Row],[infection count, low end of estimate range]]</f>
        <v>1342.6573426573427</v>
      </c>
      <c r="J7" s="56">
        <f>(Table2[[#This Row],[infection count, low end of estimate range]]+Table2[[#This Row],[infection count, high end of estimate range]])/2</f>
        <v>1655.9440559440561</v>
      </c>
      <c r="K7" s="26">
        <f>Table2[[#This Row],[estimated infections]]/$T$6</f>
        <v>4.5301973042494673E-3</v>
      </c>
      <c r="L7" s="26">
        <f>Table2[[#This Row],[infection count, low end of estimate range]]/$T$6</f>
        <v>2.0908602942689846E-3</v>
      </c>
      <c r="M7" s="26">
        <f>Table2[[#This Row],[infection count, high end of estimate range]]/$T$6</f>
        <v>4.9420334228176006E-3</v>
      </c>
      <c r="N7" s="14">
        <f>Table2[[#This Row],[infection percentage, high end of estimate range]]-Table2[[#This Row],[infection percentage, low end of estimate range]]</f>
        <v>2.851173128548616E-3</v>
      </c>
      <c r="O7" s="26">
        <f>(Table2[[#This Row],[infection percentage, low end of estimate range]]+Table2[[#This Row],[infection percentage, high end of estimate range]])/2</f>
        <v>3.5164468585432923E-3</v>
      </c>
      <c r="P7" s="12">
        <f>$T$6/(Table2[[#This Row],[cases]]*5)</f>
        <v>367.90156250000001</v>
      </c>
      <c r="Q7" s="12">
        <f>$T$6/(Table2[[#This Row],[cases]]*7)</f>
        <v>262.78683035714283</v>
      </c>
      <c r="R7" s="3">
        <f>Table2[[#This Row],[1-in-X odds, estimating 5x cases infected]]-Table2[[#This Row],[1-in-X odds, estimating 7x cases infected]]</f>
        <v>105.11473214285718</v>
      </c>
      <c r="S7" s="3">
        <f>(Table2[[#This Row],[1-in-X odds, estimating 5x cases infected]]+Table2[[#This Row],[1-in-X odds, estimating 7x cases infected]])/2</f>
        <v>315.34419642857142</v>
      </c>
      <c r="V7" s="3"/>
    </row>
    <row r="8" spans="1:24" x14ac:dyDescent="0.2">
      <c r="A8" s="8">
        <v>43916</v>
      </c>
      <c r="B8" s="9">
        <v>345</v>
      </c>
      <c r="C8" s="71">
        <f>Table2[[#This Row],[cases]]/$B$2</f>
        <v>7.3261784529659343E-4</v>
      </c>
      <c r="D8" s="26">
        <f>(Table2[[#This Row],[cases]]-B7)/B7</f>
        <v>0.34765625</v>
      </c>
      <c r="E8" s="38">
        <f t="shared" si="0"/>
        <v>2.3231364203342348</v>
      </c>
      <c r="F8" s="81">
        <f>Table2[[#This Row],[cases]]*100/$T$19</f>
        <v>2875</v>
      </c>
      <c r="G8" s="56">
        <f>Table2[[#This Row],[cases]]*100/$T$13</f>
        <v>1326.9230769230769</v>
      </c>
      <c r="H8" s="56">
        <f>Table2[[#This Row],[cases]]*100/$T$16</f>
        <v>3136.3636363636365</v>
      </c>
      <c r="I8" s="56">
        <f>Table2[[#This Row],[infection count, high end of estimate range]]-Table2[[#This Row],[infection count, low end of estimate range]]</f>
        <v>1809.4405594405596</v>
      </c>
      <c r="J8" s="56">
        <f>(Table2[[#This Row],[infection count, low end of estimate range]]+Table2[[#This Row],[infection count, high end of estimate range]])/2</f>
        <v>2231.6433566433566</v>
      </c>
      <c r="K8" s="26">
        <f>Table2[[#This Row],[estimated infections]]/$T$6</f>
        <v>6.1051487108049456E-3</v>
      </c>
      <c r="L8" s="26">
        <f>Table2[[#This Row],[infection count, low end of estimate range]]/$T$6</f>
        <v>2.8177609434484364E-3</v>
      </c>
      <c r="M8" s="26">
        <f>Table2[[#This Row],[infection count, high end of estimate range]]/$T$6</f>
        <v>6.6601622299690315E-3</v>
      </c>
      <c r="N8" s="14">
        <f>Table2[[#This Row],[infection percentage, high end of estimate range]]-Table2[[#This Row],[infection percentage, low end of estimate range]]</f>
        <v>3.8424012865205951E-3</v>
      </c>
      <c r="O8" s="26">
        <f>(Table2[[#This Row],[infection percentage, low end of estimate range]]+Table2[[#This Row],[infection percentage, high end of estimate range]])/2</f>
        <v>4.7389615867087335E-3</v>
      </c>
      <c r="P8" s="12">
        <f>$T$6/(Table2[[#This Row],[cases]]*5)</f>
        <v>272.99362318840582</v>
      </c>
      <c r="Q8" s="12">
        <f>$T$6/(Table2[[#This Row],[cases]]*7)</f>
        <v>194.99544513457556</v>
      </c>
      <c r="R8" s="3">
        <f>Table2[[#This Row],[1-in-X odds, estimating 5x cases infected]]-Table2[[#This Row],[1-in-X odds, estimating 7x cases infected]]</f>
        <v>77.998178053830259</v>
      </c>
      <c r="S8" s="3">
        <f>(Table2[[#This Row],[1-in-X odds, estimating 5x cases infected]]+Table2[[#This Row],[1-in-X odds, estimating 7x cases infected]])/2</f>
        <v>233.99453416149069</v>
      </c>
      <c r="T8" s="34" t="s">
        <v>33</v>
      </c>
      <c r="U8" s="34" t="s">
        <v>25</v>
      </c>
      <c r="V8" s="3"/>
    </row>
    <row r="9" spans="1:24" x14ac:dyDescent="0.2">
      <c r="A9" s="8">
        <v>43917</v>
      </c>
      <c r="B9" s="9">
        <v>464</v>
      </c>
      <c r="C9" s="71">
        <f>Table2[[#This Row],[cases]]/$B$2</f>
        <v>9.8531791367425896E-4</v>
      </c>
      <c r="D9" s="26">
        <f>(Table2[[#This Row],[cases]]-B8)/B8</f>
        <v>0.34492753623188405</v>
      </c>
      <c r="E9" s="38">
        <f t="shared" si="0"/>
        <v>2.3390256608477276</v>
      </c>
      <c r="F9" s="81">
        <f>Table2[[#This Row],[cases]]*100/$T$19</f>
        <v>3866.6666666666665</v>
      </c>
      <c r="G9" s="56">
        <f>Table2[[#This Row],[cases]]*100/$T$13</f>
        <v>1784.6153846153845</v>
      </c>
      <c r="H9" s="56">
        <f>Table2[[#This Row],[cases]]*100/$T$16</f>
        <v>4218.181818181818</v>
      </c>
      <c r="I9" s="56">
        <f>Table2[[#This Row],[infection count, high end of estimate range]]-Table2[[#This Row],[infection count, low end of estimate range]]</f>
        <v>2433.5664335664333</v>
      </c>
      <c r="J9" s="56">
        <f>(Table2[[#This Row],[infection count, low end of estimate range]]+Table2[[#This Row],[infection count, high end of estimate range]])/2</f>
        <v>3001.3986013986014</v>
      </c>
      <c r="K9" s="26">
        <f>Table2[[#This Row],[estimated infections]]/$T$6</f>
        <v>8.2109826139521586E-3</v>
      </c>
      <c r="L9" s="26">
        <f>Table2[[#This Row],[infection count, low end of estimate range]]/$T$6</f>
        <v>3.7896842833625346E-3</v>
      </c>
      <c r="M9" s="26">
        <f>Table2[[#This Row],[infection count, high end of estimate range]]/$T$6</f>
        <v>8.9574355788568996E-3</v>
      </c>
      <c r="N9" s="14">
        <f>Table2[[#This Row],[infection percentage, high end of estimate range]]-Table2[[#This Row],[infection percentage, low end of estimate range]]</f>
        <v>5.167751295494365E-3</v>
      </c>
      <c r="O9" s="26">
        <f>(Table2[[#This Row],[infection percentage, low end of estimate range]]+Table2[[#This Row],[infection percentage, high end of estimate range]])/2</f>
        <v>6.3735599311097171E-3</v>
      </c>
      <c r="P9" s="12">
        <f>$T$6/(Table2[[#This Row],[cases]]*5)</f>
        <v>202.9801724137931</v>
      </c>
      <c r="Q9" s="12">
        <f>$T$6/(Table2[[#This Row],[cases]]*7)</f>
        <v>144.98583743842366</v>
      </c>
      <c r="R9" s="3">
        <f>Table2[[#This Row],[1-in-X odds, estimating 5x cases infected]]-Table2[[#This Row],[1-in-X odds, estimating 7x cases infected]]</f>
        <v>57.994334975369441</v>
      </c>
      <c r="S9" s="3">
        <f>(Table2[[#This Row],[1-in-X odds, estimating 5x cases infected]]+Table2[[#This Row],[1-in-X odds, estimating 7x cases infected]])/2</f>
        <v>173.98300492610838</v>
      </c>
      <c r="T9" s="34" t="str">
        <f>B3</f>
        <v>evening</v>
      </c>
      <c r="U9" s="3">
        <f ca="1">OFFSET(compute!B4,COUNTA(compute!B4:B10035)-1,0)</f>
        <v>9151</v>
      </c>
      <c r="V9" s="3"/>
    </row>
    <row r="10" spans="1:24" x14ac:dyDescent="0.2">
      <c r="A10" s="8">
        <v>43918</v>
      </c>
      <c r="B10" s="9">
        <v>603</v>
      </c>
      <c r="C10" s="71">
        <f>Table2[[#This Row],[cases]]/$B$2</f>
        <v>1.2804885817792632E-3</v>
      </c>
      <c r="D10" s="26">
        <f>(Table2[[#This Row],[cases]]-B9)/B9</f>
        <v>0.29956896551724138</v>
      </c>
      <c r="E10" s="38">
        <f t="shared" si="0"/>
        <v>2.6452703321760542</v>
      </c>
      <c r="F10" s="81">
        <f>Table2[[#This Row],[cases]]*100/$T$19</f>
        <v>5025</v>
      </c>
      <c r="G10" s="56">
        <f>Table2[[#This Row],[cases]]*100/$T$13</f>
        <v>2319.2307692307691</v>
      </c>
      <c r="H10" s="56">
        <f>Table2[[#This Row],[cases]]*100/$T$16</f>
        <v>5481.818181818182</v>
      </c>
      <c r="I10" s="56">
        <f>Table2[[#This Row],[infection count, high end of estimate range]]-Table2[[#This Row],[infection count, low end of estimate range]]</f>
        <v>3162.5874125874129</v>
      </c>
      <c r="J10" s="56">
        <f>(Table2[[#This Row],[infection count, low end of estimate range]]+Table2[[#This Row],[infection count, high end of estimate range]])/2</f>
        <v>3900.5244755244757</v>
      </c>
      <c r="K10" s="26">
        <f>Table2[[#This Row],[estimated infections]]/$T$6</f>
        <v>1.0670738181493861E-2</v>
      </c>
      <c r="L10" s="26">
        <f>Table2[[#This Row],[infection count, low end of estimate range]]/$T$6</f>
        <v>4.9249560837663969E-3</v>
      </c>
      <c r="M10" s="26">
        <f>Table2[[#This Row],[infection count, high end of estimate range]]/$T$6</f>
        <v>1.1640805288902394E-2</v>
      </c>
      <c r="N10" s="14">
        <f>Table2[[#This Row],[infection percentage, high end of estimate range]]-Table2[[#This Row],[infection percentage, low end of estimate range]]</f>
        <v>6.715849205135997E-3</v>
      </c>
      <c r="O10" s="26">
        <f>(Table2[[#This Row],[infection percentage, low end of estimate range]]+Table2[[#This Row],[infection percentage, high end of estimate range]])/2</f>
        <v>8.282880686334395E-3</v>
      </c>
      <c r="P10" s="12">
        <f>$T$6/(Table2[[#This Row],[cases]]*5)</f>
        <v>156.19038142620232</v>
      </c>
      <c r="Q10" s="12">
        <f>$T$6/(Table2[[#This Row],[cases]]*7)</f>
        <v>111.56455816157309</v>
      </c>
      <c r="R10" s="3">
        <f>Table2[[#This Row],[1-in-X odds, estimating 5x cases infected]]-Table2[[#This Row],[1-in-X odds, estimating 7x cases infected]]</f>
        <v>44.625823264629233</v>
      </c>
      <c r="S10" s="3">
        <f>(Table2[[#This Row],[1-in-X odds, estimating 5x cases infected]]+Table2[[#This Row],[1-in-X odds, estimating 7x cases infected]])/2</f>
        <v>133.87746979388771</v>
      </c>
      <c r="V10" s="3"/>
    </row>
    <row r="11" spans="1:24" x14ac:dyDescent="0.2">
      <c r="A11" s="8">
        <v>43919</v>
      </c>
      <c r="B11" s="9">
        <v>812</v>
      </c>
      <c r="C11" s="71">
        <f>Table2[[#This Row],[cases]]/$B$2</f>
        <v>1.7243063489299532E-3</v>
      </c>
      <c r="D11" s="26">
        <f>(Table2[[#This Row],[cases]]-B10)/B10</f>
        <v>0.34660033167495852</v>
      </c>
      <c r="E11" s="38">
        <f t="shared" si="0"/>
        <v>2.329255523549266</v>
      </c>
      <c r="F11" s="81">
        <f>Table2[[#This Row],[cases]]*100/$T$19</f>
        <v>6766.666666666667</v>
      </c>
      <c r="G11" s="56">
        <f>Table2[[#This Row],[cases]]*100/$T$13</f>
        <v>3123.0769230769229</v>
      </c>
      <c r="H11" s="56">
        <f>Table2[[#This Row],[cases]]*100/$T$16</f>
        <v>7381.818181818182</v>
      </c>
      <c r="I11" s="56">
        <f>Table2[[#This Row],[infection count, high end of estimate range]]-Table2[[#This Row],[infection count, low end of estimate range]]</f>
        <v>4258.7412587412591</v>
      </c>
      <c r="J11" s="56">
        <f>(Table2[[#This Row],[infection count, low end of estimate range]]+Table2[[#This Row],[infection count, high end of estimate range]])/2</f>
        <v>5252.4475524475529</v>
      </c>
      <c r="K11" s="26">
        <f>Table2[[#This Row],[estimated infections]]/$T$6</f>
        <v>1.4369219574416277E-2</v>
      </c>
      <c r="L11" s="26">
        <f>Table2[[#This Row],[infection count, low end of estimate range]]/$T$6</f>
        <v>6.6319474958844351E-3</v>
      </c>
      <c r="M11" s="26">
        <f>Table2[[#This Row],[infection count, high end of estimate range]]/$T$6</f>
        <v>1.5675512262999576E-2</v>
      </c>
      <c r="N11" s="14">
        <f>Table2[[#This Row],[infection percentage, high end of estimate range]]-Table2[[#This Row],[infection percentage, low end of estimate range]]</f>
        <v>9.043564767115141E-3</v>
      </c>
      <c r="O11" s="26">
        <f>(Table2[[#This Row],[infection percentage, low end of estimate range]]+Table2[[#This Row],[infection percentage, high end of estimate range]])/2</f>
        <v>1.1153729879442006E-2</v>
      </c>
      <c r="P11" s="12">
        <f>$T$6/(Table2[[#This Row],[cases]]*5)</f>
        <v>115.98866995073891</v>
      </c>
      <c r="Q11" s="12">
        <f>$T$6/(Table2[[#This Row],[cases]]*7)</f>
        <v>82.849049964813517</v>
      </c>
      <c r="R11" s="3">
        <f>Table2[[#This Row],[1-in-X odds, estimating 5x cases infected]]-Table2[[#This Row],[1-in-X odds, estimating 7x cases infected]]</f>
        <v>33.139619985925393</v>
      </c>
      <c r="S11" s="3">
        <f>(Table2[[#This Row],[1-in-X odds, estimating 5x cases infected]]+Table2[[#This Row],[1-in-X odds, estimating 7x cases infected]])/2</f>
        <v>99.41885995777622</v>
      </c>
      <c r="T11" s="3" t="s">
        <v>36</v>
      </c>
      <c r="U11" s="34" t="s">
        <v>27</v>
      </c>
      <c r="V11" s="3"/>
    </row>
    <row r="12" spans="1:24" x14ac:dyDescent="0.2">
      <c r="A12" s="8">
        <v>43920</v>
      </c>
      <c r="B12" s="9">
        <v>931</v>
      </c>
      <c r="C12" s="71">
        <f>Table2[[#This Row],[cases]]/$B$2</f>
        <v>1.9770064173076189E-3</v>
      </c>
      <c r="D12" s="26">
        <f>(Table2[[#This Row],[cases]]-B11)/B11</f>
        <v>0.14655172413793102</v>
      </c>
      <c r="E12" s="38">
        <f t="shared" si="0"/>
        <v>5.0683867188519347</v>
      </c>
      <c r="F12" s="81">
        <f>Table2[[#This Row],[cases]]*100/$T$19</f>
        <v>7758.333333333333</v>
      </c>
      <c r="G12" s="56">
        <f>Table2[[#This Row],[cases]]*100/$T$13</f>
        <v>3580.7692307692309</v>
      </c>
      <c r="H12" s="56">
        <f>Table2[[#This Row],[cases]]*100/$T$16</f>
        <v>8463.636363636364</v>
      </c>
      <c r="I12" s="56">
        <f>Table2[[#This Row],[infection count, high end of estimate range]]-Table2[[#This Row],[infection count, low end of estimate range]]</f>
        <v>4882.8671328671335</v>
      </c>
      <c r="J12" s="56">
        <f>(Table2[[#This Row],[infection count, low end of estimate range]]+Table2[[#This Row],[infection count, high end of estimate range]])/2</f>
        <v>6022.2027972027972</v>
      </c>
      <c r="K12" s="26">
        <f>Table2[[#This Row],[estimated infections]]/$T$6</f>
        <v>1.6475053477563489E-2</v>
      </c>
      <c r="L12" s="26">
        <f>Table2[[#This Row],[infection count, low end of estimate range]]/$T$6</f>
        <v>7.6038708357985341E-3</v>
      </c>
      <c r="M12" s="26">
        <f>Table2[[#This Row],[infection count, high end of estimate range]]/$T$6</f>
        <v>1.7972785611887445E-2</v>
      </c>
      <c r="N12" s="14">
        <f>Table2[[#This Row],[infection percentage, high end of estimate range]]-Table2[[#This Row],[infection percentage, low end of estimate range]]</f>
        <v>1.0368914776088912E-2</v>
      </c>
      <c r="O12" s="26">
        <f>(Table2[[#This Row],[infection percentage, low end of estimate range]]+Table2[[#This Row],[infection percentage, high end of estimate range]])/2</f>
        <v>1.2788328223842989E-2</v>
      </c>
      <c r="P12" s="12">
        <f>$T$6/(Table2[[#This Row],[cases]]*5)</f>
        <v>101.16305048335124</v>
      </c>
      <c r="Q12" s="12">
        <f>$T$6/(Table2[[#This Row],[cases]]*7)</f>
        <v>72.259321773822307</v>
      </c>
      <c r="R12" s="3">
        <f>Table2[[#This Row],[1-in-X odds, estimating 5x cases infected]]-Table2[[#This Row],[1-in-X odds, estimating 7x cases infected]]</f>
        <v>28.903728709528934</v>
      </c>
      <c r="S12" s="3">
        <f>(Table2[[#This Row],[1-in-X odds, estimating 5x cases infected]]+Table2[[#This Row],[1-in-X odds, estimating 7x cases infected]])/2</f>
        <v>86.711186128586775</v>
      </c>
      <c r="T12" s="34" t="s">
        <v>37</v>
      </c>
      <c r="U12" s="35">
        <f ca="1">OFFSET(compute!F4,COUNTA(compute!F:F)-1,0)</f>
        <v>76258.333333333328</v>
      </c>
      <c r="V12" s="3"/>
    </row>
    <row r="13" spans="1:24" x14ac:dyDescent="0.2">
      <c r="A13" s="8">
        <v>43921</v>
      </c>
      <c r="B13" s="56">
        <v>1179</v>
      </c>
      <c r="C13" s="71">
        <f>Table2[[#This Row],[cases]]/$B$2</f>
        <v>2.5036418539266191E-3</v>
      </c>
      <c r="D13" s="26">
        <f>(Table2[[#This Row],[cases]]-B12)/B12</f>
        <v>0.26638023630504831</v>
      </c>
      <c r="E13" s="38">
        <f t="shared" si="0"/>
        <v>2.9350418410450274</v>
      </c>
      <c r="F13" s="81">
        <f>Table2[[#This Row],[cases]]*100/$T$19</f>
        <v>9825</v>
      </c>
      <c r="G13" s="56">
        <f>Table2[[#This Row],[cases]]*100/$T$13</f>
        <v>4534.6153846153848</v>
      </c>
      <c r="H13" s="56">
        <f>Table2[[#This Row],[cases]]*100/$T$16</f>
        <v>10718.181818181818</v>
      </c>
      <c r="I13" s="56">
        <f>Table2[[#This Row],[infection count, high end of estimate range]]-Table2[[#This Row],[infection count, low end of estimate range]]</f>
        <v>6183.5664335664333</v>
      </c>
      <c r="J13" s="56">
        <f>(Table2[[#This Row],[infection count, low end of estimate range]]+Table2[[#This Row],[infection count, high end of estimate range]])/2</f>
        <v>7626.3986013986014</v>
      </c>
      <c r="K13" s="26">
        <f>Table2[[#This Row],[estimated infections]]/$T$6</f>
        <v>2.086368211605516E-2</v>
      </c>
      <c r="L13" s="26">
        <f>Table2[[#This Row],[infection count, low end of estimate range]]/$T$6</f>
        <v>9.6293917458716138E-3</v>
      </c>
      <c r="M13" s="26">
        <f>Table2[[#This Row],[infection count, high end of estimate range]]/$T$6</f>
        <v>2.2760380490241993E-2</v>
      </c>
      <c r="N13" s="14">
        <f>Table2[[#This Row],[infection percentage, high end of estimate range]]-Table2[[#This Row],[infection percentage, low end of estimate range]]</f>
        <v>1.3130988744370379E-2</v>
      </c>
      <c r="O13" s="26">
        <f>(Table2[[#This Row],[infection percentage, low end of estimate range]]+Table2[[#This Row],[infection percentage, high end of estimate range]])/2</f>
        <v>1.6194886118056803E-2</v>
      </c>
      <c r="P13" s="12">
        <f>$T$6/(Table2[[#This Row],[cases]]*5)</f>
        <v>79.883630195080571</v>
      </c>
      <c r="Q13" s="12">
        <f>$T$6/(Table2[[#This Row],[cases]]*7)</f>
        <v>57.059735853628986</v>
      </c>
      <c r="R13" s="3">
        <f>Table2[[#This Row],[1-in-X odds, estimating 5x cases infected]]-Table2[[#This Row],[1-in-X odds, estimating 7x cases infected]]</f>
        <v>22.823894341451584</v>
      </c>
      <c r="S13" s="3">
        <f>(Table2[[#This Row],[1-in-X odds, estimating 5x cases infected]]+Table2[[#This Row],[1-in-X odds, estimating 7x cases infected]])/2</f>
        <v>68.471683024354775</v>
      </c>
      <c r="T13" s="3">
        <v>26</v>
      </c>
      <c r="V13" s="3"/>
    </row>
    <row r="14" spans="1:24" x14ac:dyDescent="0.2">
      <c r="A14" s="8">
        <v>43922</v>
      </c>
      <c r="B14" s="56">
        <v>1371</v>
      </c>
      <c r="C14" s="71">
        <f>Table2[[#This Row],[cases]]/$B$2</f>
        <v>2.9113596113090712E-3</v>
      </c>
      <c r="D14" s="26">
        <f>(Table2[[#This Row],[cases]]-B13)/B13</f>
        <v>0.16284987277353691</v>
      </c>
      <c r="E14" s="38">
        <f t="shared" si="0"/>
        <v>4.594218989141579</v>
      </c>
      <c r="F14" s="81">
        <f>Table2[[#This Row],[cases]]*100/$T$19</f>
        <v>11425</v>
      </c>
      <c r="G14" s="56">
        <f>Table2[[#This Row],[cases]]*100/$T$13</f>
        <v>5273.0769230769229</v>
      </c>
      <c r="H14" s="56">
        <f>Table2[[#This Row],[cases]]*100/$T$16</f>
        <v>12463.636363636364</v>
      </c>
      <c r="I14" s="56">
        <f>Table2[[#This Row],[infection count, high end of estimate range]]-Table2[[#This Row],[infection count, low end of estimate range]]</f>
        <v>7190.5594405594411</v>
      </c>
      <c r="J14" s="56">
        <f>(Table2[[#This Row],[infection count, low end of estimate range]]+Table2[[#This Row],[infection count, high end of estimate range]])/2</f>
        <v>8868.356643356643</v>
      </c>
      <c r="K14" s="26">
        <f>Table2[[#This Row],[estimated infections]]/$T$6</f>
        <v>2.4261330094242261E-2</v>
      </c>
      <c r="L14" s="26">
        <f>Table2[[#This Row],[infection count, low end of estimate range]]/$T$6</f>
        <v>1.119753696657335E-2</v>
      </c>
      <c r="M14" s="26">
        <f>Table2[[#This Row],[infection count, high end of estimate range]]/$T$6</f>
        <v>2.6466905557355196E-2</v>
      </c>
      <c r="N14" s="14">
        <f>Table2[[#This Row],[infection percentage, high end of estimate range]]-Table2[[#This Row],[infection percentage, low end of estimate range]]</f>
        <v>1.5269368590781845E-2</v>
      </c>
      <c r="O14" s="26">
        <f>(Table2[[#This Row],[infection percentage, low end of estimate range]]+Table2[[#This Row],[infection percentage, high end of estimate range]])/2</f>
        <v>1.8832221261964273E-2</v>
      </c>
      <c r="P14" s="12">
        <f>$T$6/(Table2[[#This Row],[cases]]*5)</f>
        <v>68.696425966447848</v>
      </c>
      <c r="Q14" s="12">
        <f>$T$6/(Table2[[#This Row],[cases]]*7)</f>
        <v>49.068875690319892</v>
      </c>
      <c r="R14" s="3">
        <f>Table2[[#This Row],[1-in-X odds, estimating 5x cases infected]]-Table2[[#This Row],[1-in-X odds, estimating 7x cases infected]]</f>
        <v>19.627550276127955</v>
      </c>
      <c r="S14" s="3">
        <f>(Table2[[#This Row],[1-in-X odds, estimating 5x cases infected]]+Table2[[#This Row],[1-in-X odds, estimating 7x cases infected]])/2</f>
        <v>58.882650828383873</v>
      </c>
      <c r="U14" s="34" t="s">
        <v>28</v>
      </c>
      <c r="V14" s="3"/>
    </row>
    <row r="15" spans="1:24" x14ac:dyDescent="0.2">
      <c r="A15" s="8">
        <v>43923</v>
      </c>
      <c r="B15" s="56">
        <v>1677</v>
      </c>
      <c r="C15" s="71">
        <f>Table2[[#This Row],[cases]]/$B$2</f>
        <v>3.5611597871373544E-3</v>
      </c>
      <c r="D15" s="26">
        <f>(Table2[[#This Row],[cases]]-B14)/B14</f>
        <v>0.22319474835886213</v>
      </c>
      <c r="E15" s="38">
        <f t="shared" si="0"/>
        <v>3.4405155090192001</v>
      </c>
      <c r="F15" s="81">
        <f>Table2[[#This Row],[cases]]*100/$T$19</f>
        <v>13975</v>
      </c>
      <c r="G15" s="56">
        <f>Table2[[#This Row],[cases]]*100/$T$13</f>
        <v>6450</v>
      </c>
      <c r="H15" s="56">
        <f>Table2[[#This Row],[cases]]*100/$T$16</f>
        <v>15245.454545454546</v>
      </c>
      <c r="I15" s="56">
        <f>Table2[[#This Row],[infection count, high end of estimate range]]-Table2[[#This Row],[infection count, low end of estimate range]]</f>
        <v>8795.454545454546</v>
      </c>
      <c r="J15" s="56">
        <f>(Table2[[#This Row],[infection count, low end of estimate range]]+Table2[[#This Row],[infection count, high end of estimate range]])/2</f>
        <v>10847.727272727272</v>
      </c>
      <c r="K15" s="26">
        <f>Table2[[#This Row],[estimated infections]]/$T$6</f>
        <v>2.967633155947795E-2</v>
      </c>
      <c r="L15" s="26">
        <f>Table2[[#This Row],[infection count, low end of estimate range]]/$T$6</f>
        <v>1.3696768412066747E-2</v>
      </c>
      <c r="M15" s="26">
        <f>Table2[[#This Row],[infection count, high end of estimate range]]/$T$6</f>
        <v>3.2374179883066859E-2</v>
      </c>
      <c r="N15" s="14">
        <f>Table2[[#This Row],[infection percentage, high end of estimate range]]-Table2[[#This Row],[infection percentage, low end of estimate range]]</f>
        <v>1.8677411471000112E-2</v>
      </c>
      <c r="O15" s="26">
        <f>(Table2[[#This Row],[infection percentage, low end of estimate range]]+Table2[[#This Row],[infection percentage, high end of estimate range]])/2</f>
        <v>2.3035474147566803E-2</v>
      </c>
      <c r="P15" s="12">
        <f>$T$6/(Table2[[#This Row],[cases]]*5)</f>
        <v>56.161478831246271</v>
      </c>
      <c r="Q15" s="12">
        <f>$T$6/(Table2[[#This Row],[cases]]*7)</f>
        <v>40.115342022318764</v>
      </c>
      <c r="R15" s="3">
        <f>Table2[[#This Row],[1-in-X odds, estimating 5x cases infected]]-Table2[[#This Row],[1-in-X odds, estimating 7x cases infected]]</f>
        <v>16.046136808927507</v>
      </c>
      <c r="S15" s="3">
        <f>(Table2[[#This Row],[1-in-X odds, estimating 5x cases infected]]+Table2[[#This Row],[1-in-X odds, estimating 7x cases infected]])/2</f>
        <v>48.138410426782514</v>
      </c>
      <c r="T15" s="34" t="s">
        <v>38</v>
      </c>
      <c r="U15" s="27">
        <f ca="1">OFFSET(compute!K4,COUNTA(compute!K:K)-1,0)</f>
        <v>0.16193685754369869</v>
      </c>
      <c r="V15" s="3"/>
    </row>
    <row r="16" spans="1:24" x14ac:dyDescent="0.2">
      <c r="A16" s="8">
        <v>43924</v>
      </c>
      <c r="B16" s="56">
        <v>1959</v>
      </c>
      <c r="C16" s="71">
        <f>Table2[[#This Row],[cases]]/$B$2</f>
        <v>4.1599952432928309E-3</v>
      </c>
      <c r="D16" s="26">
        <f>(Table2[[#This Row],[cases]]-B15)/B15</f>
        <v>0.16815742397137745</v>
      </c>
      <c r="E16" s="38">
        <f t="shared" si="0"/>
        <v>4.4596129019590443</v>
      </c>
      <c r="F16" s="81">
        <f>Table2[[#This Row],[cases]]*100/$T$19</f>
        <v>16325</v>
      </c>
      <c r="G16" s="56">
        <f>Table2[[#This Row],[cases]]*100/$T$13</f>
        <v>7534.6153846153848</v>
      </c>
      <c r="H16" s="56">
        <f>Table2[[#This Row],[cases]]*100/$T$16</f>
        <v>17809.090909090908</v>
      </c>
      <c r="I16" s="56">
        <f>Table2[[#This Row],[infection count, high end of estimate range]]-Table2[[#This Row],[infection count, low end of estimate range]]</f>
        <v>10274.475524475523</v>
      </c>
      <c r="J16" s="56">
        <f>(Table2[[#This Row],[infection count, low end of estimate range]]+Table2[[#This Row],[infection count, high end of estimate range]])/2</f>
        <v>12671.853146853147</v>
      </c>
      <c r="K16" s="26">
        <f>Table2[[#This Row],[estimated infections]]/$T$6</f>
        <v>3.4666627027440257E-2</v>
      </c>
      <c r="L16" s="26">
        <f>Table2[[#This Row],[infection count, low end of estimate range]]/$T$6</f>
        <v>1.5999981704972424E-2</v>
      </c>
      <c r="M16" s="26">
        <f>Table2[[#This Row],[infection count, high end of estimate range]]/$T$6</f>
        <v>3.7818138575389369E-2</v>
      </c>
      <c r="N16" s="14">
        <f>Table2[[#This Row],[infection percentage, high end of estimate range]]-Table2[[#This Row],[infection percentage, low end of estimate range]]</f>
        <v>2.1818156870416945E-2</v>
      </c>
      <c r="O16" s="26">
        <f>(Table2[[#This Row],[infection percentage, low end of estimate range]]+Table2[[#This Row],[infection percentage, high end of estimate range]])/2</f>
        <v>2.6909060140180897E-2</v>
      </c>
      <c r="P16" s="12">
        <f>$T$6/(Table2[[#This Row],[cases]]*5)</f>
        <v>48.076978050025524</v>
      </c>
      <c r="Q16" s="12">
        <f>$T$6/(Table2[[#This Row],[cases]]*7)</f>
        <v>34.340698607161087</v>
      </c>
      <c r="R16" s="3">
        <f>Table2[[#This Row],[1-in-X odds, estimating 5x cases infected]]-Table2[[#This Row],[1-in-X odds, estimating 7x cases infected]]</f>
        <v>13.736279442864436</v>
      </c>
      <c r="S16" s="3">
        <f>(Table2[[#This Row],[1-in-X odds, estimating 5x cases infected]]+Table2[[#This Row],[1-in-X odds, estimating 7x cases infected]])/2</f>
        <v>41.208838328593302</v>
      </c>
      <c r="T16" s="3">
        <v>11</v>
      </c>
      <c r="V16" s="3"/>
    </row>
    <row r="17" spans="1:22" x14ac:dyDescent="0.2">
      <c r="A17" s="8">
        <v>43925</v>
      </c>
      <c r="B17" s="56">
        <v>2291</v>
      </c>
      <c r="C17" s="71">
        <f>Table2[[#This Row],[cases]]/$B$2</f>
        <v>4.8650071987666535E-3</v>
      </c>
      <c r="D17" s="26">
        <f>(Table2[[#This Row],[cases]]-B16)/B16</f>
        <v>0.16947422154160285</v>
      </c>
      <c r="E17" s="38">
        <f t="shared" si="0"/>
        <v>4.4275202769727011</v>
      </c>
      <c r="F17" s="81">
        <f>Table2[[#This Row],[cases]]*100/$T$19</f>
        <v>19091.666666666668</v>
      </c>
      <c r="G17" s="56">
        <f>Table2[[#This Row],[cases]]*100/$T$13</f>
        <v>8811.538461538461</v>
      </c>
      <c r="H17" s="56">
        <f>Table2[[#This Row],[cases]]*100/$T$16</f>
        <v>20827.272727272728</v>
      </c>
      <c r="I17" s="56">
        <f>Table2[[#This Row],[infection count, high end of estimate range]]-Table2[[#This Row],[infection count, low end of estimate range]]</f>
        <v>12015.734265734267</v>
      </c>
      <c r="J17" s="56">
        <f>(Table2[[#This Row],[infection count, low end of estimate range]]+Table2[[#This Row],[infection count, high end of estimate range]])/2</f>
        <v>14819.405594405594</v>
      </c>
      <c r="K17" s="26">
        <f>Table2[[#This Row],[estimated infections]]/$T$6</f>
        <v>4.0541726656388784E-2</v>
      </c>
      <c r="L17" s="26">
        <f>Table2[[#This Row],[infection count, low end of estimate range]]/$T$6</f>
        <v>1.8711566149102514E-2</v>
      </c>
      <c r="M17" s="26">
        <f>Table2[[#This Row],[infection count, high end of estimate range]]/$T$6</f>
        <v>4.4227338170605944E-2</v>
      </c>
      <c r="N17" s="14">
        <f>Table2[[#This Row],[infection percentage, high end of estimate range]]-Table2[[#This Row],[infection percentage, low end of estimate range]]</f>
        <v>2.551577202150343E-2</v>
      </c>
      <c r="O17" s="26">
        <f>(Table2[[#This Row],[infection percentage, low end of estimate range]]+Table2[[#This Row],[infection percentage, high end of estimate range]])/2</f>
        <v>3.1469452159854229E-2</v>
      </c>
      <c r="P17" s="12">
        <f>$T$6/(Table2[[#This Row],[cases]]*5)</f>
        <v>41.109908336970754</v>
      </c>
      <c r="Q17" s="12">
        <f>$T$6/(Table2[[#This Row],[cases]]*7)</f>
        <v>29.364220240693395</v>
      </c>
      <c r="R17" s="3">
        <f>Table2[[#This Row],[1-in-X odds, estimating 5x cases infected]]-Table2[[#This Row],[1-in-X odds, estimating 7x cases infected]]</f>
        <v>11.745688096277359</v>
      </c>
      <c r="S17" s="3">
        <f>(Table2[[#This Row],[1-in-X odds, estimating 5x cases infected]]+Table2[[#This Row],[1-in-X odds, estimating 7x cases infected]])/2</f>
        <v>35.237064288832073</v>
      </c>
      <c r="U17" s="34" t="s">
        <v>29</v>
      </c>
      <c r="V17" s="3"/>
    </row>
    <row r="18" spans="1:22" x14ac:dyDescent="0.2">
      <c r="A18" s="8">
        <v>43926</v>
      </c>
      <c r="B18" s="56">
        <v>2461</v>
      </c>
      <c r="C18" s="71">
        <f>Table2[[#This Row],[cases]]/$B$2</f>
        <v>5.2260072964490333E-3</v>
      </c>
      <c r="D18" s="26">
        <f>(Table2[[#This Row],[cases]]-B17)/B17</f>
        <v>7.4203404626800529E-2</v>
      </c>
      <c r="E18" s="38">
        <f t="shared" si="0"/>
        <v>9.6836169490150699</v>
      </c>
      <c r="F18" s="81">
        <f>Table2[[#This Row],[cases]]*100/$T$19</f>
        <v>20508.333333333332</v>
      </c>
      <c r="G18" s="56">
        <f>Table2[[#This Row],[cases]]*100/$T$13</f>
        <v>9465.3846153846152</v>
      </c>
      <c r="H18" s="56">
        <f>Table2[[#This Row],[cases]]*100/$T$16</f>
        <v>22372.727272727272</v>
      </c>
      <c r="I18" s="56">
        <f>Table2[[#This Row],[infection count, high end of estimate range]]-Table2[[#This Row],[infection count, low end of estimate range]]</f>
        <v>12907.342657342657</v>
      </c>
      <c r="J18" s="56">
        <f>(Table2[[#This Row],[infection count, low end of estimate range]]+Table2[[#This Row],[infection count, high end of estimate range]])/2</f>
        <v>15919.055944055945</v>
      </c>
      <c r="K18" s="26">
        <f>Table2[[#This Row],[estimated infections]]/$T$6</f>
        <v>4.3550060803741943E-2</v>
      </c>
      <c r="L18" s="26">
        <f>Table2[[#This Row],[infection count, low end of estimate range]]/$T$6</f>
        <v>2.0100028063265513E-2</v>
      </c>
      <c r="M18" s="26">
        <f>Table2[[#This Row],[infection count, high end of estimate range]]/$T$6</f>
        <v>4.7509157240445757E-2</v>
      </c>
      <c r="N18" s="14">
        <f>Table2[[#This Row],[infection percentage, high end of estimate range]]-Table2[[#This Row],[infection percentage, low end of estimate range]]</f>
        <v>2.7409129177180244E-2</v>
      </c>
      <c r="O18" s="26">
        <f>(Table2[[#This Row],[infection percentage, low end of estimate range]]+Table2[[#This Row],[infection percentage, high end of estimate range]])/2</f>
        <v>3.3804592651855633E-2</v>
      </c>
      <c r="P18" s="12">
        <f>$T$6/(Table2[[#This Row],[cases]]*5)</f>
        <v>38.270134091832588</v>
      </c>
      <c r="Q18" s="12">
        <f>$T$6/(Table2[[#This Row],[cases]]*7)</f>
        <v>27.335810065594707</v>
      </c>
      <c r="R18" s="3">
        <f>Table2[[#This Row],[1-in-X odds, estimating 5x cases infected]]-Table2[[#This Row],[1-in-X odds, estimating 7x cases infected]]</f>
        <v>10.934324026237881</v>
      </c>
      <c r="S18" s="3">
        <f>(Table2[[#This Row],[1-in-X odds, estimating 5x cases infected]]+Table2[[#This Row],[1-in-X odds, estimating 7x cases infected]])/2</f>
        <v>32.802972078713651</v>
      </c>
      <c r="T18" s="34" t="s">
        <v>59</v>
      </c>
      <c r="U18" s="3">
        <f ca="1">OFFSET(compute!S4,COUNTA(compute!S:S)-1,0)</f>
        <v>8.8217806016516533</v>
      </c>
      <c r="V18" s="3"/>
    </row>
    <row r="19" spans="1:22" x14ac:dyDescent="0.2">
      <c r="A19" s="8">
        <v>43927</v>
      </c>
      <c r="B19" s="56">
        <v>2802</v>
      </c>
      <c r="C19" s="71">
        <f>Table2[[#This Row],[cases]]/$B$2</f>
        <v>5.9501310218001589E-3</v>
      </c>
      <c r="D19" s="26">
        <f>(Table2[[#This Row],[cases]]-B18)/B18</f>
        <v>0.13856156034132466</v>
      </c>
      <c r="E19" s="38">
        <f t="shared" si="0"/>
        <v>5.3415294338518668</v>
      </c>
      <c r="F19" s="81">
        <f>Table2[[#This Row],[cases]]*100/$T$19</f>
        <v>23350</v>
      </c>
      <c r="G19" s="35">
        <f>Table2[[#This Row],[cases]]*100/$T$13</f>
        <v>10776.923076923076</v>
      </c>
      <c r="H19" s="35">
        <f>Table2[[#This Row],[cases]]*100/$T$16</f>
        <v>25472.727272727272</v>
      </c>
      <c r="I19" s="35">
        <f>Table2[[#This Row],[infection count, high end of estimate range]]-Table2[[#This Row],[infection count, low end of estimate range]]</f>
        <v>14695.804195804196</v>
      </c>
      <c r="J19" s="35">
        <f>(Table2[[#This Row],[infection count, low end of estimate range]]+Table2[[#This Row],[infection count, high end of estimate range]])/2</f>
        <v>18124.825174825175</v>
      </c>
      <c r="K19" s="26">
        <f>Table2[[#This Row],[estimated infections]]/$T$6</f>
        <v>4.9584425181667988E-2</v>
      </c>
      <c r="L19" s="27">
        <f>Table2[[#This Row],[infection count, low end of estimate range]]/$T$6</f>
        <v>2.2885119314615995E-2</v>
      </c>
      <c r="M19" s="26">
        <f>Table2[[#This Row],[infection count, high end of estimate range]]/$T$6</f>
        <v>5.4092100198183259E-2</v>
      </c>
      <c r="N19" s="15">
        <f>Table2[[#This Row],[infection percentage, high end of estimate range]]-Table2[[#This Row],[infection percentage, low end of estimate range]]</f>
        <v>3.1206980883567263E-2</v>
      </c>
      <c r="O19" s="27">
        <f>(Table2[[#This Row],[infection percentage, low end of estimate range]]+Table2[[#This Row],[infection percentage, high end of estimate range]])/2</f>
        <v>3.848860975639963E-2</v>
      </c>
      <c r="P19" s="3">
        <f>$T$6/(Table2[[#This Row],[cases]]*5)</f>
        <v>33.612705210563881</v>
      </c>
      <c r="Q19" s="3">
        <f>$T$6/(Table2[[#This Row],[cases]]*7)</f>
        <v>24.009075150402772</v>
      </c>
      <c r="R19" s="3">
        <f>Table2[[#This Row],[1-in-X odds, estimating 5x cases infected]]-Table2[[#This Row],[1-in-X odds, estimating 7x cases infected]]</f>
        <v>9.6036300601611089</v>
      </c>
      <c r="S19" s="3">
        <f>(Table2[[#This Row],[1-in-X odds, estimating 5x cases infected]]+Table2[[#This Row],[1-in-X odds, estimating 7x cases infected]])/2</f>
        <v>28.810890180483327</v>
      </c>
      <c r="T19" s="3">
        <v>12</v>
      </c>
      <c r="V19" s="32" t="s">
        <v>23</v>
      </c>
    </row>
    <row r="20" spans="1:22" x14ac:dyDescent="0.2">
      <c r="A20" s="8">
        <v>43928</v>
      </c>
      <c r="B20" s="56">
        <v>3100</v>
      </c>
      <c r="C20" s="71">
        <f>Table2[[#This Row],[cases]]/$B$2</f>
        <v>6.5829429577375061E-3</v>
      </c>
      <c r="D20" s="26">
        <f>(Table2[[#This Row],[cases]]-B19)/B19</f>
        <v>0.10635260528194147</v>
      </c>
      <c r="E20" s="38">
        <f t="shared" si="0"/>
        <v>6.8581809240681908</v>
      </c>
      <c r="F20" s="81">
        <f>Table2[[#This Row],[cases]]*100/$T$19</f>
        <v>25833.333333333332</v>
      </c>
      <c r="G20" s="35">
        <f>Table2[[#This Row],[cases]]*100/$T$13</f>
        <v>11923.076923076924</v>
      </c>
      <c r="H20" s="35">
        <f>Table2[[#This Row],[cases]]*100/$T$16</f>
        <v>28181.81818181818</v>
      </c>
      <c r="I20" s="35">
        <f>Table2[[#This Row],[infection count, high end of estimate range]]-Table2[[#This Row],[infection count, low end of estimate range]]</f>
        <v>16258.741258741256</v>
      </c>
      <c r="J20" s="35">
        <f>(Table2[[#This Row],[infection count, low end of estimate range]]+Table2[[#This Row],[infection count, high end of estimate range]])/2</f>
        <v>20052.447552447553</v>
      </c>
      <c r="K20" s="26">
        <f>Table2[[#This Row],[estimated infections]]/$T$6</f>
        <v>5.4857857981145883E-2</v>
      </c>
      <c r="L20" s="27">
        <f>Table2[[#This Row],[infection count, low end of estimate range]]/$T$6</f>
        <v>2.5319011375913487E-2</v>
      </c>
      <c r="M20" s="26">
        <f>Table2[[#This Row],[infection count, high end of estimate range]]/$T$6</f>
        <v>5.9844935979431871E-2</v>
      </c>
      <c r="N20" s="15">
        <f>Table2[[#This Row],[infection percentage, high end of estimate range]]-Table2[[#This Row],[infection percentage, low end of estimate range]]</f>
        <v>3.4525924603518388E-2</v>
      </c>
      <c r="O20" s="27">
        <f>(Table2[[#This Row],[infection percentage, low end of estimate range]]+Table2[[#This Row],[infection percentage, high end of estimate range]])/2</f>
        <v>4.2581973677672677E-2</v>
      </c>
      <c r="P20" s="3">
        <f>$T$6/(Table2[[#This Row],[cases]]*5)</f>
        <v>30.381548387096775</v>
      </c>
      <c r="Q20" s="3">
        <f>$T$6/(Table2[[#This Row],[cases]]*7)</f>
        <v>21.701105990783411</v>
      </c>
      <c r="R20" s="3">
        <f>Table2[[#This Row],[1-in-X odds, estimating 5x cases infected]]-Table2[[#This Row],[1-in-X odds, estimating 7x cases infected]]</f>
        <v>8.6804423963133637</v>
      </c>
      <c r="S20" s="3">
        <f>(Table2[[#This Row],[1-in-X odds, estimating 5x cases infected]]+Table2[[#This Row],[1-in-X odds, estimating 7x cases infected]])/2</f>
        <v>26.041327188940095</v>
      </c>
      <c r="U20" s="34" t="s">
        <v>30</v>
      </c>
      <c r="V20" s="66" t="s">
        <v>22</v>
      </c>
    </row>
    <row r="21" spans="1:22" x14ac:dyDescent="0.2">
      <c r="A21" s="8">
        <v>43929</v>
      </c>
      <c r="B21" s="56">
        <v>3317</v>
      </c>
      <c r="C21" s="71">
        <f>Table2[[#This Row],[cases]]/$B$2</f>
        <v>7.0437489647791314E-3</v>
      </c>
      <c r="D21" s="26">
        <f>(Table2[[#This Row],[cases]]-B20)/B20</f>
        <v>7.0000000000000007E-2</v>
      </c>
      <c r="E21" s="38">
        <f t="shared" si="0"/>
        <v>10.244768351058712</v>
      </c>
      <c r="F21" s="81">
        <f>Table2[[#This Row],[cases]]*100/$T$19</f>
        <v>27641.666666666668</v>
      </c>
      <c r="G21" s="35">
        <f>Table2[[#This Row],[cases]]*100/$T$13</f>
        <v>12757.692307692309</v>
      </c>
      <c r="H21" s="35">
        <f>Table2[[#This Row],[cases]]*100/$T$16</f>
        <v>30154.545454545456</v>
      </c>
      <c r="I21" s="35">
        <f>Table2[[#This Row],[infection count, high end of estimate range]]-Table2[[#This Row],[infection count, low end of estimate range]]</f>
        <v>17396.853146853147</v>
      </c>
      <c r="J21" s="35">
        <f>(Table2[[#This Row],[infection count, low end of estimate range]]+Table2[[#This Row],[infection count, high end of estimate range]])/2</f>
        <v>21456.118881118884</v>
      </c>
      <c r="K21" s="26">
        <f>Table2[[#This Row],[estimated infections]]/$T$6</f>
        <v>5.8697908039826101E-2</v>
      </c>
      <c r="L21" s="27">
        <f>Table2[[#This Row],[infection count, low end of estimate range]]/$T$6</f>
        <v>2.7091342172227431E-2</v>
      </c>
      <c r="M21" s="27">
        <f>Table2[[#This Row],[infection count, high end of estimate range]]/$T$6</f>
        <v>6.4034081497992112E-2</v>
      </c>
      <c r="N21" s="15">
        <f>Table2[[#This Row],[infection percentage, high end of estimate range]]-Table2[[#This Row],[infection percentage, low end of estimate range]]</f>
        <v>3.6942739325764681E-2</v>
      </c>
      <c r="O21" s="27">
        <f>(Table2[[#This Row],[infection percentage, low end of estimate range]]+Table2[[#This Row],[infection percentage, high end of estimate range]])/2</f>
        <v>4.5562711835109772E-2</v>
      </c>
      <c r="P21" s="3">
        <f>$T$6/(Table2[[#This Row],[cases]]*5)</f>
        <v>28.39397045523063</v>
      </c>
      <c r="Q21" s="3">
        <f>$T$6/(Table2[[#This Row],[cases]]*7)</f>
        <v>20.281407468021879</v>
      </c>
      <c r="R21" s="3">
        <f>Table2[[#This Row],[1-in-X odds, estimating 5x cases infected]]-Table2[[#This Row],[1-in-X odds, estimating 7x cases infected]]</f>
        <v>8.1125629872087508</v>
      </c>
      <c r="S21" s="3">
        <f>(Table2[[#This Row],[1-in-X odds, estimating 5x cases infected]]+Table2[[#This Row],[1-in-X odds, estimating 7x cases infected]])/2</f>
        <v>24.337688961626256</v>
      </c>
      <c r="U21" s="3">
        <f ca="1">OFFSET(compute!E4,COUNTA(compute!E:E)-1,0)</f>
        <v>78.94029233636499</v>
      </c>
      <c r="V21" s="31"/>
    </row>
    <row r="22" spans="1:22" x14ac:dyDescent="0.2">
      <c r="A22" s="8">
        <v>43930</v>
      </c>
      <c r="B22" s="56">
        <v>3587</v>
      </c>
      <c r="C22" s="71">
        <f>Table2[[#This Row],[cases]]/$B$2</f>
        <v>7.6171020610982043E-3</v>
      </c>
      <c r="D22" s="26">
        <f>(Table2[[#This Row],[cases]]-B21)/B21</f>
        <v>8.1398854386493816E-2</v>
      </c>
      <c r="E22" s="38">
        <f t="shared" ref="E22" si="1">(LN(2)/LN(B22/B21))</f>
        <v>8.857495313952132</v>
      </c>
      <c r="F22" s="81">
        <f>Table2[[#This Row],[cases]]*100/$T$19</f>
        <v>29891.666666666668</v>
      </c>
      <c r="G22" s="35">
        <f>Table2[[#This Row],[cases]]*100/$T$13</f>
        <v>13796.153846153846</v>
      </c>
      <c r="H22" s="35">
        <f>Table2[[#This Row],[cases]]*100/$T$16</f>
        <v>32609.090909090908</v>
      </c>
      <c r="I22" s="35">
        <f>Table2[[#This Row],[infection count, high end of estimate range]]-Table2[[#This Row],[infection count, low end of estimate range]]</f>
        <v>18812.937062937061</v>
      </c>
      <c r="J22" s="35">
        <f>(Table2[[#This Row],[infection count, low end of estimate range]]+Table2[[#This Row],[infection count, high end of estimate range]])/2</f>
        <v>23202.622377622378</v>
      </c>
      <c r="K22" s="26">
        <f>Table2[[#This Row],[estimated infections]]/$T$6</f>
        <v>6.3475850509151707E-2</v>
      </c>
      <c r="L22" s="27">
        <f>Table2[[#This Row],[infection count, low end of estimate range]]/$T$6</f>
        <v>2.9296546388839249E-2</v>
      </c>
      <c r="M22" s="27">
        <f>Table2[[#This Row],[infection count, high end of estimate range]]/$T$6</f>
        <v>6.9246382373620047E-2</v>
      </c>
      <c r="N22" s="15">
        <f>Table2[[#This Row],[infection percentage, high end of estimate range]]-Table2[[#This Row],[infection percentage, low end of estimate range]]</f>
        <v>3.9949835984780802E-2</v>
      </c>
      <c r="O22" s="27">
        <f>(Table2[[#This Row],[infection percentage, low end of estimate range]]+Table2[[#This Row],[infection percentage, high end of estimate range]])/2</f>
        <v>4.9271464381229646E-2</v>
      </c>
      <c r="P22" s="3">
        <f>$T$6/(Table2[[#This Row],[cases]]*5)</f>
        <v>26.256704767214941</v>
      </c>
      <c r="Q22" s="3">
        <f>$T$6/(Table2[[#This Row],[cases]]*7)</f>
        <v>18.754789119439245</v>
      </c>
      <c r="R22" s="3">
        <f>Table2[[#This Row],[1-in-X odds, estimating 5x cases infected]]-Table2[[#This Row],[1-in-X odds, estimating 7x cases infected]]</f>
        <v>7.5019156477756965</v>
      </c>
      <c r="S22" s="3">
        <f>(Table2[[#This Row],[1-in-X odds, estimating 5x cases infected]]+Table2[[#This Row],[1-in-X odds, estimating 7x cases infected]])/2</f>
        <v>22.505746943327093</v>
      </c>
      <c r="V22" s="31"/>
    </row>
    <row r="23" spans="1:22" x14ac:dyDescent="0.2">
      <c r="A23" s="8">
        <v>43931</v>
      </c>
      <c r="B23" s="56">
        <v>3816</v>
      </c>
      <c r="C23" s="71">
        <f>Table2[[#This Row],[cases]]/$B$2</f>
        <v>8.1033904279762328E-3</v>
      </c>
      <c r="D23" s="26">
        <f>(Table2[[#This Row],[cases]]-B22)/B22</f>
        <v>6.3841650404237518E-2</v>
      </c>
      <c r="E23" s="38">
        <f t="shared" ref="E23" si="2">(LN(2)/LN(B23/B22))</f>
        <v>11.20028704389693</v>
      </c>
      <c r="F23" s="81">
        <f>Table2[[#This Row],[cases]]*100/$T$19</f>
        <v>31800</v>
      </c>
      <c r="G23" s="35">
        <f>Table2[[#This Row],[cases]]*100/$T$13</f>
        <v>14676.923076923076</v>
      </c>
      <c r="H23" s="35">
        <f>Table2[[#This Row],[cases]]*100/$T$16</f>
        <v>34690.909090909088</v>
      </c>
      <c r="I23" s="35">
        <f>Table2[[#This Row],[infection count, high end of estimate range]]-Table2[[#This Row],[infection count, low end of estimate range]]</f>
        <v>20013.98601398601</v>
      </c>
      <c r="J23" s="35">
        <f>(Table2[[#This Row],[infection count, low end of estimate range]]+Table2[[#This Row],[infection count, high end of estimate range]])/2</f>
        <v>24683.916083916083</v>
      </c>
      <c r="K23" s="26">
        <f>Table2[[#This Row],[estimated infections]]/$T$6</f>
        <v>6.7528253566468618E-2</v>
      </c>
      <c r="L23" s="27">
        <f>Table2[[#This Row],[infection count, low end of estimate range]]/$T$6</f>
        <v>3.1166886261447049E-2</v>
      </c>
      <c r="M23" s="27">
        <f>Table2[[#This Row],[infection count, high end of estimate range]]/$T$6</f>
        <v>7.3667185708874844E-2</v>
      </c>
      <c r="N23" s="15">
        <f>Table2[[#This Row],[infection percentage, high end of estimate range]]-Table2[[#This Row],[infection percentage, low end of estimate range]]</f>
        <v>4.2500299447427795E-2</v>
      </c>
      <c r="O23" s="27">
        <f>(Table2[[#This Row],[infection percentage, low end of estimate range]]+Table2[[#This Row],[infection percentage, high end of estimate range]])/2</f>
        <v>5.2417035985160947E-2</v>
      </c>
      <c r="P23" s="3">
        <f>$T$6/(Table2[[#This Row],[cases]]*5)</f>
        <v>24.681027253668763</v>
      </c>
      <c r="Q23" s="3">
        <f>$T$6/(Table2[[#This Row],[cases]]*7)</f>
        <v>17.629305181191974</v>
      </c>
      <c r="R23" s="3">
        <f>Table2[[#This Row],[1-in-X odds, estimating 5x cases infected]]-Table2[[#This Row],[1-in-X odds, estimating 7x cases infected]]</f>
        <v>7.0517220724767888</v>
      </c>
      <c r="S23" s="3">
        <f>(Table2[[#This Row],[1-in-X odds, estimating 5x cases infected]]+Table2[[#This Row],[1-in-X odds, estimating 7x cases infected]])/2</f>
        <v>21.15516621743037</v>
      </c>
      <c r="V23" s="31" t="s">
        <v>48</v>
      </c>
    </row>
    <row r="24" spans="1:22" x14ac:dyDescent="0.2">
      <c r="A24" s="8">
        <v>43932</v>
      </c>
      <c r="B24" s="56">
        <v>4091</v>
      </c>
      <c r="C24" s="71">
        <f>Table2[[#This Row],[cases]]/$B$2</f>
        <v>8.6873611742271407E-3</v>
      </c>
      <c r="D24" s="26">
        <f>(Table2[[#This Row],[cases]]-B23)/B23</f>
        <v>7.20649895178197E-2</v>
      </c>
      <c r="E24" s="38">
        <f t="shared" ref="E24" si="3">(LN(2)/LN(B24/B23))</f>
        <v>9.96091676104197</v>
      </c>
      <c r="F24" s="81">
        <f>Table2[[#This Row],[cases]]*100/$T$19</f>
        <v>34091.666666666664</v>
      </c>
      <c r="G24" s="35">
        <f>Table2[[#This Row],[cases]]*100/$T$13</f>
        <v>15734.615384615385</v>
      </c>
      <c r="H24" s="35">
        <f>Table2[[#This Row],[cases]]*100/$T$16</f>
        <v>37190.909090909088</v>
      </c>
      <c r="I24" s="35">
        <f>Table2[[#This Row],[infection count, high end of estimate range]]-Table2[[#This Row],[infection count, low end of estimate range]]</f>
        <v>21456.293706293705</v>
      </c>
      <c r="J24" s="35">
        <f>(Table2[[#This Row],[infection count, low end of estimate range]]+Table2[[#This Row],[infection count, high end of estimate range]])/2</f>
        <v>26462.762237762236</v>
      </c>
      <c r="K24" s="26">
        <f>Table2[[#This Row],[estimated infections]]/$T$6</f>
        <v>7.2394676451892834E-2</v>
      </c>
      <c r="L24" s="27">
        <f>Table2[[#This Row],[infection count, low end of estimate range]]/$T$6</f>
        <v>3.3412927593181312E-2</v>
      </c>
      <c r="M24" s="27">
        <f>Table2[[#This Row],[infection count, high end of estimate range]]/$T$6</f>
        <v>7.8976010674792194E-2</v>
      </c>
      <c r="N24" s="15">
        <f>Table2[[#This Row],[infection percentage, high end of estimate range]]-Table2[[#This Row],[infection percentage, low end of estimate range]]</f>
        <v>4.5563083081610882E-2</v>
      </c>
      <c r="O24" s="27">
        <f>(Table2[[#This Row],[infection percentage, low end of estimate range]]+Table2[[#This Row],[infection percentage, high end of estimate range]])/2</f>
        <v>5.6194469133986749E-2</v>
      </c>
      <c r="P24" s="3">
        <f>$T$6/(Table2[[#This Row],[cases]]*5)</f>
        <v>23.021950623319483</v>
      </c>
      <c r="Q24" s="3">
        <f>$T$6/(Table2[[#This Row],[cases]]*7)</f>
        <v>16.444250445228203</v>
      </c>
      <c r="R24" s="3">
        <f>Table2[[#This Row],[1-in-X odds, estimating 5x cases infected]]-Table2[[#This Row],[1-in-X odds, estimating 7x cases infected]]</f>
        <v>6.5777001780912805</v>
      </c>
      <c r="S24" s="3">
        <f>(Table2[[#This Row],[1-in-X odds, estimating 5x cases infected]]+Table2[[#This Row],[1-in-X odds, estimating 7x cases infected]])/2</f>
        <v>19.733100534273845</v>
      </c>
      <c r="V24" s="31"/>
    </row>
    <row r="25" spans="1:22" x14ac:dyDescent="0.2">
      <c r="A25" s="8">
        <v>43933</v>
      </c>
      <c r="B25" s="56">
        <v>4273</v>
      </c>
      <c r="C25" s="71">
        <f>Table2[[#This Row],[cases]]/$B$2</f>
        <v>9.0738436317459245E-3</v>
      </c>
      <c r="D25" s="26">
        <f>(Table2[[#This Row],[cases]]-B24)/B24</f>
        <v>4.4487900268882913E-2</v>
      </c>
      <c r="E25" s="38">
        <f t="shared" ref="E25" si="4">(LN(2)/LN(B25/B24))</f>
        <v>15.924637026490627</v>
      </c>
      <c r="F25" s="81">
        <f>Table2[[#This Row],[cases]]*100/$T$19</f>
        <v>35608.333333333336</v>
      </c>
      <c r="G25" s="35">
        <f>Table2[[#This Row],[cases]]*100/$T$13</f>
        <v>16434.615384615383</v>
      </c>
      <c r="H25" s="35">
        <f>Table2[[#This Row],[cases]]*100/$T$16</f>
        <v>38845.454545454544</v>
      </c>
      <c r="I25" s="35">
        <f>Table2[[#This Row],[infection count, high end of estimate range]]-Table2[[#This Row],[infection count, low end of estimate range]]</f>
        <v>22410.839160839161</v>
      </c>
      <c r="J25" s="35">
        <f>(Table2[[#This Row],[infection count, low end of estimate range]]+Table2[[#This Row],[infection count, high end of estimate range]])/2</f>
        <v>27640.034965034964</v>
      </c>
      <c r="K25" s="26">
        <f>Table2[[#This Row],[estimated infections]]/$T$6</f>
        <v>7.5615363597882707E-2</v>
      </c>
      <c r="L25" s="27">
        <f>Table2[[#This Row],[infection count, low end of estimate range]]/$T$6</f>
        <v>3.4899398583638164E-2</v>
      </c>
      <c r="M25" s="27">
        <f>Table2[[#This Row],[infection count, high end of estimate range]]/$T$6</f>
        <v>8.2489487561326583E-2</v>
      </c>
      <c r="N25" s="15">
        <f>Table2[[#This Row],[infection percentage, high end of estimate range]]-Table2[[#This Row],[infection percentage, low end of estimate range]]</f>
        <v>4.7590088977688419E-2</v>
      </c>
      <c r="O25" s="27">
        <f>(Table2[[#This Row],[infection percentage, low end of estimate range]]+Table2[[#This Row],[infection percentage, high end of estimate range]])/2</f>
        <v>5.8694443072482373E-2</v>
      </c>
      <c r="P25" s="3">
        <f>$T$6/(Table2[[#This Row],[cases]]*5)</f>
        <v>22.04137608237772</v>
      </c>
      <c r="Q25" s="3">
        <f>$T$6/(Table2[[#This Row],[cases]]*7)</f>
        <v>15.743840058841229</v>
      </c>
      <c r="R25" s="3">
        <f>Table2[[#This Row],[1-in-X odds, estimating 5x cases infected]]-Table2[[#This Row],[1-in-X odds, estimating 7x cases infected]]</f>
        <v>6.297536023536491</v>
      </c>
      <c r="S25" s="3">
        <f>(Table2[[#This Row],[1-in-X odds, estimating 5x cases infected]]+Table2[[#This Row],[1-in-X odds, estimating 7x cases infected]])/2</f>
        <v>18.892608070609477</v>
      </c>
      <c r="V25" s="31"/>
    </row>
    <row r="26" spans="1:22" x14ac:dyDescent="0.2">
      <c r="A26" s="8">
        <v>43934</v>
      </c>
      <c r="B26" s="56">
        <v>4487</v>
      </c>
      <c r="C26" s="71">
        <f>Table2[[#This Row],[cases]]/$B$2</f>
        <v>9.5282790488284488E-3</v>
      </c>
      <c r="D26" s="26">
        <f>(Table2[[#This Row],[cases]]-B25)/B25</f>
        <v>5.0081909665340513E-2</v>
      </c>
      <c r="E26" s="38">
        <f t="shared" ref="E26" si="5">(LN(2)/LN(B26/B25))</f>
        <v>14.184021538998522</v>
      </c>
      <c r="F26" s="81">
        <f>Table2[[#This Row],[cases]]*100/$T$19</f>
        <v>37391.666666666664</v>
      </c>
      <c r="G26" s="35">
        <f>Table2[[#This Row],[cases]]*100/$T$13</f>
        <v>17257.692307692309</v>
      </c>
      <c r="H26" s="35">
        <f>Table2[[#This Row],[cases]]*100/$T$16</f>
        <v>40790.909090909088</v>
      </c>
      <c r="I26" s="35">
        <f>Table2[[#This Row],[infection count, high end of estimate range]]-Table2[[#This Row],[infection count, low end of estimate range]]</f>
        <v>23533.21678321678</v>
      </c>
      <c r="J26" s="35">
        <f>(Table2[[#This Row],[infection count, low end of estimate range]]+Table2[[#This Row],[infection count, high end of estimate range]])/2</f>
        <v>29024.3006993007</v>
      </c>
      <c r="K26" s="26">
        <f>Table2[[#This Row],[estimated infections]]/$T$6</f>
        <v>7.9402325406903729E-2</v>
      </c>
      <c r="L26" s="27">
        <f>Table2[[#This Row],[infection count, low end of estimate range]]/$T$6</f>
        <v>3.6647227110878651E-2</v>
      </c>
      <c r="M26" s="27">
        <f>Table2[[#This Row],[infection count, high end of estimate range]]/$T$6</f>
        <v>8.6620718625713161E-2</v>
      </c>
      <c r="N26" s="15">
        <f>Table2[[#This Row],[infection percentage, high end of estimate range]]-Table2[[#This Row],[infection percentage, low end of estimate range]]</f>
        <v>4.997349151483451E-2</v>
      </c>
      <c r="O26" s="27">
        <f>(Table2[[#This Row],[infection percentage, low end of estimate range]]+Table2[[#This Row],[infection percentage, high end of estimate range]])/2</f>
        <v>6.1633972868295903E-2</v>
      </c>
      <c r="P26" s="3">
        <f>$T$6/(Table2[[#This Row],[cases]]*5)</f>
        <v>20.990149320258524</v>
      </c>
      <c r="Q26" s="3">
        <f>$T$6/(Table2[[#This Row],[cases]]*7)</f>
        <v>14.992963800184661</v>
      </c>
      <c r="R26" s="3">
        <f>Table2[[#This Row],[1-in-X odds, estimating 5x cases infected]]-Table2[[#This Row],[1-in-X odds, estimating 7x cases infected]]</f>
        <v>5.9971855200738631</v>
      </c>
      <c r="S26" s="3">
        <f>(Table2[[#This Row],[1-in-X odds, estimating 5x cases infected]]+Table2[[#This Row],[1-in-X odds, estimating 7x cases infected]])/2</f>
        <v>17.991556560221593</v>
      </c>
      <c r="V26" s="31"/>
    </row>
    <row r="27" spans="1:22" x14ac:dyDescent="0.2">
      <c r="A27" s="8">
        <v>43935</v>
      </c>
      <c r="B27" s="56">
        <v>4648</v>
      </c>
      <c r="C27" s="71">
        <f>Table2[[#This Row],[cases]]/$B$2</f>
        <v>9.8701673766335256E-3</v>
      </c>
      <c r="D27" s="26">
        <f>(Table2[[#This Row],[cases]]-B26)/B26</f>
        <v>3.5881435257410298E-2</v>
      </c>
      <c r="E27" s="38">
        <f t="shared" ref="E27" si="6">(LN(2)/LN(B27/B26))</f>
        <v>19.662247910950395</v>
      </c>
      <c r="F27" s="81">
        <f>Table2[[#This Row],[cases]]*100/$T$19</f>
        <v>38733.333333333336</v>
      </c>
      <c r="G27" s="35">
        <f>Table2[[#This Row],[cases]]*100/$T$13</f>
        <v>17876.923076923078</v>
      </c>
      <c r="H27" s="35">
        <f>Table2[[#This Row],[cases]]*100/$T$16</f>
        <v>42254.545454545456</v>
      </c>
      <c r="I27" s="35">
        <f>Table2[[#This Row],[infection count, high end of estimate range]]-Table2[[#This Row],[infection count, low end of estimate range]]</f>
        <v>24377.622377622378</v>
      </c>
      <c r="J27" s="35">
        <f>(Table2[[#This Row],[infection count, low end of estimate range]]+Table2[[#This Row],[infection count, high end of estimate range]])/2</f>
        <v>30065.734265734267</v>
      </c>
      <c r="K27" s="26">
        <f>Table2[[#This Row],[estimated infections]]/$T$6</f>
        <v>8.225139480527939E-2</v>
      </c>
      <c r="L27" s="27">
        <f>Table2[[#This Row],[infection count, low end of estimate range]]/$T$6</f>
        <v>3.7962182217821251E-2</v>
      </c>
      <c r="M27" s="27">
        <f>Table2[[#This Row],[infection count, high end of estimate range]]/$T$6</f>
        <v>8.9728794333032047E-2</v>
      </c>
      <c r="N27" s="15">
        <f>Table2[[#This Row],[infection percentage, high end of estimate range]]-Table2[[#This Row],[infection percentage, low end of estimate range]]</f>
        <v>5.1766612115210796E-2</v>
      </c>
      <c r="O27" s="27">
        <f>(Table2[[#This Row],[infection percentage, low end of estimate range]]+Table2[[#This Row],[infection percentage, high end of estimate range]])/2</f>
        <v>6.3845488275426646E-2</v>
      </c>
      <c r="P27" s="3">
        <f>$T$6/(Table2[[#This Row],[cases]]*5)</f>
        <v>20.263080895008606</v>
      </c>
      <c r="Q27" s="3">
        <f>$T$6/(Table2[[#This Row],[cases]]*7)</f>
        <v>14.473629210720432</v>
      </c>
      <c r="R27" s="3">
        <f>Table2[[#This Row],[1-in-X odds, estimating 5x cases infected]]-Table2[[#This Row],[1-in-X odds, estimating 7x cases infected]]</f>
        <v>5.7894516842881742</v>
      </c>
      <c r="S27" s="3">
        <f>(Table2[[#This Row],[1-in-X odds, estimating 5x cases infected]]+Table2[[#This Row],[1-in-X odds, estimating 7x cases infected]])/2</f>
        <v>17.368355052864519</v>
      </c>
      <c r="V27" s="31"/>
    </row>
    <row r="28" spans="1:22" x14ac:dyDescent="0.2">
      <c r="A28" s="8">
        <v>43936</v>
      </c>
      <c r="B28" s="56">
        <v>4857</v>
      </c>
      <c r="C28" s="71">
        <f>Table2[[#This Row],[cases]]/$B$2</f>
        <v>1.0313985143784215E-2</v>
      </c>
      <c r="D28" s="26">
        <f>(Table2[[#This Row],[cases]]-B27)/B27</f>
        <v>4.4965576592082619E-2</v>
      </c>
      <c r="E28" s="38">
        <f t="shared" ref="E28" si="7">(LN(2)/LN(B28/B27))</f>
        <v>15.759095716636351</v>
      </c>
      <c r="F28" s="81">
        <f>Table2[[#This Row],[cases]]*100/$T$19</f>
        <v>40475</v>
      </c>
      <c r="G28" s="35">
        <f>Table2[[#This Row],[cases]]*100/$T$13</f>
        <v>18680.76923076923</v>
      </c>
      <c r="H28" s="35">
        <f>Table2[[#This Row],[cases]]*100/$T$16</f>
        <v>44154.545454545456</v>
      </c>
      <c r="I28" s="35">
        <f>Table2[[#This Row],[infection count, high end of estimate range]]-Table2[[#This Row],[infection count, low end of estimate range]]</f>
        <v>25473.776223776225</v>
      </c>
      <c r="J28" s="35">
        <f>(Table2[[#This Row],[infection count, low end of estimate range]]+Table2[[#This Row],[infection count, high end of estimate range]])/2</f>
        <v>31417.657342657345</v>
      </c>
      <c r="K28" s="26">
        <f>Table2[[#This Row],[estimated infections]]/$T$6</f>
        <v>8.5949876198201797E-2</v>
      </c>
      <c r="L28" s="27">
        <f>Table2[[#This Row],[infection count, low end of estimate range]]/$T$6</f>
        <v>3.966917362993929E-2</v>
      </c>
      <c r="M28" s="27">
        <f>Table2[[#This Row],[infection count, high end of estimate range]]/$T$6</f>
        <v>9.3763501307129238E-2</v>
      </c>
      <c r="N28" s="15">
        <f>Table2[[#This Row],[infection percentage, high end of estimate range]]-Table2[[#This Row],[infection percentage, low end of estimate range]]</f>
        <v>5.4094327677189948E-2</v>
      </c>
      <c r="O28" s="27">
        <f>(Table2[[#This Row],[infection percentage, low end of estimate range]]+Table2[[#This Row],[infection percentage, high end of estimate range]])/2</f>
        <v>6.6716337468534267E-2</v>
      </c>
      <c r="P28" s="3">
        <f>$T$6/(Table2[[#This Row],[cases]]*5)</f>
        <v>19.391146798435248</v>
      </c>
      <c r="Q28" s="3">
        <f>$T$6/(Table2[[#This Row],[cases]]*7)</f>
        <v>13.850819141739462</v>
      </c>
      <c r="R28" s="3">
        <f>Table2[[#This Row],[1-in-X odds, estimating 5x cases infected]]-Table2[[#This Row],[1-in-X odds, estimating 7x cases infected]]</f>
        <v>5.5403276566957853</v>
      </c>
      <c r="S28" s="3">
        <f>(Table2[[#This Row],[1-in-X odds, estimating 5x cases infected]]+Table2[[#This Row],[1-in-X odds, estimating 7x cases infected]])/2</f>
        <v>16.620982970087354</v>
      </c>
      <c r="V28" s="31"/>
    </row>
    <row r="29" spans="1:22" x14ac:dyDescent="0.2">
      <c r="A29" s="8">
        <v>43937</v>
      </c>
      <c r="B29" s="56">
        <v>5018</v>
      </c>
      <c r="C29" s="71">
        <f>Table2[[#This Row],[cases]]/$B$2</f>
        <v>1.0655873471589292E-2</v>
      </c>
      <c r="D29" s="26">
        <f>(Table2[[#This Row],[cases]]-B28)/B28</f>
        <v>3.3148033765698991E-2</v>
      </c>
      <c r="E29" s="38">
        <f t="shared" ref="E29:E30" si="8">(LN(2)/LN(B29/B28))</f>
        <v>21.255347458768309</v>
      </c>
      <c r="F29" s="81">
        <f>Table2[[#This Row],[cases]]*100/$T$19</f>
        <v>41816.666666666664</v>
      </c>
      <c r="G29" s="35">
        <f>Table2[[#This Row],[cases]]*100/$T$13</f>
        <v>19300</v>
      </c>
      <c r="H29" s="35">
        <f>Table2[[#This Row],[cases]]*100/$T$16</f>
        <v>45618.181818181816</v>
      </c>
      <c r="I29" s="35">
        <f>Table2[[#This Row],[infection count, high end of estimate range]]-Table2[[#This Row],[infection count, low end of estimate range]]</f>
        <v>26318.181818181816</v>
      </c>
      <c r="J29" s="35">
        <f>(Table2[[#This Row],[infection count, low end of estimate range]]+Table2[[#This Row],[infection count, high end of estimate range]])/2</f>
        <v>32459.090909090908</v>
      </c>
      <c r="K29" s="26">
        <f>Table2[[#This Row],[estimated infections]]/$T$6</f>
        <v>8.879894559657743E-2</v>
      </c>
      <c r="L29" s="27">
        <f>Table2[[#This Row],[infection count, low end of estimate range]]/$T$6</f>
        <v>4.098412873688189E-2</v>
      </c>
      <c r="M29" s="27">
        <f>Table2[[#This Row],[infection count, high end of estimate range]]/$T$6</f>
        <v>9.687157701444811E-2</v>
      </c>
      <c r="N29" s="15">
        <f>Table2[[#This Row],[infection percentage, high end of estimate range]]-Table2[[#This Row],[infection percentage, low end of estimate range]]</f>
        <v>5.5887448277566219E-2</v>
      </c>
      <c r="O29" s="27">
        <f>(Table2[[#This Row],[infection percentage, low end of estimate range]]+Table2[[#This Row],[infection percentage, high end of estimate range]])/2</f>
        <v>6.8927852875664997E-2</v>
      </c>
      <c r="P29" s="3">
        <f>$T$6/(Table2[[#This Row],[cases]]*5)</f>
        <v>18.768991630131527</v>
      </c>
      <c r="Q29" s="3">
        <f>$T$6/(Table2[[#This Row],[cases]]*7)</f>
        <v>13.40642259295109</v>
      </c>
      <c r="R29" s="3">
        <f>Table2[[#This Row],[1-in-X odds, estimating 5x cases infected]]-Table2[[#This Row],[1-in-X odds, estimating 7x cases infected]]</f>
        <v>5.3625690371804371</v>
      </c>
      <c r="S29" s="3">
        <f>(Table2[[#This Row],[1-in-X odds, estimating 5x cases infected]]+Table2[[#This Row],[1-in-X odds, estimating 7x cases infected]])/2</f>
        <v>16.08770711154131</v>
      </c>
      <c r="V29" s="31"/>
    </row>
    <row r="30" spans="1:22" x14ac:dyDescent="0.2">
      <c r="A30" s="8">
        <v>43938</v>
      </c>
      <c r="B30" s="56">
        <v>5325</v>
      </c>
      <c r="C30" s="71">
        <f>Table2[[#This Row],[cases]]/$B$2</f>
        <v>1.1307797177403942E-2</v>
      </c>
      <c r="D30" s="26">
        <f>(Table2[[#This Row],[cases]]-B29)/B29</f>
        <v>6.1179752889597448E-2</v>
      </c>
      <c r="E30" s="38">
        <f t="shared" si="8"/>
        <v>11.672826375517154</v>
      </c>
      <c r="F30" s="81">
        <f>Table2[[#This Row],[cases]]*100/$T$19</f>
        <v>44375</v>
      </c>
      <c r="G30" s="35">
        <f>Table2[[#This Row],[cases]]*100/$T$13</f>
        <v>20480.76923076923</v>
      </c>
      <c r="H30" s="35">
        <f>Table2[[#This Row],[cases]]*100/$T$16</f>
        <v>48409.090909090912</v>
      </c>
      <c r="I30" s="35">
        <f>Table2[[#This Row],[infection count, high end of estimate range]]-Table2[[#This Row],[infection count, low end of estimate range]]</f>
        <v>27928.321678321681</v>
      </c>
      <c r="J30" s="35">
        <f>(Table2[[#This Row],[infection count, low end of estimate range]]+Table2[[#This Row],[infection count, high end of estimate range]])/2</f>
        <v>34444.930069930073</v>
      </c>
      <c r="K30" s="26">
        <f>Table2[[#This Row],[estimated infections]]/$T$6</f>
        <v>9.4231643145032851E-2</v>
      </c>
      <c r="L30" s="27">
        <f>Table2[[#This Row],[infection count, low end of estimate range]]/$T$6</f>
        <v>4.3491527605399774E-2</v>
      </c>
      <c r="M30" s="27">
        <f>Table2[[#This Row],[infection count, high end of estimate range]]/$T$6</f>
        <v>0.10279815615821766</v>
      </c>
      <c r="N30" s="15">
        <f>Table2[[#This Row],[infection percentage, high end of estimate range]]-Table2[[#This Row],[infection percentage, low end of estimate range]]</f>
        <v>5.9306628552817889E-2</v>
      </c>
      <c r="O30" s="27">
        <f>(Table2[[#This Row],[infection percentage, low end of estimate range]]+Table2[[#This Row],[infection percentage, high end of estimate range]])/2</f>
        <v>7.3144841881808725E-2</v>
      </c>
      <c r="P30" s="3">
        <f>$T$6/(Table2[[#This Row],[cases]]*5)</f>
        <v>17.686910798122067</v>
      </c>
      <c r="Q30" s="3">
        <f>$T$6/(Table2[[#This Row],[cases]]*7)</f>
        <v>12.633507712944333</v>
      </c>
      <c r="R30" s="3">
        <f>Table2[[#This Row],[1-in-X odds, estimating 5x cases infected]]-Table2[[#This Row],[1-in-X odds, estimating 7x cases infected]]</f>
        <v>5.0534030851777345</v>
      </c>
      <c r="S30" s="3">
        <f>(Table2[[#This Row],[1-in-X odds, estimating 5x cases infected]]+Table2[[#This Row],[1-in-X odds, estimating 7x cases infected]])/2</f>
        <v>15.1602092555332</v>
      </c>
      <c r="V30" s="31"/>
    </row>
    <row r="31" spans="1:22" x14ac:dyDescent="0.2">
      <c r="A31" s="8">
        <v>43939</v>
      </c>
      <c r="B31" s="56">
        <v>5473</v>
      </c>
      <c r="C31" s="71">
        <f>Table2[[#This Row],[cases]]/$B$2</f>
        <v>1.1622079615386249E-2</v>
      </c>
      <c r="D31" s="26">
        <f>(Table2[[#This Row],[cases]]-B30)/B30</f>
        <v>2.7793427230046949E-2</v>
      </c>
      <c r="E31" s="38">
        <f t="shared" ref="E31" si="9">(LN(2)/LN(B31/B30))</f>
        <v>25.284238323265988</v>
      </c>
      <c r="F31" s="81">
        <f>Table2[[#This Row],[cases]]*100/$T$19</f>
        <v>45608.333333333336</v>
      </c>
      <c r="G31" s="35">
        <f>Table2[[#This Row],[cases]]*100/$T$13</f>
        <v>21050</v>
      </c>
      <c r="H31" s="35">
        <f>Table2[[#This Row],[cases]]*100/$T$16</f>
        <v>49754.545454545456</v>
      </c>
      <c r="I31" s="35">
        <f>Table2[[#This Row],[infection count, high end of estimate range]]-Table2[[#This Row],[infection count, low end of estimate range]]</f>
        <v>28704.545454545456</v>
      </c>
      <c r="J31" s="35">
        <f>(Table2[[#This Row],[infection count, low end of estimate range]]+Table2[[#This Row],[infection count, high end of estimate range]])/2</f>
        <v>35402.272727272728</v>
      </c>
      <c r="K31" s="26">
        <f>Table2[[#This Row],[estimated infections]]/$T$6</f>
        <v>9.6850663461552078E-2</v>
      </c>
      <c r="L31" s="27">
        <f>Table2[[#This Row],[infection count, low end of estimate range]]/$T$6</f>
        <v>4.4700306213024031E-2</v>
      </c>
      <c r="M31" s="27">
        <f>Table2[[#This Row],[infection count, high end of estimate range]]/$T$6</f>
        <v>0.10565526923078408</v>
      </c>
      <c r="N31" s="15">
        <f>Table2[[#This Row],[infection percentage, high end of estimate range]]-Table2[[#This Row],[infection percentage, low end of estimate range]]</f>
        <v>6.0954963017760051E-2</v>
      </c>
      <c r="O31" s="27">
        <f>(Table2[[#This Row],[infection percentage, low end of estimate range]]+Table2[[#This Row],[infection percentage, high end of estimate range]])/2</f>
        <v>7.517778772190406E-2</v>
      </c>
      <c r="P31" s="3">
        <f>$T$6/(Table2[[#This Row],[cases]]*5)</f>
        <v>17.208624154942445</v>
      </c>
      <c r="Q31" s="3">
        <f>$T$6/(Table2[[#This Row],[cases]]*7)</f>
        <v>12.29187439638746</v>
      </c>
      <c r="R31" s="3">
        <f>Table2[[#This Row],[1-in-X odds, estimating 5x cases infected]]-Table2[[#This Row],[1-in-X odds, estimating 7x cases infected]]</f>
        <v>4.9167497585549853</v>
      </c>
      <c r="S31" s="3">
        <f>(Table2[[#This Row],[1-in-X odds, estimating 5x cases infected]]+Table2[[#This Row],[1-in-X odds, estimating 7x cases infected]])/2</f>
        <v>14.750249275664952</v>
      </c>
      <c r="V31" s="31"/>
    </row>
    <row r="32" spans="1:22" x14ac:dyDescent="0.2">
      <c r="A32" s="8">
        <v>43940</v>
      </c>
      <c r="B32" s="56">
        <v>5645</v>
      </c>
      <c r="C32" s="71">
        <f>Table2[[#This Row],[cases]]/$B$2</f>
        <v>1.1987326773041361E-2</v>
      </c>
      <c r="D32" s="26">
        <f>(Table2[[#This Row],[cases]]-B31)/B31</f>
        <v>3.1427005298739263E-2</v>
      </c>
      <c r="E32" s="38">
        <f t="shared" ref="E32:E34" si="10">(LN(2)/LN(B32/B31))</f>
        <v>22.400568352945822</v>
      </c>
      <c r="F32" s="81">
        <f>Table2[[#This Row],[cases]]*100/$T$19</f>
        <v>47041.666666666664</v>
      </c>
      <c r="G32" s="35">
        <f>Table2[[#This Row],[cases]]*100/$T$13</f>
        <v>21711.538461538461</v>
      </c>
      <c r="H32" s="35">
        <f>Table2[[#This Row],[cases]]*100/$T$16</f>
        <v>51318.181818181816</v>
      </c>
      <c r="I32" s="35">
        <f>Table2[[#This Row],[infection count, high end of estimate range]]-Table2[[#This Row],[infection count, low end of estimate range]]</f>
        <v>29606.643356643355</v>
      </c>
      <c r="J32" s="35">
        <f>(Table2[[#This Row],[infection count, low end of estimate range]]+Table2[[#This Row],[infection count, high end of estimate range]])/2</f>
        <v>36514.860139860139</v>
      </c>
      <c r="K32" s="26">
        <f>Table2[[#This Row],[estimated infections]]/$T$6</f>
        <v>9.9894389775344677E-2</v>
      </c>
      <c r="L32" s="27">
        <f>Table2[[#This Row],[infection count, low end of estimate range]]/$T$6</f>
        <v>4.6105102973236008E-2</v>
      </c>
      <c r="M32" s="27">
        <f>Table2[[#This Row],[infection count, high end of estimate range]]/$T$6</f>
        <v>0.10897569793673965</v>
      </c>
      <c r="N32" s="15">
        <f>Table2[[#This Row],[infection percentage, high end of estimate range]]-Table2[[#This Row],[infection percentage, low end of estimate range]]</f>
        <v>6.287059496350364E-2</v>
      </c>
      <c r="O32" s="27">
        <f>(Table2[[#This Row],[infection percentage, low end of estimate range]]+Table2[[#This Row],[infection percentage, high end of estimate range]])/2</f>
        <v>7.7540400454987835E-2</v>
      </c>
      <c r="P32" s="3">
        <f>$T$6/(Table2[[#This Row],[cases]]*5)</f>
        <v>16.684286979627988</v>
      </c>
      <c r="Q32" s="3">
        <f>$T$6/(Table2[[#This Row],[cases]]*7)</f>
        <v>11.91734784259142</v>
      </c>
      <c r="R32" s="3">
        <f>Table2[[#This Row],[1-in-X odds, estimating 5x cases infected]]-Table2[[#This Row],[1-in-X odds, estimating 7x cases infected]]</f>
        <v>4.7669391370365677</v>
      </c>
      <c r="S32" s="3">
        <f>(Table2[[#This Row],[1-in-X odds, estimating 5x cases infected]]+Table2[[#This Row],[1-in-X odds, estimating 7x cases infected]])/2</f>
        <v>14.300817411109705</v>
      </c>
      <c r="V32" s="31"/>
    </row>
    <row r="33" spans="1:22" x14ac:dyDescent="0.2">
      <c r="A33" s="8">
        <v>43941</v>
      </c>
      <c r="B33" s="56">
        <v>5852</v>
      </c>
      <c r="C33" s="71">
        <f>Table2[[#This Row],[cases]]/$B$2</f>
        <v>1.2426897480219318E-2</v>
      </c>
      <c r="D33" s="26">
        <f>(Table2[[#This Row],[cases]]-B32)/B32</f>
        <v>3.6669619131975202E-2</v>
      </c>
      <c r="E33" s="38">
        <f t="shared" si="10"/>
        <v>19.246985379249875</v>
      </c>
      <c r="F33" s="81">
        <f>Table2[[#This Row],[cases]]*100/$T$19</f>
        <v>48766.666666666664</v>
      </c>
      <c r="G33" s="35">
        <f>Table2[[#This Row],[cases]]*100/$T$13</f>
        <v>22507.692307692309</v>
      </c>
      <c r="H33" s="35">
        <f>Table2[[#This Row],[cases]]*100/$T$16</f>
        <v>53200</v>
      </c>
      <c r="I33" s="35">
        <f>Table2[[#This Row],[infection count, high end of estimate range]]-Table2[[#This Row],[infection count, low end of estimate range]]</f>
        <v>30692.307692307691</v>
      </c>
      <c r="J33" s="35">
        <f>(Table2[[#This Row],[infection count, low end of estimate range]]+Table2[[#This Row],[infection count, high end of estimate range]])/2</f>
        <v>37853.846153846156</v>
      </c>
      <c r="K33" s="26">
        <f>Table2[[#This Row],[estimated infections]]/$T$6</f>
        <v>0.10355747900182764</v>
      </c>
      <c r="L33" s="27">
        <f>Table2[[#This Row],[infection count, low end of estimate range]]/$T$6</f>
        <v>4.7795759539305073E-2</v>
      </c>
      <c r="M33" s="27">
        <f>Table2[[#This Row],[infection count, high end of estimate range]]/$T$6</f>
        <v>0.11297179527472108</v>
      </c>
      <c r="N33" s="15">
        <f>Table2[[#This Row],[infection percentage, high end of estimate range]]-Table2[[#This Row],[infection percentage, low end of estimate range]]</f>
        <v>6.5176035735415999E-2</v>
      </c>
      <c r="O33" s="27">
        <f>(Table2[[#This Row],[infection percentage, low end of estimate range]]+Table2[[#This Row],[infection percentage, high end of estimate range]])/2</f>
        <v>8.0383777407013079E-2</v>
      </c>
      <c r="P33" s="3">
        <f>$T$6/(Table2[[#This Row],[cases]]*5)</f>
        <v>16.094121667805879</v>
      </c>
      <c r="Q33" s="3">
        <f>$T$6/(Table2[[#This Row],[cases]]*7)</f>
        <v>11.495801191289914</v>
      </c>
      <c r="R33" s="3">
        <f>Table2[[#This Row],[1-in-X odds, estimating 5x cases infected]]-Table2[[#This Row],[1-in-X odds, estimating 7x cases infected]]</f>
        <v>4.5983204765159655</v>
      </c>
      <c r="S33" s="3">
        <f>(Table2[[#This Row],[1-in-X odds, estimating 5x cases infected]]+Table2[[#This Row],[1-in-X odds, estimating 7x cases infected]])/2</f>
        <v>13.794961429547897</v>
      </c>
      <c r="V33" s="31"/>
    </row>
    <row r="34" spans="1:22" x14ac:dyDescent="0.2">
      <c r="A34" s="8">
        <v>43942</v>
      </c>
      <c r="B34" s="56">
        <v>6064</v>
      </c>
      <c r="C34" s="71">
        <f>Table2[[#This Row],[cases]]/$B$2</f>
        <v>1.2877085837329109E-2</v>
      </c>
      <c r="D34" s="26">
        <f>(Table2[[#This Row],[cases]]-B33)/B33</f>
        <v>3.6226930963773066E-2</v>
      </c>
      <c r="E34" s="38">
        <f t="shared" si="10"/>
        <v>19.477995929350573</v>
      </c>
      <c r="F34" s="81">
        <f>Table2[[#This Row],[cases]]*100/$T$19</f>
        <v>50533.333333333336</v>
      </c>
      <c r="G34" s="35">
        <f>Table2[[#This Row],[cases]]*100/$T$13</f>
        <v>23323.076923076922</v>
      </c>
      <c r="H34" s="35">
        <f>Table2[[#This Row],[cases]]*100/$T$16</f>
        <v>55127.272727272728</v>
      </c>
      <c r="I34" s="35">
        <f>Table2[[#This Row],[infection count, high end of estimate range]]-Table2[[#This Row],[infection count, low end of estimate range]]</f>
        <v>31804.195804195806</v>
      </c>
      <c r="J34" s="35">
        <f>(Table2[[#This Row],[infection count, low end of estimate range]]+Table2[[#This Row],[infection count, high end of estimate range]])/2</f>
        <v>39225.174825174821</v>
      </c>
      <c r="K34" s="26">
        <f>Table2[[#This Row],[estimated infections]]/$T$6</f>
        <v>0.10730904864440925</v>
      </c>
      <c r="L34" s="27">
        <f>Table2[[#This Row],[infection count, low end of estimate range]]/$T$6</f>
        <v>4.9527253220496573E-2</v>
      </c>
      <c r="M34" s="27">
        <f>Table2[[#This Row],[infection count, high end of estimate range]]/$T$6</f>
        <v>0.11706441670299191</v>
      </c>
      <c r="N34" s="15">
        <f>Table2[[#This Row],[infection percentage, high end of estimate range]]-Table2[[#This Row],[infection percentage, low end of estimate range]]</f>
        <v>6.7537163482495333E-2</v>
      </c>
      <c r="O34" s="27">
        <f>(Table2[[#This Row],[infection percentage, low end of estimate range]]+Table2[[#This Row],[infection percentage, high end of estimate range]])/2</f>
        <v>8.3295834961744239E-2</v>
      </c>
      <c r="P34" s="3">
        <f>$T$6/(Table2[[#This Row],[cases]]*5)</f>
        <v>15.531464379947229</v>
      </c>
      <c r="Q34" s="3">
        <f>$T$6/(Table2[[#This Row],[cases]]*7)</f>
        <v>11.093903128533736</v>
      </c>
      <c r="R34" s="3">
        <f>Table2[[#This Row],[1-in-X odds, estimating 5x cases infected]]-Table2[[#This Row],[1-in-X odds, estimating 7x cases infected]]</f>
        <v>4.4375612514134932</v>
      </c>
      <c r="S34" s="3">
        <f>(Table2[[#This Row],[1-in-X odds, estimating 5x cases infected]]+Table2[[#This Row],[1-in-X odds, estimating 7x cases infected]])/2</f>
        <v>13.312683754240481</v>
      </c>
      <c r="V34" s="31"/>
    </row>
    <row r="35" spans="1:22" x14ac:dyDescent="0.2">
      <c r="A35" s="8">
        <v>43943</v>
      </c>
      <c r="B35" s="56">
        <v>6227</v>
      </c>
      <c r="C35" s="71">
        <f>Table2[[#This Row],[cases]]/$B$2</f>
        <v>1.3223221225106919E-2</v>
      </c>
      <c r="D35" s="26">
        <f>(Table2[[#This Row],[cases]]-B34)/B34</f>
        <v>2.6879947229551452E-2</v>
      </c>
      <c r="E35" s="38">
        <f t="shared" ref="E35:E44" si="11">(LN(2)/LN(B35/B34))</f>
        <v>26.131817554080403</v>
      </c>
      <c r="F35" s="81">
        <f>Table2[[#This Row],[cases]]*100/$T$19</f>
        <v>51891.666666666664</v>
      </c>
      <c r="G35" s="35">
        <f>Table2[[#This Row],[cases]]*100/$T$13</f>
        <v>23950</v>
      </c>
      <c r="H35" s="35">
        <f>Table2[[#This Row],[cases]]*100/$T$16</f>
        <v>56609.090909090912</v>
      </c>
      <c r="I35" s="35">
        <f>Table2[[#This Row],[infection count, high end of estimate range]]-Table2[[#This Row],[infection count, low end of estimate range]]</f>
        <v>32659.090909090912</v>
      </c>
      <c r="J35" s="35">
        <f>(Table2[[#This Row],[infection count, low end of estimate range]]+Table2[[#This Row],[infection count, high end of estimate range]])/2</f>
        <v>40279.545454545456</v>
      </c>
      <c r="K35" s="26">
        <f>Table2[[#This Row],[estimated infections]]/$T$6</f>
        <v>0.11019351020922433</v>
      </c>
      <c r="L35" s="27">
        <f>Table2[[#This Row],[infection count, low end of estimate range]]/$T$6</f>
        <v>5.0858543173488154E-2</v>
      </c>
      <c r="M35" s="27">
        <f>Table2[[#This Row],[infection count, high end of estimate range]]/$T$6</f>
        <v>0.12021110204642654</v>
      </c>
      <c r="N35" s="15">
        <f>Table2[[#This Row],[infection percentage, high end of estimate range]]-Table2[[#This Row],[infection percentage, low end of estimate range]]</f>
        <v>6.9352558872938397E-2</v>
      </c>
      <c r="O35" s="27">
        <f>(Table2[[#This Row],[infection percentage, low end of estimate range]]+Table2[[#This Row],[infection percentage, high end of estimate range]])/2</f>
        <v>8.5534822609957345E-2</v>
      </c>
      <c r="P35" s="3">
        <f>$T$6/(Table2[[#This Row],[cases]]*5)</f>
        <v>15.124907660189498</v>
      </c>
      <c r="Q35" s="3">
        <f>$T$6/(Table2[[#This Row],[cases]]*7)</f>
        <v>10.803505471563927</v>
      </c>
      <c r="R35" s="3">
        <f>Table2[[#This Row],[1-in-X odds, estimating 5x cases infected]]-Table2[[#This Row],[1-in-X odds, estimating 7x cases infected]]</f>
        <v>4.3214021886255711</v>
      </c>
      <c r="S35" s="3">
        <f>(Table2[[#This Row],[1-in-X odds, estimating 5x cases infected]]+Table2[[#This Row],[1-in-X odds, estimating 7x cases infected]])/2</f>
        <v>12.964206565876712</v>
      </c>
      <c r="V35" s="31"/>
    </row>
    <row r="36" spans="1:22" x14ac:dyDescent="0.2">
      <c r="A36" s="8">
        <v>43944</v>
      </c>
      <c r="B36" s="56">
        <v>6413</v>
      </c>
      <c r="C36" s="71">
        <f>Table2[[#This Row],[cases]]/$B$2</f>
        <v>1.361819780257117E-2</v>
      </c>
      <c r="D36" s="26">
        <f>(Table2[[#This Row],[cases]]-B35)/B35</f>
        <v>2.9869921310422355E-2</v>
      </c>
      <c r="E36" s="38">
        <f t="shared" si="11"/>
        <v>23.55039768449053</v>
      </c>
      <c r="F36" s="81">
        <f>Table2[[#This Row],[cases]]*100/$T$19</f>
        <v>53441.666666666664</v>
      </c>
      <c r="G36" s="35">
        <f>Table2[[#This Row],[cases]]*100/$T$13</f>
        <v>24665.384615384617</v>
      </c>
      <c r="H36" s="35">
        <f>Table2[[#This Row],[cases]]*100/$T$16</f>
        <v>58300</v>
      </c>
      <c r="I36" s="35">
        <f>Table2[[#This Row],[infection count, high end of estimate range]]-Table2[[#This Row],[infection count, low end of estimate range]]</f>
        <v>33634.615384615383</v>
      </c>
      <c r="J36" s="35">
        <f>(Table2[[#This Row],[infection count, low end of estimate range]]+Table2[[#This Row],[infection count, high end of estimate range]])/2</f>
        <v>41482.692307692312</v>
      </c>
      <c r="K36" s="26">
        <f>Table2[[#This Row],[estimated infections]]/$T$6</f>
        <v>0.11348498168809308</v>
      </c>
      <c r="L36" s="27">
        <f>Table2[[#This Row],[infection count, low end of estimate range]]/$T$6</f>
        <v>5.2377683856042967E-2</v>
      </c>
      <c r="M36" s="27">
        <f>Table2[[#This Row],[infection count, high end of estimate range]]/$T$6</f>
        <v>0.12380179820519245</v>
      </c>
      <c r="N36" s="15">
        <f>Table2[[#This Row],[infection percentage, high end of estimate range]]-Table2[[#This Row],[infection percentage, low end of estimate range]]</f>
        <v>7.1424114349149484E-2</v>
      </c>
      <c r="O36" s="27">
        <f>(Table2[[#This Row],[infection percentage, low end of estimate range]]+Table2[[#This Row],[infection percentage, high end of estimate range]])/2</f>
        <v>8.8089741030617702E-2</v>
      </c>
      <c r="P36" s="3">
        <f>$T$6/(Table2[[#This Row],[cases]]*5)</f>
        <v>14.686231093092157</v>
      </c>
      <c r="Q36" s="3">
        <f>$T$6/(Table2[[#This Row],[cases]]*7)</f>
        <v>10.490165066494397</v>
      </c>
      <c r="R36" s="3">
        <f>Table2[[#This Row],[1-in-X odds, estimating 5x cases infected]]-Table2[[#This Row],[1-in-X odds, estimating 7x cases infected]]</f>
        <v>4.1960660265977605</v>
      </c>
      <c r="S36" s="3">
        <f>(Table2[[#This Row],[1-in-X odds, estimating 5x cases infected]]+Table2[[#This Row],[1-in-X odds, estimating 7x cases infected]])/2</f>
        <v>12.588198079793276</v>
      </c>
      <c r="V36" s="31"/>
    </row>
    <row r="37" spans="1:22" x14ac:dyDescent="0.2">
      <c r="A37" s="8">
        <v>43945</v>
      </c>
      <c r="B37" s="56">
        <v>6658</v>
      </c>
      <c r="C37" s="71">
        <f>Table2[[#This Row],[cases]]/$B$2</f>
        <v>1.4138462649231069E-2</v>
      </c>
      <c r="D37" s="26">
        <f>(Table2[[#This Row],[cases]]-B36)/B36</f>
        <v>3.8203648838297209E-2</v>
      </c>
      <c r="E37" s="38">
        <f t="shared" si="11"/>
        <v>18.487889118218384</v>
      </c>
      <c r="F37" s="81">
        <f>Table2[[#This Row],[cases]]*100/$T$19</f>
        <v>55483.333333333336</v>
      </c>
      <c r="G37" s="35">
        <f>Table2[[#This Row],[cases]]*100/$T$13</f>
        <v>25607.692307692309</v>
      </c>
      <c r="H37" s="35">
        <f>Table2[[#This Row],[cases]]*100/$T$16</f>
        <v>60527.272727272728</v>
      </c>
      <c r="I37" s="35">
        <f>Table2[[#This Row],[infection count, high end of estimate range]]-Table2[[#This Row],[infection count, low end of estimate range]]</f>
        <v>34919.580419580423</v>
      </c>
      <c r="J37" s="35">
        <f>(Table2[[#This Row],[infection count, low end of estimate range]]+Table2[[#This Row],[infection count, high end of estimate range]])/2</f>
        <v>43067.482517482516</v>
      </c>
      <c r="K37" s="26">
        <f>Table2[[#This Row],[estimated infections]]/$T$6</f>
        <v>0.11782052207692559</v>
      </c>
      <c r="L37" s="27">
        <f>Table2[[#This Row],[infection count, low end of estimate range]]/$T$6</f>
        <v>5.4378702497042575E-2</v>
      </c>
      <c r="M37" s="27">
        <f>Table2[[#This Row],[infection count, high end of estimate range]]/$T$6</f>
        <v>0.12853147862937336</v>
      </c>
      <c r="N37" s="15">
        <f>Table2[[#This Row],[infection percentage, high end of estimate range]]-Table2[[#This Row],[infection percentage, low end of estimate range]]</f>
        <v>7.4152776132330789E-2</v>
      </c>
      <c r="O37" s="27">
        <f>(Table2[[#This Row],[infection percentage, low end of estimate range]]+Table2[[#This Row],[infection percentage, high end of estimate range]])/2</f>
        <v>9.1455090563207969E-2</v>
      </c>
      <c r="P37" s="3">
        <f>$T$6/(Table2[[#This Row],[cases]]*5)</f>
        <v>14.145809552418143</v>
      </c>
      <c r="Q37" s="3">
        <f>$T$6/(Table2[[#This Row],[cases]]*7)</f>
        <v>10.104149680298674</v>
      </c>
      <c r="R37" s="3">
        <f>Table2[[#This Row],[1-in-X odds, estimating 5x cases infected]]-Table2[[#This Row],[1-in-X odds, estimating 7x cases infected]]</f>
        <v>4.0416598721194692</v>
      </c>
      <c r="S37" s="3">
        <f>(Table2[[#This Row],[1-in-X odds, estimating 5x cases infected]]+Table2[[#This Row],[1-in-X odds, estimating 7x cases infected]])/2</f>
        <v>12.124979616358409</v>
      </c>
      <c r="V37" s="31"/>
    </row>
    <row r="38" spans="1:22" x14ac:dyDescent="0.2">
      <c r="A38" s="8">
        <v>43946</v>
      </c>
      <c r="B38" s="56">
        <v>6710</v>
      </c>
      <c r="C38" s="71">
        <f>Table2[[#This Row],[cases]]/$B$2</f>
        <v>1.424888620852215E-2</v>
      </c>
      <c r="D38" s="26">
        <f>(Table2[[#This Row],[cases]]-B37)/B37</f>
        <v>7.8101531991589066E-3</v>
      </c>
      <c r="E38" s="38">
        <f t="shared" si="11"/>
        <v>89.095622829796753</v>
      </c>
      <c r="F38" s="81">
        <f>Table2[[#This Row],[cases]]*100/$T$19</f>
        <v>55916.666666666664</v>
      </c>
      <c r="G38" s="35">
        <f>Table2[[#This Row],[cases]]*100/$T$13</f>
        <v>25807.692307692309</v>
      </c>
      <c r="H38" s="35">
        <f>Table2[[#This Row],[cases]]*100/$T$16</f>
        <v>61000</v>
      </c>
      <c r="I38" s="35">
        <f>Table2[[#This Row],[infection count, high end of estimate range]]-Table2[[#This Row],[infection count, low end of estimate range]]</f>
        <v>35192.307692307688</v>
      </c>
      <c r="J38" s="35">
        <f>(Table2[[#This Row],[infection count, low end of estimate range]]+Table2[[#This Row],[infection count, high end of estimate range]])/2</f>
        <v>43403.846153846156</v>
      </c>
      <c r="K38" s="26">
        <f>Table2[[#This Row],[estimated infections]]/$T$6</f>
        <v>0.11874071840435126</v>
      </c>
      <c r="L38" s="27">
        <f>Table2[[#This Row],[infection count, low end of estimate range]]/$T$6</f>
        <v>5.4803408494315968E-2</v>
      </c>
      <c r="M38" s="27">
        <f>Table2[[#This Row],[infection count, high end of estimate range]]/$T$6</f>
        <v>0.12953532916838317</v>
      </c>
      <c r="N38" s="15">
        <f>Table2[[#This Row],[infection percentage, high end of estimate range]]-Table2[[#This Row],[infection percentage, low end of estimate range]]</f>
        <v>7.4731920674067198E-2</v>
      </c>
      <c r="O38" s="27">
        <f>(Table2[[#This Row],[infection percentage, low end of estimate range]]+Table2[[#This Row],[infection percentage, high end of estimate range]])/2</f>
        <v>9.2169368831349574E-2</v>
      </c>
      <c r="P38" s="3">
        <f>$T$6/(Table2[[#This Row],[cases]]*5)</f>
        <v>14.036184798807749</v>
      </c>
      <c r="Q38" s="3">
        <f>$T$6/(Table2[[#This Row],[cases]]*7)</f>
        <v>10.025846284862679</v>
      </c>
      <c r="R38" s="3">
        <f>Table2[[#This Row],[1-in-X odds, estimating 5x cases infected]]-Table2[[#This Row],[1-in-X odds, estimating 7x cases infected]]</f>
        <v>4.0103385139450705</v>
      </c>
      <c r="S38" s="3">
        <f>(Table2[[#This Row],[1-in-X odds, estimating 5x cases infected]]+Table2[[#This Row],[1-in-X odds, estimating 7x cases infected]])/2</f>
        <v>12.031015541835213</v>
      </c>
      <c r="V38" s="31"/>
    </row>
    <row r="39" spans="1:22" x14ac:dyDescent="0.2">
      <c r="A39" s="8">
        <v>43947</v>
      </c>
      <c r="B39" s="56">
        <v>7001</v>
      </c>
      <c r="C39" s="71">
        <f>Table2[[#This Row],[cases]]/$B$2</f>
        <v>1.486683343455493E-2</v>
      </c>
      <c r="D39" s="26">
        <f>(Table2[[#This Row],[cases]]-B38)/B38</f>
        <v>4.3368107302533529E-2</v>
      </c>
      <c r="E39" s="38">
        <f t="shared" si="11"/>
        <v>16.326999709277924</v>
      </c>
      <c r="F39" s="81">
        <f>Table2[[#This Row],[cases]]*100/$T$19</f>
        <v>58341.666666666664</v>
      </c>
      <c r="G39" s="35">
        <f>Table2[[#This Row],[cases]]*100/$T$13</f>
        <v>26926.923076923078</v>
      </c>
      <c r="H39" s="35">
        <f>Table2[[#This Row],[cases]]*100/$T$16</f>
        <v>63645.454545454544</v>
      </c>
      <c r="I39" s="35">
        <f>Table2[[#This Row],[infection count, high end of estimate range]]-Table2[[#This Row],[infection count, low end of estimate range]]</f>
        <v>36718.531468531466</v>
      </c>
      <c r="J39" s="35">
        <f>(Table2[[#This Row],[infection count, low end of estimate range]]+Table2[[#This Row],[infection count, high end of estimate range]])/2</f>
        <v>45286.188811188811</v>
      </c>
      <c r="K39" s="26">
        <f>Table2[[#This Row],[estimated infections]]/$T$6</f>
        <v>0.12389027862129107</v>
      </c>
      <c r="L39" s="27">
        <f>Table2[[#This Row],[infection count, low end of estimate range]]/$T$6</f>
        <v>5.7180128594442041E-2</v>
      </c>
      <c r="M39" s="27">
        <f>Table2[[#This Row],[infection count, high end of estimate range]]/$T$6</f>
        <v>0.13515303122322664</v>
      </c>
      <c r="N39" s="15">
        <f>Table2[[#This Row],[infection percentage, high end of estimate range]]-Table2[[#This Row],[infection percentage, low end of estimate range]]</f>
        <v>7.7972902628784591E-2</v>
      </c>
      <c r="O39" s="27">
        <f>(Table2[[#This Row],[infection percentage, low end of estimate range]]+Table2[[#This Row],[infection percentage, high end of estimate range]])/2</f>
        <v>9.6166579908834343E-2</v>
      </c>
      <c r="P39" s="3">
        <f>$T$6/(Table2[[#This Row],[cases]]*5)</f>
        <v>13.452763890872733</v>
      </c>
      <c r="Q39" s="3">
        <f>$T$6/(Table2[[#This Row],[cases]]*7)</f>
        <v>9.6091170649090945</v>
      </c>
      <c r="R39" s="3">
        <f>Table2[[#This Row],[1-in-X odds, estimating 5x cases infected]]-Table2[[#This Row],[1-in-X odds, estimating 7x cases infected]]</f>
        <v>3.8436468259636385</v>
      </c>
      <c r="S39" s="3">
        <f>(Table2[[#This Row],[1-in-X odds, estimating 5x cases infected]]+Table2[[#This Row],[1-in-X odds, estimating 7x cases infected]])/2</f>
        <v>11.530940477890914</v>
      </c>
      <c r="V39" s="31"/>
    </row>
    <row r="40" spans="1:22" x14ac:dyDescent="0.2">
      <c r="A40" s="8">
        <v>43948</v>
      </c>
      <c r="B40" s="56">
        <v>7159</v>
      </c>
      <c r="C40" s="71">
        <f>Table2[[#This Row],[cases]]/$B$2</f>
        <v>1.5202351172400905E-2</v>
      </c>
      <c r="D40" s="26">
        <f>(Table2[[#This Row],[cases]]-B39)/B39</f>
        <v>2.2568204542208255E-2</v>
      </c>
      <c r="E40" s="38">
        <f t="shared" si="11"/>
        <v>31.058723813341835</v>
      </c>
      <c r="F40" s="81">
        <f>Table2[[#This Row],[cases]]*100/$T$19</f>
        <v>59658.333333333336</v>
      </c>
      <c r="G40" s="35">
        <f>Table2[[#This Row],[cases]]*100/$T$13</f>
        <v>27534.615384615383</v>
      </c>
      <c r="H40" s="35">
        <f>Table2[[#This Row],[cases]]*100/$T$16</f>
        <v>65081.818181818184</v>
      </c>
      <c r="I40" s="35">
        <f>Table2[[#This Row],[infection count, high end of estimate range]]-Table2[[#This Row],[infection count, low end of estimate range]]</f>
        <v>37547.202797202801</v>
      </c>
      <c r="J40" s="35">
        <f>(Table2[[#This Row],[infection count, low end of estimate range]]+Table2[[#This Row],[infection count, high end of estimate range]])/2</f>
        <v>46308.216783216783</v>
      </c>
      <c r="K40" s="26">
        <f>Table2[[#This Row],[estimated infections]]/$T$6</f>
        <v>0.12668625977000755</v>
      </c>
      <c r="L40" s="27">
        <f>Table2[[#This Row],[infection count, low end of estimate range]]/$T$6</f>
        <v>5.8470581432311174E-2</v>
      </c>
      <c r="M40" s="27">
        <f>Table2[[#This Row],[infection count, high end of estimate range]]/$T$6</f>
        <v>0.13820319247637186</v>
      </c>
      <c r="N40" s="15">
        <f>Table2[[#This Row],[infection percentage, high end of estimate range]]-Table2[[#This Row],[infection percentage, low end of estimate range]]</f>
        <v>7.9732611044060681E-2</v>
      </c>
      <c r="O40" s="27">
        <f>(Table2[[#This Row],[infection percentage, low end of estimate range]]+Table2[[#This Row],[infection percentage, high end of estimate range]])/2</f>
        <v>9.8336886954341521E-2</v>
      </c>
      <c r="P40" s="3">
        <f>$T$6/(Table2[[#This Row],[cases]]*5)</f>
        <v>13.155859756949294</v>
      </c>
      <c r="Q40" s="3">
        <f>$T$6/(Table2[[#This Row],[cases]]*7)</f>
        <v>9.3970426835352097</v>
      </c>
      <c r="R40" s="3">
        <f>Table2[[#This Row],[1-in-X odds, estimating 5x cases infected]]-Table2[[#This Row],[1-in-X odds, estimating 7x cases infected]]</f>
        <v>3.7588170734140842</v>
      </c>
      <c r="S40" s="3">
        <f>(Table2[[#This Row],[1-in-X odds, estimating 5x cases infected]]+Table2[[#This Row],[1-in-X odds, estimating 7x cases infected]])/2</f>
        <v>11.276451220242251</v>
      </c>
      <c r="V40" s="31"/>
    </row>
    <row r="41" spans="1:22" x14ac:dyDescent="0.2">
      <c r="A41" s="8">
        <v>43949</v>
      </c>
      <c r="B41" s="56">
        <v>7364</v>
      </c>
      <c r="C41" s="71">
        <f>Table2[[#This Row],[cases]]/$B$2</f>
        <v>1.5637674819606127E-2</v>
      </c>
      <c r="D41" s="26">
        <f>(Table2[[#This Row],[cases]]-B40)/B40</f>
        <v>2.8635284257577873E-2</v>
      </c>
      <c r="E41" s="38">
        <f t="shared" si="11"/>
        <v>24.550994839858753</v>
      </c>
      <c r="F41" s="81">
        <f>Table2[[#This Row],[cases]]*100/$T$19</f>
        <v>61366.666666666664</v>
      </c>
      <c r="G41" s="35">
        <f>Table2[[#This Row],[cases]]*100/$T$13</f>
        <v>28323.076923076922</v>
      </c>
      <c r="H41" s="35">
        <f>Table2[[#This Row],[cases]]*100/$T$16</f>
        <v>66945.454545454544</v>
      </c>
      <c r="I41" s="35">
        <f>Table2[[#This Row],[infection count, high end of estimate range]]-Table2[[#This Row],[infection count, low end of estimate range]]</f>
        <v>38622.377622377622</v>
      </c>
      <c r="J41" s="35">
        <f>(Table2[[#This Row],[infection count, low end of estimate range]]+Table2[[#This Row],[infection count, high end of estimate range]])/2</f>
        <v>47634.265734265733</v>
      </c>
      <c r="K41" s="26">
        <f>Table2[[#This Row],[estimated infections]]/$T$6</f>
        <v>0.13031395683005106</v>
      </c>
      <c r="L41" s="27">
        <f>Table2[[#This Row],[infection count, low end of estimate range]]/$T$6</f>
        <v>6.0144903152331258E-2</v>
      </c>
      <c r="M41" s="27">
        <f>Table2[[#This Row],[infection count, high end of estimate range]]/$T$6</f>
        <v>0.14216068017823752</v>
      </c>
      <c r="N41" s="15">
        <f>Table2[[#This Row],[infection percentage, high end of estimate range]]-Table2[[#This Row],[infection percentage, low end of estimate range]]</f>
        <v>8.2015777025906261E-2</v>
      </c>
      <c r="O41" s="27">
        <f>(Table2[[#This Row],[infection percentage, low end of estimate range]]+Table2[[#This Row],[infection percentage, high end of estimate range]])/2</f>
        <v>0.10115279166528439</v>
      </c>
      <c r="P41" s="3">
        <f>$T$6/(Table2[[#This Row],[cases]]*5)</f>
        <v>12.789625203693644</v>
      </c>
      <c r="Q41" s="3">
        <f>$T$6/(Table2[[#This Row],[cases]]*7)</f>
        <v>9.13544657406689</v>
      </c>
      <c r="R41" s="3">
        <f>Table2[[#This Row],[1-in-X odds, estimating 5x cases infected]]-Table2[[#This Row],[1-in-X odds, estimating 7x cases infected]]</f>
        <v>3.6541786296267542</v>
      </c>
      <c r="S41" s="3">
        <f>(Table2[[#This Row],[1-in-X odds, estimating 5x cases infected]]+Table2[[#This Row],[1-in-X odds, estimating 7x cases infected]])/2</f>
        <v>10.962535888880268</v>
      </c>
      <c r="V41" s="31"/>
    </row>
    <row r="42" spans="1:22" x14ac:dyDescent="0.2">
      <c r="A42" s="8">
        <v>43950</v>
      </c>
      <c r="B42" s="56">
        <v>7418</v>
      </c>
      <c r="C42" s="71">
        <f>Table2[[#This Row],[cases]]/$B$2</f>
        <v>1.5752345438869941E-2</v>
      </c>
      <c r="D42" s="26">
        <f>(Table2[[#This Row],[cases]]-B41)/B41</f>
        <v>7.3329712112982079E-3</v>
      </c>
      <c r="E42" s="38">
        <f t="shared" si="11"/>
        <v>94.870889301226129</v>
      </c>
      <c r="F42" s="81">
        <f>Table2[[#This Row],[cases]]*100/$T$19</f>
        <v>61816.666666666664</v>
      </c>
      <c r="G42" s="35">
        <f>Table2[[#This Row],[cases]]*100/$T$13</f>
        <v>28530.76923076923</v>
      </c>
      <c r="H42" s="35">
        <f>Table2[[#This Row],[cases]]*100/$T$16</f>
        <v>67436.363636363632</v>
      </c>
      <c r="I42" s="35">
        <f>Table2[[#This Row],[infection count, high end of estimate range]]-Table2[[#This Row],[infection count, low end of estimate range]]</f>
        <v>38905.594405594398</v>
      </c>
      <c r="J42" s="35">
        <f>(Table2[[#This Row],[infection count, low end of estimate range]]+Table2[[#This Row],[infection count, high end of estimate range]])/2</f>
        <v>47983.566433566433</v>
      </c>
      <c r="K42" s="26">
        <f>Table2[[#This Row],[estimated infections]]/$T$6</f>
        <v>0.13126954532391619</v>
      </c>
      <c r="L42" s="27">
        <f>Table2[[#This Row],[infection count, low end of estimate range]]/$T$6</f>
        <v>6.0585943995653625E-2</v>
      </c>
      <c r="M42" s="27">
        <f>Table2[[#This Row],[infection count, high end of estimate range]]/$T$6</f>
        <v>0.1432031403533631</v>
      </c>
      <c r="N42" s="15">
        <f>Table2[[#This Row],[infection percentage, high end of estimate range]]-Table2[[#This Row],[infection percentage, low end of estimate range]]</f>
        <v>8.2617196357709477E-2</v>
      </c>
      <c r="O42" s="27">
        <f>(Table2[[#This Row],[infection percentage, low end of estimate range]]+Table2[[#This Row],[infection percentage, high end of estimate range]])/2</f>
        <v>0.10189454217450836</v>
      </c>
      <c r="P42" s="3">
        <f>$T$6/(Table2[[#This Row],[cases]]*5)</f>
        <v>12.696521973577784</v>
      </c>
      <c r="Q42" s="3">
        <f>$T$6/(Table2[[#This Row],[cases]]*7)</f>
        <v>9.0689442668412745</v>
      </c>
      <c r="R42" s="3">
        <f>Table2[[#This Row],[1-in-X odds, estimating 5x cases infected]]-Table2[[#This Row],[1-in-X odds, estimating 7x cases infected]]</f>
        <v>3.6275777067365098</v>
      </c>
      <c r="S42" s="3">
        <f>(Table2[[#This Row],[1-in-X odds, estimating 5x cases infected]]+Table2[[#This Row],[1-in-X odds, estimating 7x cases infected]])/2</f>
        <v>10.882733120209529</v>
      </c>
      <c r="V42" s="31"/>
    </row>
    <row r="43" spans="1:22" x14ac:dyDescent="0.2">
      <c r="A43" s="8">
        <v>43951</v>
      </c>
      <c r="B43" s="56">
        <v>7490</v>
      </c>
      <c r="C43" s="71">
        <f>Table2[[#This Row],[cases]]/$B$2</f>
        <v>1.5905239597888362E-2</v>
      </c>
      <c r="D43" s="26">
        <f>(Table2[[#This Row],[cases]]-B42)/B42</f>
        <v>9.7061202480452947E-3</v>
      </c>
      <c r="E43" s="38">
        <f t="shared" si="11"/>
        <v>71.759429333057724</v>
      </c>
      <c r="F43" s="81">
        <f>Table2[[#This Row],[cases]]*100/$T$19</f>
        <v>62416.666666666664</v>
      </c>
      <c r="G43" s="35">
        <f>Table2[[#This Row],[cases]]*100/$T$13</f>
        <v>28807.692307692309</v>
      </c>
      <c r="H43" s="35">
        <f>Table2[[#This Row],[cases]]*100/$T$16</f>
        <v>68090.909090909088</v>
      </c>
      <c r="I43" s="35">
        <f>Table2[[#This Row],[infection count, high end of estimate range]]-Table2[[#This Row],[infection count, low end of estimate range]]</f>
        <v>39283.216783216776</v>
      </c>
      <c r="J43" s="35">
        <f>(Table2[[#This Row],[infection count, low end of estimate range]]+Table2[[#This Row],[infection count, high end of estimate range]])/2</f>
        <v>48449.3006993007</v>
      </c>
      <c r="K43" s="26">
        <f>Table2[[#This Row],[estimated infections]]/$T$6</f>
        <v>0.13254366331573633</v>
      </c>
      <c r="L43" s="27">
        <f>Table2[[#This Row],[infection count, low end of estimate range]]/$T$6</f>
        <v>6.1173998453416777E-2</v>
      </c>
      <c r="M43" s="27">
        <f>Table2[[#This Row],[infection count, high end of estimate range]]/$T$6</f>
        <v>0.14459308725353057</v>
      </c>
      <c r="N43" s="15">
        <f>Table2[[#This Row],[infection percentage, high end of estimate range]]-Table2[[#This Row],[infection percentage, low end of estimate range]]</f>
        <v>8.3419088800113783E-2</v>
      </c>
      <c r="O43" s="27">
        <f>(Table2[[#This Row],[infection percentage, low end of estimate range]]+Table2[[#This Row],[infection percentage, high end of estimate range]])/2</f>
        <v>0.10288354285347368</v>
      </c>
      <c r="P43" s="3">
        <f>$T$6/(Table2[[#This Row],[cases]]*5)</f>
        <v>12.574472630173565</v>
      </c>
      <c r="Q43" s="3">
        <f>$T$6/(Table2[[#This Row],[cases]]*7)</f>
        <v>8.9817661644096898</v>
      </c>
      <c r="R43" s="3">
        <f>Table2[[#This Row],[1-in-X odds, estimating 5x cases infected]]-Table2[[#This Row],[1-in-X odds, estimating 7x cases infected]]</f>
        <v>3.5927064657638752</v>
      </c>
      <c r="S43" s="3">
        <f>(Table2[[#This Row],[1-in-X odds, estimating 5x cases infected]]+Table2[[#This Row],[1-in-X odds, estimating 7x cases infected]])/2</f>
        <v>10.778119397291627</v>
      </c>
      <c r="V43" s="31"/>
    </row>
    <row r="44" spans="1:22" x14ac:dyDescent="0.2">
      <c r="A44" s="8">
        <v>43952</v>
      </c>
      <c r="B44" s="56">
        <v>7685</v>
      </c>
      <c r="C44" s="71">
        <f>Table2[[#This Row],[cases]]/$B$2</f>
        <v>1.6319327945229913E-2</v>
      </c>
      <c r="D44" s="26">
        <f>(Table2[[#This Row],[cases]]-B43)/B43</f>
        <v>2.6034712950600801E-2</v>
      </c>
      <c r="E44" s="38">
        <f t="shared" si="11"/>
        <v>26.969049960532978</v>
      </c>
      <c r="F44" s="81">
        <f>Table2[[#This Row],[cases]]*100/$T$19</f>
        <v>64041.666666666664</v>
      </c>
      <c r="G44" s="35">
        <f>Table2[[#This Row],[cases]]*100/$T$13</f>
        <v>29557.692307692309</v>
      </c>
      <c r="H44" s="35">
        <f>Table2[[#This Row],[cases]]*100/$T$16</f>
        <v>69863.636363636368</v>
      </c>
      <c r="I44" s="35">
        <f>Table2[[#This Row],[infection count, high end of estimate range]]-Table2[[#This Row],[infection count, low end of estimate range]]</f>
        <v>40305.944055944055</v>
      </c>
      <c r="J44" s="35">
        <f>(Table2[[#This Row],[infection count, low end of estimate range]]+Table2[[#This Row],[infection count, high end of estimate range]])/2</f>
        <v>49710.66433566434</v>
      </c>
      <c r="K44" s="26">
        <f>Table2[[#This Row],[estimated infections]]/$T$6</f>
        <v>0.13599439954358261</v>
      </c>
      <c r="L44" s="27">
        <f>Table2[[#This Row],[infection count, low end of estimate range]]/$T$6</f>
        <v>6.2766645943191979E-2</v>
      </c>
      <c r="M44" s="27">
        <f>Table2[[#This Row],[infection count, high end of estimate range]]/$T$6</f>
        <v>0.14835752677481742</v>
      </c>
      <c r="N44" s="15">
        <f>Table2[[#This Row],[infection percentage, high end of estimate range]]-Table2[[#This Row],[infection percentage, low end of estimate range]]</f>
        <v>8.5590880831625443E-2</v>
      </c>
      <c r="O44" s="27">
        <f>(Table2[[#This Row],[infection percentage, low end of estimate range]]+Table2[[#This Row],[infection percentage, high end of estimate range]])/2</f>
        <v>0.1055620863590047</v>
      </c>
      <c r="P44" s="3">
        <f>$T$6/(Table2[[#This Row],[cases]]*5)</f>
        <v>12.255406636304489</v>
      </c>
      <c r="Q44" s="3">
        <f>$T$6/(Table2[[#This Row],[cases]]*7)</f>
        <v>8.7538618830746344</v>
      </c>
      <c r="R44" s="3">
        <f>Table2[[#This Row],[1-in-X odds, estimating 5x cases infected]]-Table2[[#This Row],[1-in-X odds, estimating 7x cases infected]]</f>
        <v>3.5015447532298545</v>
      </c>
      <c r="S44" s="3">
        <f>(Table2[[#This Row],[1-in-X odds, estimating 5x cases infected]]+Table2[[#This Row],[1-in-X odds, estimating 7x cases infected]])/2</f>
        <v>10.504634259689562</v>
      </c>
      <c r="V44" s="31"/>
    </row>
    <row r="45" spans="1:22" x14ac:dyDescent="0.2">
      <c r="A45" s="8">
        <v>43953</v>
      </c>
      <c r="B45" s="56">
        <v>7836</v>
      </c>
      <c r="C45" s="71">
        <f>Table2[[#This Row],[cases]]/$B$2</f>
        <v>1.6639980973171323E-2</v>
      </c>
      <c r="D45" s="26">
        <f>(Table2[[#This Row],[cases]]-B44)/B44</f>
        <v>1.9648666232921275E-2</v>
      </c>
      <c r="E45" s="38">
        <f t="shared" ref="E45:E54" si="12">(LN(2)/LN(B45/B44))</f>
        <v>35.622509801798749</v>
      </c>
      <c r="F45" s="81">
        <f>Table2[[#This Row],[cases]]*100/$T$19</f>
        <v>65300</v>
      </c>
      <c r="G45" s="35">
        <f>Table2[[#This Row],[cases]]*100/$T$13</f>
        <v>30138.461538461539</v>
      </c>
      <c r="H45" s="35">
        <f>Table2[[#This Row],[cases]]*100/$T$16</f>
        <v>71236.363636363632</v>
      </c>
      <c r="I45" s="35">
        <f>Table2[[#This Row],[infection count, high end of estimate range]]-Table2[[#This Row],[infection count, low end of estimate range]]</f>
        <v>41097.902097902093</v>
      </c>
      <c r="J45" s="35">
        <f>(Table2[[#This Row],[infection count, low end of estimate range]]+Table2[[#This Row],[infection count, high end of estimate range]])/2</f>
        <v>50687.412587412589</v>
      </c>
      <c r="K45" s="26">
        <f>Table2[[#This Row],[estimated infections]]/$T$6</f>
        <v>0.13866650810976103</v>
      </c>
      <c r="L45" s="27">
        <f>Table2[[#This Row],[infection count, low end of estimate range]]/$T$6</f>
        <v>6.3999926819889696E-2</v>
      </c>
      <c r="M45" s="27">
        <f>Table2[[#This Row],[infection count, high end of estimate range]]/$T$6</f>
        <v>0.15127255430155748</v>
      </c>
      <c r="N45" s="15">
        <f>Table2[[#This Row],[infection percentage, high end of estimate range]]-Table2[[#This Row],[infection percentage, low end of estimate range]]</f>
        <v>8.7272627481667781E-2</v>
      </c>
      <c r="O45" s="27">
        <f>(Table2[[#This Row],[infection percentage, low end of estimate range]]+Table2[[#This Row],[infection percentage, high end of estimate range]])/2</f>
        <v>0.10763624056072359</v>
      </c>
      <c r="P45" s="3">
        <f>$T$6/(Table2[[#This Row],[cases]]*5)</f>
        <v>12.019244512506381</v>
      </c>
      <c r="Q45" s="3">
        <f>$T$6/(Table2[[#This Row],[cases]]*7)</f>
        <v>8.5851746517902718</v>
      </c>
      <c r="R45" s="3">
        <f>Table2[[#This Row],[1-in-X odds, estimating 5x cases infected]]-Table2[[#This Row],[1-in-X odds, estimating 7x cases infected]]</f>
        <v>3.4340698607161091</v>
      </c>
      <c r="S45" s="3">
        <f>(Table2[[#This Row],[1-in-X odds, estimating 5x cases infected]]+Table2[[#This Row],[1-in-X odds, estimating 7x cases infected]])/2</f>
        <v>10.302209582148325</v>
      </c>
      <c r="V45" s="31"/>
    </row>
    <row r="46" spans="1:22" x14ac:dyDescent="0.2">
      <c r="A46" s="8">
        <v>43954</v>
      </c>
      <c r="B46" s="56">
        <v>7928</v>
      </c>
      <c r="C46" s="71">
        <f>Table2[[#This Row],[cases]]/$B$2</f>
        <v>1.6835345731917081E-2</v>
      </c>
      <c r="D46" s="26">
        <f>(Table2[[#This Row],[cases]]-B45)/B45</f>
        <v>1.1740684022460439E-2</v>
      </c>
      <c r="E46" s="38">
        <f t="shared" si="12"/>
        <v>59.383957056845482</v>
      </c>
      <c r="F46" s="81">
        <f>Table2[[#This Row],[cases]]*100/$T$19</f>
        <v>66066.666666666672</v>
      </c>
      <c r="G46" s="35">
        <f>Table2[[#This Row],[cases]]*100/$T$13</f>
        <v>30492.307692307691</v>
      </c>
      <c r="H46" s="35">
        <f>Table2[[#This Row],[cases]]*100/$T$16</f>
        <v>72072.727272727279</v>
      </c>
      <c r="I46" s="35">
        <f>Table2[[#This Row],[infection count, high end of estimate range]]-Table2[[#This Row],[infection count, low end of estimate range]]</f>
        <v>41580.419580419592</v>
      </c>
      <c r="J46" s="35">
        <f>(Table2[[#This Row],[infection count, low end of estimate range]]+Table2[[#This Row],[infection count, high end of estimate range]])/2</f>
        <v>51282.517482517484</v>
      </c>
      <c r="K46" s="26">
        <f>Table2[[#This Row],[estimated infections]]/$T$6</f>
        <v>0.14029454776597569</v>
      </c>
      <c r="L46" s="27">
        <f>Table2[[#This Row],[infection count, low end of estimate range]]/$T$6</f>
        <v>6.4751329738142613E-2</v>
      </c>
      <c r="M46" s="27">
        <f>Table2[[#This Row],[infection count, high end of estimate range]]/$T$6</f>
        <v>0.15304859756288255</v>
      </c>
      <c r="N46" s="15">
        <f>Table2[[#This Row],[infection percentage, high end of estimate range]]-Table2[[#This Row],[infection percentage, low end of estimate range]]</f>
        <v>8.8297267824739942E-2</v>
      </c>
      <c r="O46" s="27">
        <f>(Table2[[#This Row],[infection percentage, low end of estimate range]]+Table2[[#This Row],[infection percentage, high end of estimate range]])/2</f>
        <v>0.10889996365051258</v>
      </c>
      <c r="P46" s="3">
        <f>$T$6/(Table2[[#This Row],[cases]]*5)</f>
        <v>11.879767911200807</v>
      </c>
      <c r="Q46" s="3">
        <f>$T$6/(Table2[[#This Row],[cases]]*7)</f>
        <v>8.4855485080005764</v>
      </c>
      <c r="R46" s="3">
        <f>Table2[[#This Row],[1-in-X odds, estimating 5x cases infected]]-Table2[[#This Row],[1-in-X odds, estimating 7x cases infected]]</f>
        <v>3.3942194032002302</v>
      </c>
      <c r="S46" s="3">
        <f>(Table2[[#This Row],[1-in-X odds, estimating 5x cases infected]]+Table2[[#This Row],[1-in-X odds, estimating 7x cases infected]])/2</f>
        <v>10.182658209600692</v>
      </c>
      <c r="V46" s="31"/>
    </row>
    <row r="47" spans="1:22" x14ac:dyDescent="0.2">
      <c r="A47" s="8">
        <v>43955</v>
      </c>
      <c r="B47" s="56">
        <v>8166</v>
      </c>
      <c r="C47" s="71">
        <f>Table2[[#This Row],[cases]]/$B$2</f>
        <v>1.7340745868672413E-2</v>
      </c>
      <c r="D47" s="26">
        <f>(Table2[[#This Row],[cases]]-B46)/B46</f>
        <v>3.0020181634712411E-2</v>
      </c>
      <c r="E47" s="38">
        <f t="shared" si="12"/>
        <v>23.434238408786449</v>
      </c>
      <c r="F47" s="81">
        <f>Table2[[#This Row],[cases]]*100/$T$19</f>
        <v>68050</v>
      </c>
      <c r="G47" s="35">
        <f>Table2[[#This Row],[cases]]*100/$T$13</f>
        <v>31407.692307692309</v>
      </c>
      <c r="H47" s="35">
        <f>Table2[[#This Row],[cases]]*100/$T$16</f>
        <v>74236.363636363632</v>
      </c>
      <c r="I47" s="35">
        <f>Table2[[#This Row],[infection count, high end of estimate range]]-Table2[[#This Row],[infection count, low end of estimate range]]</f>
        <v>42828.67132867132</v>
      </c>
      <c r="J47" s="35">
        <f>(Table2[[#This Row],[infection count, low end of estimate range]]+Table2[[#This Row],[infection count, high end of estimate range]])/2</f>
        <v>52822.027972027972</v>
      </c>
      <c r="K47" s="26">
        <f>Table2[[#This Row],[estimated infections]]/$T$6</f>
        <v>0.14450621557227009</v>
      </c>
      <c r="L47" s="27">
        <f>Table2[[#This Row],[infection count, low end of estimate range]]/$T$6</f>
        <v>6.669517641797082E-2</v>
      </c>
      <c r="M47" s="27">
        <f>Table2[[#This Row],[infection count, high end of estimate range]]/$T$6</f>
        <v>0.15764314426065829</v>
      </c>
      <c r="N47" s="15">
        <f>Table2[[#This Row],[infection percentage, high end of estimate range]]-Table2[[#This Row],[infection percentage, low end of estimate range]]</f>
        <v>9.0947967842687466E-2</v>
      </c>
      <c r="O47" s="27">
        <f>(Table2[[#This Row],[infection percentage, low end of estimate range]]+Table2[[#This Row],[infection percentage, high end of estimate range]])/2</f>
        <v>0.11216916033931455</v>
      </c>
      <c r="P47" s="3">
        <f>$T$6/(Table2[[#This Row],[cases]]*5)</f>
        <v>11.533529267695322</v>
      </c>
      <c r="Q47" s="3">
        <f>$T$6/(Table2[[#This Row],[cases]]*7)</f>
        <v>8.2382351912109435</v>
      </c>
      <c r="R47" s="3">
        <f>Table2[[#This Row],[1-in-X odds, estimating 5x cases infected]]-Table2[[#This Row],[1-in-X odds, estimating 7x cases infected]]</f>
        <v>3.2952940764843781</v>
      </c>
      <c r="S47" s="3">
        <f>(Table2[[#This Row],[1-in-X odds, estimating 5x cases infected]]+Table2[[#This Row],[1-in-X odds, estimating 7x cases infected]])/2</f>
        <v>9.8858822294531326</v>
      </c>
      <c r="V47" s="31"/>
    </row>
    <row r="48" spans="1:22" x14ac:dyDescent="0.2">
      <c r="A48" s="8">
        <v>43956</v>
      </c>
      <c r="B48" s="56">
        <v>8275</v>
      </c>
      <c r="C48" s="71">
        <f>Table2[[#This Row],[cases]]/$B$2</f>
        <v>1.7572210637186409E-2</v>
      </c>
      <c r="D48" s="26">
        <f>(Table2[[#This Row],[cases]]-B47)/B47</f>
        <v>1.3348028410482488E-2</v>
      </c>
      <c r="E48" s="38">
        <f t="shared" si="12"/>
        <v>52.274613886566158</v>
      </c>
      <c r="F48" s="81">
        <f>Table2[[#This Row],[cases]]*100/$T$19</f>
        <v>68958.333333333328</v>
      </c>
      <c r="G48" s="35">
        <f>Table2[[#This Row],[cases]]*100/$T$13</f>
        <v>31826.923076923078</v>
      </c>
      <c r="H48" s="35">
        <f>Table2[[#This Row],[cases]]*100/$T$16</f>
        <v>75227.272727272721</v>
      </c>
      <c r="I48" s="35">
        <f>Table2[[#This Row],[infection count, high end of estimate range]]-Table2[[#This Row],[infection count, low end of estimate range]]</f>
        <v>43400.349650349643</v>
      </c>
      <c r="J48" s="35">
        <f>(Table2[[#This Row],[infection count, low end of estimate range]]+Table2[[#This Row],[infection count, high end of estimate range]])/2</f>
        <v>53527.097902097899</v>
      </c>
      <c r="K48" s="26">
        <f>Table2[[#This Row],[estimated infections]]/$T$6</f>
        <v>0.14643508864322005</v>
      </c>
      <c r="L48" s="27">
        <f>Table2[[#This Row],[infection count, low end of estimate range]]/$T$6</f>
        <v>6.7585425527640033E-2</v>
      </c>
      <c r="M48" s="27">
        <f>Table2[[#This Row],[infection count, high end of estimate range]]/$T$6</f>
        <v>0.15974736942896733</v>
      </c>
      <c r="N48" s="15">
        <f>Table2[[#This Row],[infection percentage, high end of estimate range]]-Table2[[#This Row],[infection percentage, low end of estimate range]]</f>
        <v>9.2161943901327301E-2</v>
      </c>
      <c r="O48" s="27">
        <f>(Table2[[#This Row],[infection percentage, low end of estimate range]]+Table2[[#This Row],[infection percentage, high end of estimate range]])/2</f>
        <v>0.11366639747830368</v>
      </c>
      <c r="P48" s="3">
        <f>$T$6/(Table2[[#This Row],[cases]]*5)</f>
        <v>11.381607250755287</v>
      </c>
      <c r="Q48" s="3">
        <f>$T$6/(Table2[[#This Row],[cases]]*7)</f>
        <v>8.1297194648252056</v>
      </c>
      <c r="R48" s="3">
        <f>Table2[[#This Row],[1-in-X odds, estimating 5x cases infected]]-Table2[[#This Row],[1-in-X odds, estimating 7x cases infected]]</f>
        <v>3.2518877859300819</v>
      </c>
      <c r="S48" s="3">
        <f>(Table2[[#This Row],[1-in-X odds, estimating 5x cases infected]]+Table2[[#This Row],[1-in-X odds, estimating 7x cases infected]])/2</f>
        <v>9.7556633577902474</v>
      </c>
      <c r="V48" s="31"/>
    </row>
    <row r="49" spans="1:22" x14ac:dyDescent="0.2">
      <c r="A49" s="8">
        <v>43957</v>
      </c>
      <c r="B49" s="56">
        <v>8386</v>
      </c>
      <c r="C49" s="71">
        <f>Table2[[#This Row],[cases]]/$B$2</f>
        <v>1.7807922465673139E-2</v>
      </c>
      <c r="D49" s="26">
        <f>(Table2[[#This Row],[cases]]-B48)/B48</f>
        <v>1.3413897280966768E-2</v>
      </c>
      <c r="E49" s="38">
        <f t="shared" si="12"/>
        <v>52.019614008401071</v>
      </c>
      <c r="F49" s="81">
        <f>Table2[[#This Row],[cases]]*100/$T$19</f>
        <v>69883.333333333328</v>
      </c>
      <c r="G49" s="35">
        <f>Table2[[#This Row],[cases]]*100/$T$13</f>
        <v>32253.846153846152</v>
      </c>
      <c r="H49" s="35">
        <f>Table2[[#This Row],[cases]]*100/$T$16</f>
        <v>76236.363636363632</v>
      </c>
      <c r="I49" s="35">
        <f>Table2[[#This Row],[infection count, high end of estimate range]]-Table2[[#This Row],[infection count, low end of estimate range]]</f>
        <v>43982.517482517476</v>
      </c>
      <c r="J49" s="35">
        <f>(Table2[[#This Row],[infection count, low end of estimate range]]+Table2[[#This Row],[infection count, high end of estimate range]])/2</f>
        <v>54245.104895104894</v>
      </c>
      <c r="K49" s="26">
        <f>Table2[[#This Row],[estimated infections]]/$T$6</f>
        <v>0.14839935388060946</v>
      </c>
      <c r="L49" s="27">
        <f>Table2[[#This Row],[infection count, low end of estimate range]]/$T$6</f>
        <v>6.8492009483358221E-2</v>
      </c>
      <c r="M49" s="27">
        <f>Table2[[#This Row],[infection count, high end of estimate range]]/$T$6</f>
        <v>0.16189020423339215</v>
      </c>
      <c r="N49" s="15">
        <f>Table2[[#This Row],[infection percentage, high end of estimate range]]-Table2[[#This Row],[infection percentage, low end of estimate range]]</f>
        <v>9.3398194750033928E-2</v>
      </c>
      <c r="O49" s="27">
        <f>(Table2[[#This Row],[infection percentage, low end of estimate range]]+Table2[[#This Row],[infection percentage, high end of estimate range]])/2</f>
        <v>0.11519110685837519</v>
      </c>
      <c r="P49" s="3">
        <f>$T$6/(Table2[[#This Row],[cases]]*5)</f>
        <v>11.230956355831147</v>
      </c>
      <c r="Q49" s="3">
        <f>$T$6/(Table2[[#This Row],[cases]]*7)</f>
        <v>8.0221116827365329</v>
      </c>
      <c r="R49" s="3">
        <f>Table2[[#This Row],[1-in-X odds, estimating 5x cases infected]]-Table2[[#This Row],[1-in-X odds, estimating 7x cases infected]]</f>
        <v>3.2088446730946139</v>
      </c>
      <c r="S49" s="3">
        <f>(Table2[[#This Row],[1-in-X odds, estimating 5x cases infected]]+Table2[[#This Row],[1-in-X odds, estimating 7x cases infected]])/2</f>
        <v>9.6265340192838398</v>
      </c>
      <c r="V49" s="31"/>
    </row>
    <row r="50" spans="1:22" x14ac:dyDescent="0.2">
      <c r="A50" s="8">
        <v>43958</v>
      </c>
      <c r="B50" s="56">
        <v>8532</v>
      </c>
      <c r="C50" s="71">
        <f>Table2[[#This Row],[cases]]/$B$2</f>
        <v>1.8117957843682711E-2</v>
      </c>
      <c r="D50" s="26">
        <f>(Table2[[#This Row],[cases]]-B49)/B49</f>
        <v>1.7409968995945622E-2</v>
      </c>
      <c r="E50" s="38">
        <f t="shared" si="12"/>
        <v>40.158811241103884</v>
      </c>
      <c r="F50" s="81">
        <f>Table2[[#This Row],[cases]]*100/$T$19</f>
        <v>71100</v>
      </c>
      <c r="G50" s="35">
        <f>Table2[[#This Row],[cases]]*100/$T$13</f>
        <v>32815.384615384617</v>
      </c>
      <c r="H50" s="35">
        <f>Table2[[#This Row],[cases]]*100/$T$16</f>
        <v>77563.636363636368</v>
      </c>
      <c r="I50" s="35">
        <f>Table2[[#This Row],[infection count, high end of estimate range]]-Table2[[#This Row],[infection count, low end of estimate range]]</f>
        <v>44748.251748251751</v>
      </c>
      <c r="J50" s="35">
        <f>(Table2[[#This Row],[infection count, low end of estimate range]]+Table2[[#This Row],[infection count, high end of estimate range]])/2</f>
        <v>55189.510489510489</v>
      </c>
      <c r="K50" s="26">
        <f>Table2[[#This Row],[estimated infections]]/$T$6</f>
        <v>0.15098298203068924</v>
      </c>
      <c r="L50" s="27">
        <f>Table2[[#This Row],[infection count, low end of estimate range]]/$T$6</f>
        <v>6.9684453244933511E-2</v>
      </c>
      <c r="M50" s="27">
        <f>Table2[[#This Row],[infection count, high end of estimate range]]/$T$6</f>
        <v>0.16470870766984283</v>
      </c>
      <c r="N50" s="15">
        <f>Table2[[#This Row],[infection percentage, high end of estimate range]]-Table2[[#This Row],[infection percentage, low end of estimate range]]</f>
        <v>9.5024254424909319E-2</v>
      </c>
      <c r="O50" s="27">
        <f>(Table2[[#This Row],[infection percentage, low end of estimate range]]+Table2[[#This Row],[infection percentage, high end of estimate range]])/2</f>
        <v>0.11719658045738818</v>
      </c>
      <c r="P50" s="3">
        <f>$T$6/(Table2[[#This Row],[cases]]*5)</f>
        <v>11.038771683075481</v>
      </c>
      <c r="Q50" s="3">
        <f>$T$6/(Table2[[#This Row],[cases]]*7)</f>
        <v>7.8848369164824863</v>
      </c>
      <c r="R50" s="3">
        <f>Table2[[#This Row],[1-in-X odds, estimating 5x cases infected]]-Table2[[#This Row],[1-in-X odds, estimating 7x cases infected]]</f>
        <v>3.1539347665929949</v>
      </c>
      <c r="S50" s="3">
        <f>(Table2[[#This Row],[1-in-X odds, estimating 5x cases infected]]+Table2[[#This Row],[1-in-X odds, estimating 7x cases infected]])/2</f>
        <v>9.4618042997789829</v>
      </c>
      <c r="V50" s="31"/>
    </row>
    <row r="51" spans="1:22" x14ac:dyDescent="0.2">
      <c r="A51" s="8">
        <v>43959</v>
      </c>
      <c r="B51" s="56">
        <v>8594</v>
      </c>
      <c r="C51" s="71">
        <f>Table2[[#This Row],[cases]]/$B$2</f>
        <v>1.8249616702837462E-2</v>
      </c>
      <c r="D51" s="26">
        <f>(Table2[[#This Row],[cases]]-B50)/B50</f>
        <v>7.266760431317393E-3</v>
      </c>
      <c r="E51" s="38">
        <f t="shared" si="12"/>
        <v>95.732151243481965</v>
      </c>
      <c r="F51" s="81">
        <f>Table2[[#This Row],[cases]]*100/$T$19</f>
        <v>71616.666666666672</v>
      </c>
      <c r="G51" s="35">
        <f>Table2[[#This Row],[cases]]*100/$T$13</f>
        <v>33053.846153846156</v>
      </c>
      <c r="H51" s="35">
        <f>Table2[[#This Row],[cases]]*100/$T$16</f>
        <v>78127.272727272721</v>
      </c>
      <c r="I51" s="35">
        <f>Table2[[#This Row],[infection count, high end of estimate range]]-Table2[[#This Row],[infection count, low end of estimate range]]</f>
        <v>45073.426573426565</v>
      </c>
      <c r="J51" s="35">
        <f>(Table2[[#This Row],[infection count, low end of estimate range]]+Table2[[#This Row],[infection count, high end of estimate range]])/2</f>
        <v>55590.559440559438</v>
      </c>
      <c r="K51" s="26">
        <f>Table2[[#This Row],[estimated infections]]/$T$6</f>
        <v>0.15208013919031219</v>
      </c>
      <c r="L51" s="27">
        <f>Table2[[#This Row],[infection count, low end of estimate range]]/$T$6</f>
        <v>7.019083347245178E-2</v>
      </c>
      <c r="M51" s="27">
        <f>Table2[[#This Row],[infection count, high end of estimate range]]/$T$6</f>
        <v>0.16590560638943144</v>
      </c>
      <c r="N51" s="15">
        <f>Table2[[#This Row],[infection percentage, high end of estimate range]]-Table2[[#This Row],[infection percentage, low end of estimate range]]</f>
        <v>9.5714772916979662E-2</v>
      </c>
      <c r="O51" s="27">
        <f>(Table2[[#This Row],[infection percentage, low end of estimate range]]+Table2[[#This Row],[infection percentage, high end of estimate range]])/2</f>
        <v>0.11804821993094161</v>
      </c>
      <c r="P51" s="3">
        <f>$T$6/(Table2[[#This Row],[cases]]*5)</f>
        <v>10.959134279730044</v>
      </c>
      <c r="Q51" s="3">
        <f>$T$6/(Table2[[#This Row],[cases]]*7)</f>
        <v>7.8279530569500313</v>
      </c>
      <c r="R51" s="3">
        <f>Table2[[#This Row],[1-in-X odds, estimating 5x cases infected]]-Table2[[#This Row],[1-in-X odds, estimating 7x cases infected]]</f>
        <v>3.1311812227800129</v>
      </c>
      <c r="S51" s="3">
        <f>(Table2[[#This Row],[1-in-X odds, estimating 5x cases infected]]+Table2[[#This Row],[1-in-X odds, estimating 7x cases infected]])/2</f>
        <v>9.3935436683400368</v>
      </c>
      <c r="V51" s="31"/>
    </row>
    <row r="52" spans="1:22" x14ac:dyDescent="0.2">
      <c r="A52" s="8">
        <v>43960</v>
      </c>
      <c r="B52" s="56">
        <v>8715</v>
      </c>
      <c r="C52" s="71">
        <f>Table2[[#This Row],[cases]]/$B$2</f>
        <v>1.8506563831187862E-2</v>
      </c>
      <c r="D52" s="26">
        <f>(Table2[[#This Row],[cases]]-B51)/B51</f>
        <v>1.407959041191529E-2</v>
      </c>
      <c r="E52" s="38">
        <f t="shared" si="12"/>
        <v>49.576401282989799</v>
      </c>
      <c r="F52" s="81">
        <f>Table2[[#This Row],[cases]]*100/$T$19</f>
        <v>72625</v>
      </c>
      <c r="G52" s="35">
        <f>Table2[[#This Row],[cases]]*100/$T$13</f>
        <v>33519.230769230766</v>
      </c>
      <c r="H52" s="35">
        <f>Table2[[#This Row],[cases]]*100/$T$16</f>
        <v>79227.272727272721</v>
      </c>
      <c r="I52" s="35">
        <f>Table2[[#This Row],[infection count, high end of estimate range]]-Table2[[#This Row],[infection count, low end of estimate range]]</f>
        <v>45708.041958041955</v>
      </c>
      <c r="J52" s="35">
        <f>(Table2[[#This Row],[infection count, low end of estimate range]]+Table2[[#This Row],[infection count, high end of estimate range]])/2</f>
        <v>56373.251748251743</v>
      </c>
      <c r="K52" s="26">
        <f>Table2[[#This Row],[estimated infections]]/$T$6</f>
        <v>0.15422136525989882</v>
      </c>
      <c r="L52" s="27">
        <f>Table2[[#This Row],[infection count, low end of estimate range]]/$T$6</f>
        <v>7.1179091658414836E-2</v>
      </c>
      <c r="M52" s="27">
        <f>Table2[[#This Row],[infection count, high end of estimate range]]/$T$6</f>
        <v>0.16824148937443509</v>
      </c>
      <c r="N52" s="15">
        <f>Table2[[#This Row],[infection percentage, high end of estimate range]]-Table2[[#This Row],[infection percentage, low end of estimate range]]</f>
        <v>9.7062397716020252E-2</v>
      </c>
      <c r="O52" s="27">
        <f>(Table2[[#This Row],[infection percentage, low end of estimate range]]+Table2[[#This Row],[infection percentage, high end of estimate range]])/2</f>
        <v>0.11971029051642496</v>
      </c>
      <c r="P52" s="3">
        <f>$T$6/(Table2[[#This Row],[cases]]*5)</f>
        <v>10.806976477337923</v>
      </c>
      <c r="Q52" s="3">
        <f>$T$6/(Table2[[#This Row],[cases]]*7)</f>
        <v>7.7192689123842309</v>
      </c>
      <c r="R52" s="3">
        <f>Table2[[#This Row],[1-in-X odds, estimating 5x cases infected]]-Table2[[#This Row],[1-in-X odds, estimating 7x cases infected]]</f>
        <v>3.0877075649536918</v>
      </c>
      <c r="S52" s="3">
        <f>(Table2[[#This Row],[1-in-X odds, estimating 5x cases infected]]+Table2[[#This Row],[1-in-X odds, estimating 7x cases infected]])/2</f>
        <v>9.2631226948610763</v>
      </c>
      <c r="V52" s="31"/>
    </row>
    <row r="53" spans="1:22" x14ac:dyDescent="0.2">
      <c r="A53" s="8">
        <v>43961</v>
      </c>
      <c r="B53" s="56">
        <v>8823</v>
      </c>
      <c r="C53" s="71">
        <f>Table2[[#This Row],[cases]]/$B$2</f>
        <v>1.8735905069715491E-2</v>
      </c>
      <c r="D53" s="26">
        <f>(Table2[[#This Row],[cases]]-B52)/B52</f>
        <v>1.2392426850258176E-2</v>
      </c>
      <c r="E53" s="38">
        <f t="shared" si="12"/>
        <v>56.278988829986361</v>
      </c>
      <c r="F53" s="81">
        <f>Table2[[#This Row],[cases]]*100/$T$19</f>
        <v>73525</v>
      </c>
      <c r="G53" s="35">
        <f>Table2[[#This Row],[cases]]*100/$T$13</f>
        <v>33934.615384615383</v>
      </c>
      <c r="H53" s="35">
        <f>Table2[[#This Row],[cases]]*100/$T$16</f>
        <v>80209.090909090912</v>
      </c>
      <c r="I53" s="35">
        <f>Table2[[#This Row],[infection count, high end of estimate range]]-Table2[[#This Row],[infection count, low end of estimate range]]</f>
        <v>46274.475524475529</v>
      </c>
      <c r="J53" s="35">
        <f>(Table2[[#This Row],[infection count, low end of estimate range]]+Table2[[#This Row],[infection count, high end of estimate range]])/2</f>
        <v>57071.853146853144</v>
      </c>
      <c r="K53" s="26">
        <f>Table2[[#This Row],[estimated infections]]/$T$6</f>
        <v>0.15613254224762907</v>
      </c>
      <c r="L53" s="27">
        <f>Table2[[#This Row],[infection count, low end of estimate range]]/$T$6</f>
        <v>7.206117334505957E-2</v>
      </c>
      <c r="M53" s="27">
        <f>Table2[[#This Row],[infection count, high end of estimate range]]/$T$6</f>
        <v>0.17032640972468627</v>
      </c>
      <c r="N53" s="15">
        <f>Table2[[#This Row],[infection percentage, high end of estimate range]]-Table2[[#This Row],[infection percentage, low end of estimate range]]</f>
        <v>9.8265236379626697E-2</v>
      </c>
      <c r="O53" s="27">
        <f>(Table2[[#This Row],[infection percentage, low end of estimate range]]+Table2[[#This Row],[infection percentage, high end of estimate range]])/2</f>
        <v>0.12119379153487292</v>
      </c>
      <c r="P53" s="3">
        <f>$T$6/(Table2[[#This Row],[cases]]*5)</f>
        <v>10.674691148135555</v>
      </c>
      <c r="Q53" s="3">
        <f>$T$6/(Table2[[#This Row],[cases]]*7)</f>
        <v>7.6247793915253963</v>
      </c>
      <c r="R53" s="3">
        <f>Table2[[#This Row],[1-in-X odds, estimating 5x cases infected]]-Table2[[#This Row],[1-in-X odds, estimating 7x cases infected]]</f>
        <v>3.0499117566101583</v>
      </c>
      <c r="S53" s="3">
        <f>(Table2[[#This Row],[1-in-X odds, estimating 5x cases infected]]+Table2[[#This Row],[1-in-X odds, estimating 7x cases infected]])/2</f>
        <v>9.1497352698304759</v>
      </c>
      <c r="V53" s="31"/>
    </row>
    <row r="54" spans="1:22" x14ac:dyDescent="0.2">
      <c r="A54" s="8">
        <v>43962</v>
      </c>
      <c r="B54" s="56">
        <v>8873</v>
      </c>
      <c r="C54" s="71">
        <f>Table2[[#This Row],[cases]]/$B$2</f>
        <v>1.8842081569033838E-2</v>
      </c>
      <c r="D54" s="26">
        <f>(Table2[[#This Row],[cases]]-B53)/B53</f>
        <v>5.6670066870678909E-3</v>
      </c>
      <c r="E54" s="38">
        <f t="shared" si="12"/>
        <v>122.65899865694688</v>
      </c>
      <c r="F54" s="81">
        <f>Table2[[#This Row],[cases]]*100/$T$19</f>
        <v>73941.666666666672</v>
      </c>
      <c r="G54" s="35">
        <f>Table2[[#This Row],[cases]]*100/$T$13</f>
        <v>34126.923076923078</v>
      </c>
      <c r="H54" s="35">
        <f>Table2[[#This Row],[cases]]*100/$T$16</f>
        <v>80663.636363636368</v>
      </c>
      <c r="I54" s="35">
        <f>Table2[[#This Row],[infection count, high end of estimate range]]-Table2[[#This Row],[infection count, low end of estimate range]]</f>
        <v>46536.71328671329</v>
      </c>
      <c r="J54" s="35">
        <f>(Table2[[#This Row],[infection count, low end of estimate range]]+Table2[[#This Row],[infection count, high end of estimate range]])/2</f>
        <v>57395.279720279723</v>
      </c>
      <c r="K54" s="26">
        <f>Table2[[#This Row],[estimated infections]]/$T$6</f>
        <v>0.15701734640861531</v>
      </c>
      <c r="L54" s="27">
        <f>Table2[[#This Row],[infection count, low end of estimate range]]/$T$6</f>
        <v>7.2469544496283983E-2</v>
      </c>
      <c r="M54" s="27">
        <f>Table2[[#This Row],[infection count, high end of estimate range]]/$T$6</f>
        <v>0.17129165062758034</v>
      </c>
      <c r="N54" s="15">
        <f>Table2[[#This Row],[infection percentage, high end of estimate range]]-Table2[[#This Row],[infection percentage, low end of estimate range]]</f>
        <v>9.8822106131296356E-2</v>
      </c>
      <c r="O54" s="27">
        <f>(Table2[[#This Row],[infection percentage, low end of estimate range]]+Table2[[#This Row],[infection percentage, high end of estimate range]])/2</f>
        <v>0.12188059756193216</v>
      </c>
      <c r="P54" s="3">
        <f>$T$6/(Table2[[#This Row],[cases]]*5)</f>
        <v>10.61453848754649</v>
      </c>
      <c r="Q54" s="3">
        <f>$T$6/(Table2[[#This Row],[cases]]*7)</f>
        <v>7.5818132053903495</v>
      </c>
      <c r="R54" s="3">
        <f>Table2[[#This Row],[1-in-X odds, estimating 5x cases infected]]-Table2[[#This Row],[1-in-X odds, estimating 7x cases infected]]</f>
        <v>3.0327252821561403</v>
      </c>
      <c r="S54" s="3">
        <f>(Table2[[#This Row],[1-in-X odds, estimating 5x cases infected]]+Table2[[#This Row],[1-in-X odds, estimating 7x cases infected]])/2</f>
        <v>9.0981758464684201</v>
      </c>
      <c r="V54" s="31"/>
    </row>
    <row r="55" spans="1:22" x14ac:dyDescent="0.2">
      <c r="A55" s="8">
        <v>43963</v>
      </c>
      <c r="B55" s="56">
        <v>9015</v>
      </c>
      <c r="C55" s="71">
        <f>Table2[[#This Row],[cases]]/$B$2</f>
        <v>1.9143622827097941E-2</v>
      </c>
      <c r="D55" s="26">
        <f>(Table2[[#This Row],[cases]]-B54)/B54</f>
        <v>1.6003606446523159E-2</v>
      </c>
      <c r="E55" s="38">
        <f t="shared" ref="E55" si="13">(LN(2)/LN(B55/B54))</f>
        <v>43.657592657146672</v>
      </c>
      <c r="F55" s="81">
        <f>Table2[[#This Row],[cases]]*100/$T$19</f>
        <v>75125</v>
      </c>
      <c r="G55" s="35">
        <f>Table2[[#This Row],[cases]]*100/$T$13</f>
        <v>34673.076923076922</v>
      </c>
      <c r="H55" s="35">
        <f>Table2[[#This Row],[cases]]*100/$T$16</f>
        <v>81954.545454545456</v>
      </c>
      <c r="I55" s="35">
        <f>Table2[[#This Row],[infection count, high end of estimate range]]-Table2[[#This Row],[infection count, low end of estimate range]]</f>
        <v>47281.468531468534</v>
      </c>
      <c r="J55" s="35">
        <f>(Table2[[#This Row],[infection count, low end of estimate range]]+Table2[[#This Row],[infection count, high end of estimate range]])/2</f>
        <v>58313.811188811189</v>
      </c>
      <c r="K55" s="26">
        <f>Table2[[#This Row],[estimated infections]]/$T$6</f>
        <v>0.15953019022581619</v>
      </c>
      <c r="L55" s="27">
        <f>Table2[[#This Row],[infection count, low end of estimate range]]/$T$6</f>
        <v>7.3629318565761312E-2</v>
      </c>
      <c r="M55" s="27">
        <f>Table2[[#This Row],[infection count, high end of estimate range]]/$T$6</f>
        <v>0.17403293479179946</v>
      </c>
      <c r="N55" s="15">
        <f>Table2[[#This Row],[infection percentage, high end of estimate range]]-Table2[[#This Row],[infection percentage, low end of estimate range]]</f>
        <v>0.10040361622603815</v>
      </c>
      <c r="O55" s="27">
        <f>(Table2[[#This Row],[infection percentage, low end of estimate range]]+Table2[[#This Row],[infection percentage, high end of estimate range]])/2</f>
        <v>0.12383112667878038</v>
      </c>
      <c r="P55" s="3">
        <f>$T$6/(Table2[[#This Row],[cases]]*5)</f>
        <v>10.447343316694399</v>
      </c>
      <c r="Q55" s="3">
        <f>$T$6/(Table2[[#This Row],[cases]]*7)</f>
        <v>7.462388083353142</v>
      </c>
      <c r="R55" s="3">
        <f>Table2[[#This Row],[1-in-X odds, estimating 5x cases infected]]-Table2[[#This Row],[1-in-X odds, estimating 7x cases infected]]</f>
        <v>2.9849552333412568</v>
      </c>
      <c r="S55" s="3">
        <f>(Table2[[#This Row],[1-in-X odds, estimating 5x cases infected]]+Table2[[#This Row],[1-in-X odds, estimating 7x cases infected]])/2</f>
        <v>8.9548657000237704</v>
      </c>
      <c r="V55" s="31"/>
    </row>
    <row r="56" spans="1:22" x14ac:dyDescent="0.2">
      <c r="A56" s="8">
        <v>43964</v>
      </c>
      <c r="B56" s="56">
        <v>9071</v>
      </c>
      <c r="C56" s="71">
        <f>Table2[[#This Row],[cases]]/$B$2</f>
        <v>1.926254050633449E-2</v>
      </c>
      <c r="D56" s="26">
        <f>(Table2[[#This Row],[cases]]-B55)/B55</f>
        <v>6.2118691070438157E-3</v>
      </c>
      <c r="E56" s="38">
        <f t="shared" ref="E56" si="14">(LN(2)/LN(B56/B55))</f>
        <v>111.93053433065666</v>
      </c>
      <c r="F56" s="81">
        <f>Table2[[#This Row],[cases]]*100/$T$19</f>
        <v>75591.666666666672</v>
      </c>
      <c r="G56" s="35">
        <f>Table2[[#This Row],[cases]]*100/$T$13</f>
        <v>34888.461538461539</v>
      </c>
      <c r="H56" s="35">
        <f>Table2[[#This Row],[cases]]*100/$T$16</f>
        <v>82463.636363636368</v>
      </c>
      <c r="I56" s="35">
        <f>Table2[[#This Row],[infection count, high end of estimate range]]-Table2[[#This Row],[infection count, low end of estimate range]]</f>
        <v>47575.174825174829</v>
      </c>
      <c r="J56" s="35">
        <f>(Table2[[#This Row],[infection count, low end of estimate range]]+Table2[[#This Row],[infection count, high end of estimate range]])/2</f>
        <v>58676.048951048957</v>
      </c>
      <c r="K56" s="26">
        <f>Table2[[#This Row],[estimated infections]]/$T$6</f>
        <v>0.16052117088612075</v>
      </c>
      <c r="L56" s="27">
        <f>Table2[[#This Row],[infection count, low end of estimate range]]/$T$6</f>
        <v>7.408669425513266E-2</v>
      </c>
      <c r="M56" s="27">
        <f>Table2[[#This Row],[infection count, high end of estimate range]]/$T$6</f>
        <v>0.17511400460304083</v>
      </c>
      <c r="N56" s="15">
        <f>Table2[[#This Row],[infection percentage, high end of estimate range]]-Table2[[#This Row],[infection percentage, low end of estimate range]]</f>
        <v>0.10102731034790817</v>
      </c>
      <c r="O56" s="27">
        <f>(Table2[[#This Row],[infection percentage, low end of estimate range]]+Table2[[#This Row],[infection percentage, high end of estimate range]])/2</f>
        <v>0.12460034942908674</v>
      </c>
      <c r="P56" s="3">
        <f>$T$6/(Table2[[#This Row],[cases]]*5)</f>
        <v>10.38284643368978</v>
      </c>
      <c r="Q56" s="3">
        <f>$T$6/(Table2[[#This Row],[cases]]*7)</f>
        <v>7.416318881206986</v>
      </c>
      <c r="R56" s="3">
        <f>Table2[[#This Row],[1-in-X odds, estimating 5x cases infected]]-Table2[[#This Row],[1-in-X odds, estimating 7x cases infected]]</f>
        <v>2.9665275524827939</v>
      </c>
      <c r="S56" s="3">
        <f>(Table2[[#This Row],[1-in-X odds, estimating 5x cases infected]]+Table2[[#This Row],[1-in-X odds, estimating 7x cases infected]])/2</f>
        <v>8.8995826574483825</v>
      </c>
      <c r="V56" s="31"/>
    </row>
    <row r="57" spans="1:22" x14ac:dyDescent="0.2">
      <c r="A57" s="8">
        <v>43965</v>
      </c>
      <c r="B57" s="56">
        <v>9151</v>
      </c>
      <c r="C57" s="71">
        <f>Table2[[#This Row],[cases]]/$B$2</f>
        <v>1.9432422905243846E-2</v>
      </c>
      <c r="D57" s="26">
        <f>(Table2[[#This Row],[cases]]-B56)/B56</f>
        <v>8.8193142983133063E-3</v>
      </c>
      <c r="E57" s="38">
        <f t="shared" ref="E57" si="15">(LN(2)/LN(B57/B56))</f>
        <v>78.94029233636499</v>
      </c>
      <c r="F57" s="81">
        <f>Table2[[#This Row],[cases]]*100/$T$19</f>
        <v>76258.333333333328</v>
      </c>
      <c r="G57" s="35">
        <f>Table2[[#This Row],[cases]]*100/$T$13</f>
        <v>35196.153846153844</v>
      </c>
      <c r="H57" s="35">
        <f>Table2[[#This Row],[cases]]*100/$T$16</f>
        <v>83190.909090909088</v>
      </c>
      <c r="I57" s="35">
        <f>Table2[[#This Row],[infection count, high end of estimate range]]-Table2[[#This Row],[infection count, low end of estimate range]]</f>
        <v>47994.755244755244</v>
      </c>
      <c r="J57" s="35">
        <f>(Table2[[#This Row],[infection count, low end of estimate range]]+Table2[[#This Row],[infection count, high end of estimate range]])/2</f>
        <v>59193.531468531466</v>
      </c>
      <c r="K57" s="26">
        <f>Table2[[#This Row],[estimated infections]]/$T$6</f>
        <v>0.16193685754369869</v>
      </c>
      <c r="L57" s="27">
        <f>Table2[[#This Row],[infection count, low end of estimate range]]/$T$6</f>
        <v>7.4740088097091706E-2</v>
      </c>
      <c r="M57" s="27">
        <f>Table2[[#This Row],[infection count, high end of estimate range]]/$T$6</f>
        <v>0.17665839004767131</v>
      </c>
      <c r="N57" s="15">
        <f>Table2[[#This Row],[infection percentage, high end of estimate range]]-Table2[[#This Row],[infection percentage, low end of estimate range]]</f>
        <v>0.1019183019505796</v>
      </c>
      <c r="O57" s="27">
        <f>(Table2[[#This Row],[infection percentage, low end of estimate range]]+Table2[[#This Row],[infection percentage, high end of estimate range]])/2</f>
        <v>0.12569923907238151</v>
      </c>
      <c r="P57" s="3">
        <f>$T$6/(Table2[[#This Row],[cases]]*5)</f>
        <v>10.292077368593596</v>
      </c>
      <c r="Q57" s="3">
        <f>$T$6/(Table2[[#This Row],[cases]]*7)</f>
        <v>7.351483834709712</v>
      </c>
      <c r="R57" s="3">
        <f>Table2[[#This Row],[1-in-X odds, estimating 5x cases infected]]-Table2[[#This Row],[1-in-X odds, estimating 7x cases infected]]</f>
        <v>2.9405935338838836</v>
      </c>
      <c r="S57" s="3">
        <f>(Table2[[#This Row],[1-in-X odds, estimating 5x cases infected]]+Table2[[#This Row],[1-in-X odds, estimating 7x cases infected]])/2</f>
        <v>8.8217806016516533</v>
      </c>
      <c r="V57" s="31"/>
    </row>
    <row r="58" spans="1:22" x14ac:dyDescent="0.2">
      <c r="V58" s="55" t="str">
        <f ca="1">"updated " &amp; TEXT($U6,"MMMM d, yyyy") &amp; ", " &amp; T9</f>
        <v>updated May 14, 2020, evening</v>
      </c>
    </row>
    <row r="59" spans="1:22" x14ac:dyDescent="0.2">
      <c r="U59" s="34" t="s">
        <v>32</v>
      </c>
      <c r="V59" s="36"/>
    </row>
    <row r="60" spans="1:22" x14ac:dyDescent="0.2">
      <c r="U60" s="27">
        <f ca="1">OFFSET(compute!D4,COUNTA(compute!D:D)-1,0)</f>
        <v>8.8193142983133063E-3</v>
      </c>
    </row>
    <row r="61" spans="1:22" x14ac:dyDescent="0.2">
      <c r="V61" s="33" t="s">
        <v>24</v>
      </c>
    </row>
    <row r="62" spans="1:22" x14ac:dyDescent="0.2">
      <c r="V62" s="1" t="str">
        <f ca="1">"There have been " &amp;TEXT( U9,"0") &amp; " confirmed cases of COVID-19 disease in " &amp; B1 &amp; " since the start of the outbreak."</f>
        <v>There have been 9151 confirmed cases of COVID-19 disease in Miami since the start of the outbreak.</v>
      </c>
    </row>
    <row r="64" spans="1:22" x14ac:dyDescent="0.2">
      <c r="V64" s="1" t="str">
        <f ca="1">"Around " &amp;TEXT(ROUND(U12,-3),"#,##0") &amp;" people in " &amp; B1 &amp; " may have already been infected with the SARS-CoV-2 virus."</f>
        <v>Around 76,000 people in Miami may have already been infected with the SARS-CoV-2 virus.</v>
      </c>
    </row>
    <row r="66" spans="22:22" x14ac:dyDescent="0.2">
      <c r="V66" s="1" t="str">
        <f ca="1">"Around " &amp; TEXT(U15,"0.0%") &amp; " of the total population of " &amp; B1 &amp; " may have already been infected with the SARS-CoV-2 virus, based on an estimated population of " &amp; TEXT(T6,"0,000") &amp; "."</f>
        <v>Around 16.2% of the total population of Miami may have already been infected with the SARS-CoV-2 virus, based on an estimated population of 470,914.</v>
      </c>
    </row>
    <row r="68" spans="22:22" x14ac:dyDescent="0.2">
      <c r="V68" s="1" t="str">
        <f ca="1">"The odds of any given person in " &amp; B1 &amp; " having been infected with SARS-CoV-2 is currently estimated to be around one in " &amp; TEXT(U18,"#,##0")  &amp; "."</f>
        <v>The odds of any given person in Miami having been infected with SARS-CoV-2 is currently estimated to be around one in 9.</v>
      </c>
    </row>
    <row r="70" spans="22:22" x14ac:dyDescent="0.2">
      <c r="V70" s="1" t="str">
        <f ca="1">"doubing in " &amp; TEXT(U21,"0.0") &amp; " days"</f>
        <v>doubing in 78.9 days</v>
      </c>
    </row>
    <row r="72" spans="22:22" x14ac:dyDescent="0.2">
      <c r="V72" s="1" t="str">
        <f ca="1">TEXT(U60, "+0.0%;-0.0%") &amp; " per day"</f>
        <v>+0.9% per day</v>
      </c>
    </row>
    <row r="74" spans="22:22" x14ac:dyDescent="0.2">
      <c r="V74" t="str">
        <f ca="1">"The current rate of increase is " &amp; V72</f>
        <v>The current rate of increase is +0.9%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workbookViewId="0">
      <selection sqref="A1:B34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 x14ac:dyDescent="0.2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 x14ac:dyDescent="0.2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 x14ac:dyDescent="0.2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 x14ac:dyDescent="0.2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 x14ac:dyDescent="0.2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 x14ac:dyDescent="0.2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 x14ac:dyDescent="0.2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57"/>
  <sheetViews>
    <sheetView workbookViewId="0">
      <selection sqref="A1:B57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 x14ac:dyDescent="0.2">
      <c r="A27" s="8">
        <v>43935</v>
      </c>
      <c r="B27" s="9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 x14ac:dyDescent="0.2">
      <c r="A28" s="8">
        <v>43936</v>
      </c>
      <c r="B28" s="9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 x14ac:dyDescent="0.2">
      <c r="A29" s="8">
        <v>43937</v>
      </c>
      <c r="B29" s="9">
        <v>587</v>
      </c>
      <c r="C29" s="26">
        <f t="shared" si="12"/>
        <v>6.8610634648370496E-3</v>
      </c>
      <c r="D29" s="38">
        <f t="shared" si="13"/>
        <v>101.37238020000403</v>
      </c>
    </row>
    <row r="30" spans="1:4" x14ac:dyDescent="0.2">
      <c r="A30" s="8">
        <v>43938</v>
      </c>
      <c r="B30" s="9">
        <v>607</v>
      </c>
      <c r="C30" s="26">
        <f t="shared" si="12"/>
        <v>3.4071550255536626E-2</v>
      </c>
      <c r="D30" s="38">
        <f t="shared" si="13"/>
        <v>20.688508110653103</v>
      </c>
    </row>
    <row r="31" spans="1:4" x14ac:dyDescent="0.2">
      <c r="A31" s="8">
        <v>43939</v>
      </c>
      <c r="B31" s="9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 x14ac:dyDescent="0.2">
      <c r="A32" s="8">
        <v>43940</v>
      </c>
      <c r="B32" s="9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 x14ac:dyDescent="0.2">
      <c r="A33" s="8">
        <v>43941</v>
      </c>
      <c r="B33" s="9">
        <v>641</v>
      </c>
      <c r="C33" s="26">
        <f t="shared" si="16"/>
        <v>7.8616352201257862E-3</v>
      </c>
      <c r="D33" s="38">
        <f t="shared" si="17"/>
        <v>88.514442627817402</v>
      </c>
    </row>
    <row r="34" spans="1:4" x14ac:dyDescent="0.2">
      <c r="A34" s="8">
        <v>43942</v>
      </c>
      <c r="B34" s="9">
        <v>651</v>
      </c>
      <c r="C34" s="26">
        <f t="shared" si="16"/>
        <v>1.5600624024960999E-2</v>
      </c>
      <c r="D34" s="38">
        <f t="shared" si="17"/>
        <v>44.776413697177858</v>
      </c>
    </row>
    <row r="35" spans="1:4" x14ac:dyDescent="0.2">
      <c r="A35" s="8">
        <v>43943</v>
      </c>
      <c r="B35" s="9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 x14ac:dyDescent="0.2">
      <c r="A36" s="8">
        <v>43944</v>
      </c>
      <c r="B36" s="9">
        <v>661</v>
      </c>
      <c r="C36" s="26">
        <f t="shared" si="18"/>
        <v>3.0349013657056147E-3</v>
      </c>
      <c r="D36" s="38">
        <f t="shared" si="19"/>
        <v>228.73839454750822</v>
      </c>
    </row>
    <row r="37" spans="1:4" x14ac:dyDescent="0.2">
      <c r="A37" s="8">
        <v>43945</v>
      </c>
      <c r="B37" s="9">
        <v>671</v>
      </c>
      <c r="C37" s="26">
        <f t="shared" si="18"/>
        <v>1.5128593040847202E-2</v>
      </c>
      <c r="D37" s="38">
        <f t="shared" si="19"/>
        <v>46.162734910979644</v>
      </c>
    </row>
    <row r="38" spans="1:4" x14ac:dyDescent="0.2">
      <c r="A38" s="8">
        <v>43946</v>
      </c>
      <c r="B38" s="9">
        <v>674</v>
      </c>
      <c r="C38" s="26">
        <f t="shared" si="18"/>
        <v>4.4709388971684054E-3</v>
      </c>
      <c r="D38" s="38">
        <f t="shared" si="19"/>
        <v>155.38023529964653</v>
      </c>
    </row>
    <row r="39" spans="1:4" x14ac:dyDescent="0.2">
      <c r="A39" s="8">
        <v>43947</v>
      </c>
      <c r="B39" s="9">
        <v>678</v>
      </c>
      <c r="C39" s="26">
        <f t="shared" si="18"/>
        <v>5.9347181008902079E-3</v>
      </c>
      <c r="D39" s="38">
        <f t="shared" si="19"/>
        <v>117.14153172528272</v>
      </c>
    </row>
    <row r="40" spans="1:4" x14ac:dyDescent="0.2">
      <c r="A40" s="8">
        <v>43948</v>
      </c>
      <c r="B40" s="9">
        <v>681</v>
      </c>
      <c r="C40" s="26">
        <f t="shared" si="18"/>
        <v>4.4247787610619468E-3</v>
      </c>
      <c r="D40" s="38">
        <f t="shared" si="19"/>
        <v>156.99758137546218</v>
      </c>
    </row>
    <row r="41" spans="1:4" x14ac:dyDescent="0.2">
      <c r="A41" s="8">
        <v>43949</v>
      </c>
      <c r="B41" s="9">
        <v>690</v>
      </c>
      <c r="C41" s="26">
        <f t="shared" si="18"/>
        <v>1.3215859030837005E-2</v>
      </c>
      <c r="D41" s="38">
        <f t="shared" si="19"/>
        <v>52.793951877215413</v>
      </c>
    </row>
    <row r="42" spans="1:4" x14ac:dyDescent="0.2">
      <c r="A42" s="8">
        <v>43950</v>
      </c>
      <c r="B42" s="9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 x14ac:dyDescent="0.2">
      <c r="A43" s="8">
        <v>43951</v>
      </c>
      <c r="B43" s="9">
        <v>695</v>
      </c>
      <c r="C43" s="26">
        <f t="shared" si="18"/>
        <v>8.708272859216255E-3</v>
      </c>
      <c r="D43" s="38">
        <f t="shared" si="19"/>
        <v>79.942473993182418</v>
      </c>
    </row>
    <row r="44" spans="1:4" x14ac:dyDescent="0.2">
      <c r="A44" s="8">
        <v>43952</v>
      </c>
      <c r="B44" s="9">
        <v>706</v>
      </c>
      <c r="C44" s="26">
        <f t="shared" si="18"/>
        <v>1.5827338129496403E-2</v>
      </c>
      <c r="D44" s="38">
        <f t="shared" si="19"/>
        <v>44.139965665899489</v>
      </c>
    </row>
    <row r="45" spans="1:4" x14ac:dyDescent="0.2">
      <c r="A45" s="8">
        <v>43953</v>
      </c>
      <c r="B45" s="9">
        <v>713</v>
      </c>
      <c r="C45" s="26">
        <f t="shared" si="18"/>
        <v>9.9150141643059488E-3</v>
      </c>
      <c r="D45" s="38">
        <f t="shared" si="19"/>
        <v>70.254847908892572</v>
      </c>
    </row>
    <row r="46" spans="1:4" x14ac:dyDescent="0.2">
      <c r="A46" s="8">
        <v>43954</v>
      </c>
      <c r="B46" s="9">
        <v>717</v>
      </c>
      <c r="C46" s="26">
        <f t="shared" si="18"/>
        <v>5.6100981767180924E-3</v>
      </c>
      <c r="D46" s="38">
        <f t="shared" si="19"/>
        <v>123.89973537887481</v>
      </c>
    </row>
    <row r="47" spans="1:4" x14ac:dyDescent="0.2">
      <c r="A47" s="8">
        <v>43955</v>
      </c>
      <c r="B47" s="9">
        <v>718</v>
      </c>
      <c r="C47" s="26">
        <f t="shared" si="18"/>
        <v>1.3947001394700139E-3</v>
      </c>
      <c r="D47" s="38">
        <f t="shared" si="19"/>
        <v>497.33302154683025</v>
      </c>
    </row>
    <row r="48" spans="1:4" x14ac:dyDescent="0.2">
      <c r="A48" s="8">
        <v>43956</v>
      </c>
      <c r="B48" s="9">
        <v>719</v>
      </c>
      <c r="C48" s="26">
        <f t="shared" si="18"/>
        <v>1.3927576601671309E-3</v>
      </c>
      <c r="D48" s="38">
        <f t="shared" si="19"/>
        <v>498.02616883946456</v>
      </c>
    </row>
    <row r="49" spans="1:4" x14ac:dyDescent="0.2">
      <c r="A49" s="8">
        <v>43957</v>
      </c>
      <c r="B49" s="9">
        <v>720</v>
      </c>
      <c r="C49" s="26">
        <f t="shared" si="18"/>
        <v>1.3908205841446453E-3</v>
      </c>
      <c r="D49" s="38">
        <f t="shared" si="19"/>
        <v>498.71931613175457</v>
      </c>
    </row>
    <row r="50" spans="1:4" x14ac:dyDescent="0.2">
      <c r="A50" s="8">
        <v>43958</v>
      </c>
      <c r="B50" s="9">
        <v>722</v>
      </c>
      <c r="C50" s="26">
        <f t="shared" si="18"/>
        <v>2.7777777777777779E-3</v>
      </c>
      <c r="D50" s="38">
        <f t="shared" si="19"/>
        <v>249.87939836358191</v>
      </c>
    </row>
    <row r="51" spans="1:4" x14ac:dyDescent="0.2">
      <c r="A51" s="8">
        <v>43959</v>
      </c>
      <c r="B51" s="9">
        <v>723</v>
      </c>
      <c r="C51" s="26">
        <f t="shared" si="18"/>
        <v>1.3850415512465374E-3</v>
      </c>
      <c r="D51" s="38">
        <f t="shared" si="19"/>
        <v>500.79875800674318</v>
      </c>
    </row>
    <row r="52" spans="1:4" x14ac:dyDescent="0.2">
      <c r="A52" s="8">
        <v>43960</v>
      </c>
      <c r="B52" s="9">
        <v>725</v>
      </c>
      <c r="C52" s="26">
        <f t="shared" si="18"/>
        <v>2.7662517289073307E-3</v>
      </c>
      <c r="D52" s="38">
        <f t="shared" si="19"/>
        <v>250.91911979835183</v>
      </c>
    </row>
    <row r="53" spans="1:4" x14ac:dyDescent="0.2">
      <c r="A53" s="8">
        <v>43961</v>
      </c>
      <c r="B53" s="9">
        <v>745</v>
      </c>
      <c r="C53" s="26">
        <f t="shared" si="18"/>
        <v>2.7586206896551724E-2</v>
      </c>
      <c r="D53" s="38">
        <f t="shared" si="19"/>
        <v>25.471587045670656</v>
      </c>
    </row>
    <row r="54" spans="1:4" x14ac:dyDescent="0.2">
      <c r="A54" s="8">
        <v>43962</v>
      </c>
      <c r="B54" s="9">
        <v>750</v>
      </c>
      <c r="C54" s="26">
        <f t="shared" si="18"/>
        <v>6.7114093959731542E-3</v>
      </c>
      <c r="D54" s="38">
        <f t="shared" si="19"/>
        <v>103.62511712289192</v>
      </c>
    </row>
    <row r="55" spans="1:4" x14ac:dyDescent="0.2">
      <c r="A55" s="8">
        <v>43963</v>
      </c>
      <c r="B55" s="9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 x14ac:dyDescent="0.2">
      <c r="A56" s="8">
        <v>43964</v>
      </c>
      <c r="B56" s="9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 x14ac:dyDescent="0.2">
      <c r="A57" s="8">
        <v>43965</v>
      </c>
      <c r="B57" s="9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57"/>
  <sheetViews>
    <sheetView workbookViewId="0">
      <selection sqref="A1:B5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8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8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8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8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8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8">
        <f t="shared" si="0"/>
        <v>5.0683867188519347</v>
      </c>
    </row>
    <row r="13" spans="1:4" x14ac:dyDescent="0.2">
      <c r="A13" s="8">
        <v>43921</v>
      </c>
      <c r="B13" s="56">
        <v>1179</v>
      </c>
      <c r="C13" s="26">
        <f t="shared" si="1"/>
        <v>0.26638023630504831</v>
      </c>
      <c r="D13" s="38">
        <f t="shared" si="0"/>
        <v>2.9350418410450274</v>
      </c>
    </row>
    <row r="14" spans="1:4" x14ac:dyDescent="0.2">
      <c r="A14" s="8">
        <v>43922</v>
      </c>
      <c r="B14" s="56">
        <v>1371</v>
      </c>
      <c r="C14" s="26">
        <f t="shared" si="1"/>
        <v>0.16284987277353691</v>
      </c>
      <c r="D14" s="38">
        <f t="shared" si="0"/>
        <v>4.594218989141579</v>
      </c>
    </row>
    <row r="15" spans="1:4" x14ac:dyDescent="0.2">
      <c r="A15" s="8">
        <v>43923</v>
      </c>
      <c r="B15" s="56">
        <v>1677</v>
      </c>
      <c r="C15" s="26">
        <f t="shared" si="1"/>
        <v>0.22319474835886213</v>
      </c>
      <c r="D15" s="38">
        <f t="shared" si="0"/>
        <v>3.4405155090192001</v>
      </c>
    </row>
    <row r="16" spans="1:4" x14ac:dyDescent="0.2">
      <c r="A16" s="8">
        <v>43924</v>
      </c>
      <c r="B16" s="56">
        <v>1959</v>
      </c>
      <c r="C16" s="26">
        <f t="shared" si="1"/>
        <v>0.16815742397137745</v>
      </c>
      <c r="D16" s="38">
        <f t="shared" si="0"/>
        <v>4.4596129019590443</v>
      </c>
    </row>
    <row r="17" spans="1:4" x14ac:dyDescent="0.2">
      <c r="A17" s="8">
        <v>43925</v>
      </c>
      <c r="B17" s="56">
        <v>2291</v>
      </c>
      <c r="C17" s="26">
        <f t="shared" si="1"/>
        <v>0.16947422154160285</v>
      </c>
      <c r="D17" s="38">
        <f t="shared" si="0"/>
        <v>4.4275202769727011</v>
      </c>
    </row>
    <row r="18" spans="1:4" x14ac:dyDescent="0.2">
      <c r="A18" s="8">
        <v>43926</v>
      </c>
      <c r="B18" s="56">
        <v>2461</v>
      </c>
      <c r="C18" s="26">
        <f t="shared" si="1"/>
        <v>7.4203404626800529E-2</v>
      </c>
      <c r="D18" s="38">
        <f t="shared" si="0"/>
        <v>9.6836169490150699</v>
      </c>
    </row>
    <row r="19" spans="1:4" x14ac:dyDescent="0.2">
      <c r="A19" s="8">
        <v>43927</v>
      </c>
      <c r="B19" s="56">
        <v>2802</v>
      </c>
      <c r="C19" s="26">
        <f t="shared" si="1"/>
        <v>0.13856156034132466</v>
      </c>
      <c r="D19" s="38">
        <f t="shared" si="0"/>
        <v>5.3415294338518668</v>
      </c>
    </row>
    <row r="20" spans="1:4" x14ac:dyDescent="0.2">
      <c r="A20" s="8">
        <v>43928</v>
      </c>
      <c r="B20" s="56">
        <v>3100</v>
      </c>
      <c r="C20" s="26">
        <f t="shared" si="1"/>
        <v>0.10635260528194147</v>
      </c>
      <c r="D20" s="38">
        <f t="shared" si="0"/>
        <v>6.8581809240681908</v>
      </c>
    </row>
    <row r="21" spans="1:4" x14ac:dyDescent="0.2">
      <c r="A21" s="8">
        <v>43929</v>
      </c>
      <c r="B21" s="56">
        <v>3317</v>
      </c>
      <c r="C21" s="26">
        <f t="shared" si="1"/>
        <v>7.0000000000000007E-2</v>
      </c>
      <c r="D21" s="38">
        <f t="shared" si="0"/>
        <v>10.244768351058712</v>
      </c>
    </row>
    <row r="22" spans="1:4" x14ac:dyDescent="0.2">
      <c r="A22" s="8">
        <v>43930</v>
      </c>
      <c r="B22" s="56">
        <v>3587</v>
      </c>
      <c r="C22" s="26">
        <f t="shared" ref="C22:C23" si="2">(B22-B21)/B21</f>
        <v>8.1398854386493816E-2</v>
      </c>
      <c r="D22" s="38">
        <f t="shared" ref="D22:D23" si="3">(LN(2)/LN(B22/B21))</f>
        <v>8.857495313952132</v>
      </c>
    </row>
    <row r="23" spans="1:4" x14ac:dyDescent="0.2">
      <c r="A23" s="8">
        <v>43931</v>
      </c>
      <c r="B23" s="56">
        <v>3816</v>
      </c>
      <c r="C23" s="26">
        <f t="shared" si="2"/>
        <v>6.3841650404237518E-2</v>
      </c>
      <c r="D23" s="38">
        <f t="shared" si="3"/>
        <v>11.20028704389693</v>
      </c>
    </row>
    <row r="24" spans="1:4" x14ac:dyDescent="0.2">
      <c r="A24" s="8">
        <v>43932</v>
      </c>
      <c r="B24" s="56">
        <v>4091</v>
      </c>
      <c r="C24" s="26">
        <f t="shared" ref="C24" si="4">(B24-B23)/B23</f>
        <v>7.20649895178197E-2</v>
      </c>
      <c r="D24" s="38">
        <f t="shared" ref="D24" si="5">(LN(2)/LN(B24/B23))</f>
        <v>9.96091676104197</v>
      </c>
    </row>
    <row r="25" spans="1:4" x14ac:dyDescent="0.2">
      <c r="A25" s="8">
        <v>43933</v>
      </c>
      <c r="B25" s="56">
        <v>4273</v>
      </c>
      <c r="C25" s="26">
        <f t="shared" ref="C25" si="6">(B25-B24)/B24</f>
        <v>4.4487900268882913E-2</v>
      </c>
      <c r="D25" s="38">
        <f t="shared" ref="D25" si="7">(LN(2)/LN(B25/B24))</f>
        <v>15.924637026490627</v>
      </c>
    </row>
    <row r="26" spans="1:4" x14ac:dyDescent="0.2">
      <c r="A26" s="8">
        <v>43934</v>
      </c>
      <c r="B26" s="56">
        <v>4487</v>
      </c>
      <c r="C26" s="26">
        <f t="shared" ref="C26" si="8">(B26-B25)/B25</f>
        <v>5.0081909665340513E-2</v>
      </c>
      <c r="D26" s="38">
        <f t="shared" ref="D26" si="9">(LN(2)/LN(B26/B25))</f>
        <v>14.184021538998522</v>
      </c>
    </row>
    <row r="27" spans="1:4" x14ac:dyDescent="0.2">
      <c r="A27" s="8">
        <v>43935</v>
      </c>
      <c r="B27" s="56">
        <v>4648</v>
      </c>
      <c r="C27" s="26">
        <f t="shared" ref="C27" si="10">(B27-B26)/B26</f>
        <v>3.5881435257410298E-2</v>
      </c>
      <c r="D27" s="38">
        <f t="shared" ref="D27" si="11">(LN(2)/LN(B27/B26))</f>
        <v>19.662247910950395</v>
      </c>
    </row>
    <row r="28" spans="1:4" x14ac:dyDescent="0.2">
      <c r="A28" s="8">
        <v>43936</v>
      </c>
      <c r="B28" s="56">
        <v>4857</v>
      </c>
      <c r="C28" s="26">
        <f t="shared" ref="C28" si="12">(B28-B27)/B27</f>
        <v>4.4965576592082619E-2</v>
      </c>
      <c r="D28" s="38">
        <f t="shared" ref="D28" si="13">(LN(2)/LN(B28/B27))</f>
        <v>15.759095716636351</v>
      </c>
    </row>
    <row r="29" spans="1:4" x14ac:dyDescent="0.2">
      <c r="A29" s="8">
        <v>43937</v>
      </c>
      <c r="B29" s="56">
        <v>5018</v>
      </c>
      <c r="C29" s="26">
        <f t="shared" ref="C29:C30" si="14">(B29-B28)/B28</f>
        <v>3.3148033765698991E-2</v>
      </c>
      <c r="D29" s="38">
        <f t="shared" ref="D29:D30" si="15">(LN(2)/LN(B29/B28))</f>
        <v>21.255347458768309</v>
      </c>
    </row>
    <row r="30" spans="1:4" x14ac:dyDescent="0.2">
      <c r="A30" s="8">
        <v>43938</v>
      </c>
      <c r="B30" s="56">
        <v>5325</v>
      </c>
      <c r="C30" s="26">
        <f t="shared" si="14"/>
        <v>6.1179752889597448E-2</v>
      </c>
      <c r="D30" s="38">
        <f t="shared" si="15"/>
        <v>11.672826375517154</v>
      </c>
    </row>
    <row r="31" spans="1:4" x14ac:dyDescent="0.2">
      <c r="A31" s="8">
        <v>43939</v>
      </c>
      <c r="B31" s="56">
        <v>5473</v>
      </c>
      <c r="C31" s="26">
        <f t="shared" ref="C31:C39" si="16">(B31-B30)/B30</f>
        <v>2.7793427230046949E-2</v>
      </c>
      <c r="D31" s="38">
        <f t="shared" ref="D31:D39" si="17">(LN(2)/LN(B31/B30))</f>
        <v>25.284238323265988</v>
      </c>
    </row>
    <row r="32" spans="1:4" x14ac:dyDescent="0.2">
      <c r="A32" s="8">
        <v>43940</v>
      </c>
      <c r="B32" s="56">
        <v>5645</v>
      </c>
      <c r="C32" s="26">
        <f t="shared" si="16"/>
        <v>3.1427005298739263E-2</v>
      </c>
      <c r="D32" s="38">
        <f t="shared" si="17"/>
        <v>22.400568352945822</v>
      </c>
    </row>
    <row r="33" spans="1:4" x14ac:dyDescent="0.2">
      <c r="A33" s="8">
        <v>43941</v>
      </c>
      <c r="B33" s="56">
        <v>5852</v>
      </c>
      <c r="C33" s="26">
        <f t="shared" si="16"/>
        <v>3.6669619131975202E-2</v>
      </c>
      <c r="D33" s="38">
        <f t="shared" si="17"/>
        <v>19.246985379249875</v>
      </c>
    </row>
    <row r="34" spans="1:4" x14ac:dyDescent="0.2">
      <c r="A34" s="8">
        <v>43942</v>
      </c>
      <c r="B34" s="56">
        <v>6064</v>
      </c>
      <c r="C34" s="26">
        <f t="shared" si="16"/>
        <v>3.6226930963773066E-2</v>
      </c>
      <c r="D34" s="38">
        <f t="shared" si="17"/>
        <v>19.477995929350573</v>
      </c>
    </row>
    <row r="35" spans="1:4" x14ac:dyDescent="0.2">
      <c r="A35" s="8">
        <v>43943</v>
      </c>
      <c r="B35" s="56">
        <v>6227</v>
      </c>
      <c r="C35" s="26">
        <f t="shared" si="16"/>
        <v>2.6879947229551452E-2</v>
      </c>
      <c r="D35" s="38">
        <f t="shared" si="17"/>
        <v>26.131817554080403</v>
      </c>
    </row>
    <row r="36" spans="1:4" x14ac:dyDescent="0.2">
      <c r="A36" s="8">
        <v>43944</v>
      </c>
      <c r="B36" s="56">
        <v>6413</v>
      </c>
      <c r="C36" s="26">
        <f t="shared" si="16"/>
        <v>2.9869921310422355E-2</v>
      </c>
      <c r="D36" s="38">
        <f t="shared" si="17"/>
        <v>23.55039768449053</v>
      </c>
    </row>
    <row r="37" spans="1:4" x14ac:dyDescent="0.2">
      <c r="A37" s="8">
        <v>43945</v>
      </c>
      <c r="B37" s="56">
        <v>6658</v>
      </c>
      <c r="C37" s="26">
        <f t="shared" si="16"/>
        <v>3.8203648838297209E-2</v>
      </c>
      <c r="D37" s="38">
        <f t="shared" si="17"/>
        <v>18.487889118218384</v>
      </c>
    </row>
    <row r="38" spans="1:4" x14ac:dyDescent="0.2">
      <c r="A38" s="8">
        <v>43946</v>
      </c>
      <c r="B38" s="56">
        <v>6710</v>
      </c>
      <c r="C38" s="26">
        <f t="shared" si="16"/>
        <v>7.8101531991589066E-3</v>
      </c>
      <c r="D38" s="38">
        <f t="shared" si="17"/>
        <v>89.095622829796753</v>
      </c>
    </row>
    <row r="39" spans="1:4" x14ac:dyDescent="0.2">
      <c r="A39" s="8">
        <v>43947</v>
      </c>
      <c r="B39" s="56">
        <v>7001</v>
      </c>
      <c r="C39" s="26">
        <f t="shared" si="16"/>
        <v>4.3368107302533529E-2</v>
      </c>
      <c r="D39" s="38">
        <f t="shared" si="17"/>
        <v>16.326999709277924</v>
      </c>
    </row>
    <row r="40" spans="1:4" x14ac:dyDescent="0.2">
      <c r="A40" s="8">
        <v>43948</v>
      </c>
      <c r="B40" s="56">
        <v>7159</v>
      </c>
      <c r="C40" s="26">
        <f t="shared" ref="C40:C55" si="18">(B40-B39)/B39</f>
        <v>2.2568204542208255E-2</v>
      </c>
      <c r="D40" s="38">
        <f t="shared" ref="D40:D55" si="19">(LN(2)/LN(B40/B39))</f>
        <v>31.058723813341835</v>
      </c>
    </row>
    <row r="41" spans="1:4" x14ac:dyDescent="0.2">
      <c r="A41" s="8">
        <v>43949</v>
      </c>
      <c r="B41" s="56">
        <v>7364</v>
      </c>
      <c r="C41" s="26">
        <f t="shared" si="18"/>
        <v>2.8635284257577873E-2</v>
      </c>
      <c r="D41" s="38">
        <f t="shared" si="19"/>
        <v>24.550994839858753</v>
      </c>
    </row>
    <row r="42" spans="1:4" x14ac:dyDescent="0.2">
      <c r="A42" s="8">
        <v>43950</v>
      </c>
      <c r="B42" s="56">
        <v>7418</v>
      </c>
      <c r="C42" s="26">
        <f t="shared" si="18"/>
        <v>7.3329712112982079E-3</v>
      </c>
      <c r="D42" s="38">
        <f t="shared" si="19"/>
        <v>94.870889301226129</v>
      </c>
    </row>
    <row r="43" spans="1:4" x14ac:dyDescent="0.2">
      <c r="A43" s="8">
        <v>43951</v>
      </c>
      <c r="B43" s="56">
        <v>7490</v>
      </c>
      <c r="C43" s="26">
        <f t="shared" si="18"/>
        <v>9.7061202480452947E-3</v>
      </c>
      <c r="D43" s="38">
        <f t="shared" si="19"/>
        <v>71.759429333057724</v>
      </c>
    </row>
    <row r="44" spans="1:4" x14ac:dyDescent="0.2">
      <c r="A44" s="8">
        <v>43952</v>
      </c>
      <c r="B44" s="56">
        <v>7685</v>
      </c>
      <c r="C44" s="26">
        <f t="shared" si="18"/>
        <v>2.6034712950600801E-2</v>
      </c>
      <c r="D44" s="38">
        <f t="shared" si="19"/>
        <v>26.969049960532978</v>
      </c>
    </row>
    <row r="45" spans="1:4" x14ac:dyDescent="0.2">
      <c r="A45" s="8">
        <v>43953</v>
      </c>
      <c r="B45" s="56">
        <v>7836</v>
      </c>
      <c r="C45" s="26">
        <f t="shared" si="18"/>
        <v>1.9648666232921275E-2</v>
      </c>
      <c r="D45" s="38">
        <f t="shared" si="19"/>
        <v>35.622509801798749</v>
      </c>
    </row>
    <row r="46" spans="1:4" x14ac:dyDescent="0.2">
      <c r="A46" s="8">
        <v>43954</v>
      </c>
      <c r="B46" s="56">
        <v>7928</v>
      </c>
      <c r="C46" s="26">
        <f t="shared" si="18"/>
        <v>1.1740684022460439E-2</v>
      </c>
      <c r="D46" s="38">
        <f t="shared" si="19"/>
        <v>59.383957056845482</v>
      </c>
    </row>
    <row r="47" spans="1:4" x14ac:dyDescent="0.2">
      <c r="A47" s="8">
        <v>43955</v>
      </c>
      <c r="B47" s="56">
        <v>8166</v>
      </c>
      <c r="C47" s="26">
        <f t="shared" si="18"/>
        <v>3.0020181634712411E-2</v>
      </c>
      <c r="D47" s="38">
        <f t="shared" si="19"/>
        <v>23.434238408786449</v>
      </c>
    </row>
    <row r="48" spans="1:4" x14ac:dyDescent="0.2">
      <c r="A48" s="8">
        <v>43956</v>
      </c>
      <c r="B48" s="56">
        <v>8275</v>
      </c>
      <c r="C48" s="26">
        <f t="shared" si="18"/>
        <v>1.3348028410482488E-2</v>
      </c>
      <c r="D48" s="38">
        <f t="shared" si="19"/>
        <v>52.274613886566158</v>
      </c>
    </row>
    <row r="49" spans="1:4" x14ac:dyDescent="0.2">
      <c r="A49" s="8">
        <v>43957</v>
      </c>
      <c r="B49" s="56">
        <v>8386</v>
      </c>
      <c r="C49" s="26">
        <f t="shared" si="18"/>
        <v>1.3413897280966768E-2</v>
      </c>
      <c r="D49" s="38">
        <f t="shared" si="19"/>
        <v>52.019614008401071</v>
      </c>
    </row>
    <row r="50" spans="1:4" x14ac:dyDescent="0.2">
      <c r="A50" s="8">
        <v>43958</v>
      </c>
      <c r="B50" s="56">
        <v>8532</v>
      </c>
      <c r="C50" s="26">
        <f t="shared" si="18"/>
        <v>1.7409968995945622E-2</v>
      </c>
      <c r="D50" s="38">
        <f t="shared" si="19"/>
        <v>40.158811241103884</v>
      </c>
    </row>
    <row r="51" spans="1:4" x14ac:dyDescent="0.2">
      <c r="A51" s="8">
        <v>43959</v>
      </c>
      <c r="B51" s="56">
        <v>8594</v>
      </c>
      <c r="C51" s="26">
        <f t="shared" si="18"/>
        <v>7.266760431317393E-3</v>
      </c>
      <c r="D51" s="38">
        <f t="shared" si="19"/>
        <v>95.732151243481965</v>
      </c>
    </row>
    <row r="52" spans="1:4" x14ac:dyDescent="0.2">
      <c r="A52" s="8">
        <v>43960</v>
      </c>
      <c r="B52" s="56">
        <v>8715</v>
      </c>
      <c r="C52" s="26">
        <f t="shared" si="18"/>
        <v>1.407959041191529E-2</v>
      </c>
      <c r="D52" s="38">
        <f t="shared" si="19"/>
        <v>49.576401282989799</v>
      </c>
    </row>
    <row r="53" spans="1:4" x14ac:dyDescent="0.2">
      <c r="A53" s="8">
        <v>43961</v>
      </c>
      <c r="B53" s="56">
        <v>8823</v>
      </c>
      <c r="C53" s="26">
        <f t="shared" si="18"/>
        <v>1.2392426850258176E-2</v>
      </c>
      <c r="D53" s="38">
        <f t="shared" si="19"/>
        <v>56.278988829986361</v>
      </c>
    </row>
    <row r="54" spans="1:4" x14ac:dyDescent="0.2">
      <c r="A54" s="8">
        <v>43962</v>
      </c>
      <c r="B54" s="56">
        <v>8873</v>
      </c>
      <c r="C54" s="26">
        <f t="shared" si="18"/>
        <v>5.6670066870678909E-3</v>
      </c>
      <c r="D54" s="38">
        <f t="shared" si="19"/>
        <v>122.65899865694688</v>
      </c>
    </row>
    <row r="55" spans="1:4" x14ac:dyDescent="0.2">
      <c r="A55" s="8">
        <v>43963</v>
      </c>
      <c r="B55" s="56">
        <v>9015</v>
      </c>
      <c r="C55" s="26">
        <f t="shared" si="18"/>
        <v>1.6003606446523159E-2</v>
      </c>
      <c r="D55" s="38">
        <f t="shared" si="19"/>
        <v>43.657592657146672</v>
      </c>
    </row>
    <row r="56" spans="1:4" x14ac:dyDescent="0.2">
      <c r="A56" s="8">
        <v>43964</v>
      </c>
      <c r="B56" s="56">
        <v>9071</v>
      </c>
      <c r="C56" s="26">
        <f t="shared" ref="C56" si="20">(B56-B55)/B55</f>
        <v>6.2118691070438157E-3</v>
      </c>
      <c r="D56" s="38">
        <f t="shared" ref="D56" si="21">(LN(2)/LN(B56/B55))</f>
        <v>111.93053433065666</v>
      </c>
    </row>
    <row r="57" spans="1:4" x14ac:dyDescent="0.2">
      <c r="A57" s="8">
        <v>43965</v>
      </c>
      <c r="B57" s="56">
        <v>9151</v>
      </c>
      <c r="C57" s="26">
        <f t="shared" ref="C57" si="22">(B57-B56)/B56</f>
        <v>8.8193142983133063E-3</v>
      </c>
      <c r="D57" s="38">
        <f t="shared" ref="D57" si="23">(LN(2)/LN(B57/B56))</f>
        <v>78.94029233636499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 x14ac:dyDescent="0.2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 x14ac:dyDescent="0.2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 x14ac:dyDescent="0.2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 x14ac:dyDescent="0.2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2020-05-14T20:45:52Z</dcterms:modified>
</cp:coreProperties>
</file>