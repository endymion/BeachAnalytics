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Dropbox rap@endymion.com/Dropbox/BeachAnalytics/analysis/"/>
    </mc:Choice>
  </mc:AlternateContent>
  <xr:revisionPtr revIDLastSave="0" documentId="13_ncr:1_{3A7194AF-6D93-9245-96BF-8C8B850A63F5}" xr6:coauthVersionLast="45" xr6:coauthVersionMax="45" xr10:uidLastSave="{00000000-0000-0000-0000-000000000000}"/>
  <bookViews>
    <workbookView xWindow="0" yWindow="460" windowWidth="28800" windowHeight="17540" firstSheet="1" activeTab="4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5" l="1"/>
  <c r="M7" i="5"/>
  <c r="C58" i="1"/>
  <c r="D58" i="1"/>
  <c r="E58" i="1"/>
  <c r="F58" i="1"/>
  <c r="G58" i="1"/>
  <c r="H58" i="1"/>
  <c r="I58" i="1" s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J59" i="1" l="1"/>
  <c r="I60" i="1"/>
  <c r="J58" i="1"/>
  <c r="I59" i="1"/>
  <c r="J60" i="1"/>
  <c r="C57" i="12"/>
  <c r="D57" i="12"/>
  <c r="C57" i="1"/>
  <c r="D57" i="1"/>
  <c r="E57" i="1"/>
  <c r="F57" i="1"/>
  <c r="G57" i="1"/>
  <c r="J57" i="1" s="1"/>
  <c r="H57" i="1"/>
  <c r="C57" i="10"/>
  <c r="D57" i="10"/>
  <c r="I57" i="1" l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7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1" i="1" s="1"/>
  <c r="U9" i="1"/>
  <c r="C6" i="6" s="1"/>
  <c r="X6" i="1"/>
  <c r="T9" i="1"/>
  <c r="T6" i="1"/>
  <c r="K58" i="1" l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5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O58" i="1" l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3" i="1" s="1"/>
  <c r="C8" i="6" s="1"/>
  <c r="U63" i="1"/>
  <c r="V75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7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9" i="1" l="1"/>
  <c r="U18" i="1"/>
  <c r="V71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<sst xmlns="http://schemas.openxmlformats.org/spreadsheetml/2006/main" count="165" uniqueCount="65">
  <si>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</si>
  <si>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</si>
  <si>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</si>
  <si>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</si>
  <si>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</si>
  <si>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</si>
  <si>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</si>
  <si>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</si>
  <si>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</si>
  <si>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</si>
  <si>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</si>
  <si>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</si>
  <si>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</si>
  <si>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</si>
  <si>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</si>
  <si>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</si>
  <si>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</si>
  <si>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</si>
  <si>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</si>
  <si>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</si>
  <si>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</si>
  <si>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</si>
  <si>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</si>
  <si>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</si>
  <si>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</si>
  <si>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</si>
  <si>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</si>
  <si>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</si>
  <si>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</si>
  <si>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</si>
  <si>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</si>
  <si>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</si>
  <si>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</si>
  <si>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</si>
  <si>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</si>
  <si>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</si>
  <si>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</si>
  <si>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</si>
  <si>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</si>
  <si>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</si>
  <si>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</si>
  <si>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</si>
  <si>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</si>
  <si>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</si>
  <si>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</si>
  <si>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</si>
  <si>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</si>
  <si>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</si>
  <si>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</si>
  <si>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</si>
  <si>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</si>
  <si>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</si>
  <si>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</si>
  <si>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</si>
  <si>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</si>
  <si>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</si>
  <si>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</si>
  <si>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</si>
  <si>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</si>
  <si>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</si>
  <si>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</si>
  <si>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</si>
  <si>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</si>
  <si>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4 - 10</t>
  </si>
  <si>
    <t>May 11 - 17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</si>
</sst>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350735352996129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compute!$D$6:$D$10042</c:f>
              <c:numCache>
                <c:formatCode>0.0%</c:formatCode>
                <c:ptCount val="10037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8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compute!$A$6:$A$10042</c:f>
              <c:numCache>
                <c:formatCode>d\-mmm</c:formatCode>
                <c:ptCount val="10037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</c:numCache>
            </c:numRef>
          </c:cat>
          <c:val>
            <c:numRef>
              <c:f>compute!$E$6:$E$10042</c:f>
              <c:numCache>
                <c:formatCode>0.0</c:formatCode>
                <c:ptCount val="10037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compute!$G$5:$G$10042</c:f>
              <c:numCache>
                <c:formatCode>#,##0</c:formatCode>
                <c:ptCount val="10038"/>
                <c:pt idx="0">
                  <c:v>389.74358974358972</c:v>
                </c:pt>
                <c:pt idx="1">
                  <c:v>502.56410256410254</c:v>
                </c:pt>
                <c:pt idx="2">
                  <c:v>656.41025641025647</c:v>
                </c:pt>
                <c:pt idx="3">
                  <c:v>884.61538461538464</c:v>
                </c:pt>
                <c:pt idx="4">
                  <c:v>1189.7435897435898</c:v>
                </c:pt>
                <c:pt idx="5">
                  <c:v>1546.1538461538462</c:v>
                </c:pt>
                <c:pt idx="6">
                  <c:v>2082.0512820512822</c:v>
                </c:pt>
                <c:pt idx="7">
                  <c:v>2387.1794871794873</c:v>
                </c:pt>
                <c:pt idx="8">
                  <c:v>3023.0769230769229</c:v>
                </c:pt>
                <c:pt idx="9">
                  <c:v>3515.3846153846152</c:v>
                </c:pt>
                <c:pt idx="10">
                  <c:v>4300</c:v>
                </c:pt>
                <c:pt idx="11">
                  <c:v>5023.0769230769229</c:v>
                </c:pt>
                <c:pt idx="12">
                  <c:v>5874.3589743589746</c:v>
                </c:pt>
                <c:pt idx="13">
                  <c:v>6310.2564102564102</c:v>
                </c:pt>
                <c:pt idx="14">
                  <c:v>7184.6153846153848</c:v>
                </c:pt>
                <c:pt idx="15">
                  <c:v>7948.7179487179483</c:v>
                </c:pt>
                <c:pt idx="16">
                  <c:v>8505.1282051282051</c:v>
                </c:pt>
                <c:pt idx="17">
                  <c:v>9197.4358974358965</c:v>
                </c:pt>
                <c:pt idx="18">
                  <c:v>9784.6153846153848</c:v>
                </c:pt>
                <c:pt idx="19">
                  <c:v>10489.74358974359</c:v>
                </c:pt>
                <c:pt idx="20">
                  <c:v>10956.410256410256</c:v>
                </c:pt>
                <c:pt idx="21">
                  <c:v>11505.128205128205</c:v>
                </c:pt>
                <c:pt idx="22">
                  <c:v>11917.948717948719</c:v>
                </c:pt>
                <c:pt idx="23">
                  <c:v>12453.846153846154</c:v>
                </c:pt>
                <c:pt idx="24">
                  <c:v>12866.666666666666</c:v>
                </c:pt>
                <c:pt idx="25">
                  <c:v>13653.846153846154</c:v>
                </c:pt>
                <c:pt idx="26">
                  <c:v>14033.333333333334</c:v>
                </c:pt>
                <c:pt idx="27">
                  <c:v>14474.358974358975</c:v>
                </c:pt>
                <c:pt idx="28">
                  <c:v>15005.128205128205</c:v>
                </c:pt>
                <c:pt idx="29">
                  <c:v>15548.717948717949</c:v>
                </c:pt>
                <c:pt idx="30">
                  <c:v>15966.666666666666</c:v>
                </c:pt>
                <c:pt idx="31">
                  <c:v>16443.589743589742</c:v>
                </c:pt>
                <c:pt idx="32">
                  <c:v>17071.794871794871</c:v>
                </c:pt>
                <c:pt idx="33">
                  <c:v>17205.128205128207</c:v>
                </c:pt>
                <c:pt idx="34">
                  <c:v>17951.282051282051</c:v>
                </c:pt>
                <c:pt idx="35">
                  <c:v>18356.410256410258</c:v>
                </c:pt>
                <c:pt idx="36">
                  <c:v>18882.051282051281</c:v>
                </c:pt>
                <c:pt idx="37">
                  <c:v>19020.51282051282</c:v>
                </c:pt>
                <c:pt idx="38">
                  <c:v>19205.128205128207</c:v>
                </c:pt>
                <c:pt idx="39">
                  <c:v>19705.128205128207</c:v>
                </c:pt>
                <c:pt idx="40">
                  <c:v>20092.307692307691</c:v>
                </c:pt>
                <c:pt idx="41">
                  <c:v>20328.205128205129</c:v>
                </c:pt>
                <c:pt idx="42">
                  <c:v>20938.461538461539</c:v>
                </c:pt>
                <c:pt idx="43">
                  <c:v>21217.948717948719</c:v>
                </c:pt>
                <c:pt idx="44">
                  <c:v>21502.564102564102</c:v>
                </c:pt>
                <c:pt idx="45">
                  <c:v>21876.923076923078</c:v>
                </c:pt>
                <c:pt idx="46">
                  <c:v>22035.897435897437</c:v>
                </c:pt>
                <c:pt idx="47">
                  <c:v>22346.153846153848</c:v>
                </c:pt>
                <c:pt idx="48">
                  <c:v>22623.076923076922</c:v>
                </c:pt>
                <c:pt idx="49">
                  <c:v>22751.282051282051</c:v>
                </c:pt>
                <c:pt idx="50">
                  <c:v>23115.384615384617</c:v>
                </c:pt>
                <c:pt idx="51">
                  <c:v>23258.974358974359</c:v>
                </c:pt>
                <c:pt idx="52">
                  <c:v>23464.102564102563</c:v>
                </c:pt>
                <c:pt idx="53">
                  <c:v>23787.179487179488</c:v>
                </c:pt>
                <c:pt idx="54">
                  <c:v>24215.384615384617</c:v>
                </c:pt>
                <c:pt idx="55">
                  <c:v>24587.179487179488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compute!$I$5:$I$10042</c:f>
              <c:numCache>
                <c:formatCode>#,##0</c:formatCode>
                <c:ptCount val="10038"/>
                <c:pt idx="0">
                  <c:v>173.21937321937321</c:v>
                </c:pt>
                <c:pt idx="1">
                  <c:v>223.36182336182344</c:v>
                </c:pt>
                <c:pt idx="2">
                  <c:v>291.73789173789169</c:v>
                </c:pt>
                <c:pt idx="3">
                  <c:v>393.16239316239319</c:v>
                </c:pt>
                <c:pt idx="4">
                  <c:v>528.77492877492864</c:v>
                </c:pt>
                <c:pt idx="5">
                  <c:v>687.1794871794873</c:v>
                </c:pt>
                <c:pt idx="6">
                  <c:v>925.35612535612518</c:v>
                </c:pt>
                <c:pt idx="7">
                  <c:v>1060.968660968661</c:v>
                </c:pt>
                <c:pt idx="8">
                  <c:v>1343.5897435897441</c:v>
                </c:pt>
                <c:pt idx="9">
                  <c:v>1562.3931623931621</c:v>
                </c:pt>
                <c:pt idx="10">
                  <c:v>1911.1111111111113</c:v>
                </c:pt>
                <c:pt idx="11">
                  <c:v>2232.4786324786328</c:v>
                </c:pt>
                <c:pt idx="12">
                  <c:v>2610.8262108262097</c:v>
                </c:pt>
                <c:pt idx="13">
                  <c:v>2804.5584045584055</c:v>
                </c:pt>
                <c:pt idx="14">
                  <c:v>3193.1623931623926</c:v>
                </c:pt>
                <c:pt idx="15">
                  <c:v>3532.7635327635335</c:v>
                </c:pt>
                <c:pt idx="16">
                  <c:v>3780.0569800569792</c:v>
                </c:pt>
                <c:pt idx="17">
                  <c:v>4087.7492877492878</c:v>
                </c:pt>
                <c:pt idx="18">
                  <c:v>4348.7179487179492</c:v>
                </c:pt>
                <c:pt idx="19">
                  <c:v>4662.1082621082624</c:v>
                </c:pt>
                <c:pt idx="20">
                  <c:v>4869.5156695156693</c:v>
                </c:pt>
                <c:pt idx="21">
                  <c:v>5113.3903133903132</c:v>
                </c:pt>
                <c:pt idx="22">
                  <c:v>5296.8660968660952</c:v>
                </c:pt>
                <c:pt idx="23">
                  <c:v>5535.0427350427362</c:v>
                </c:pt>
                <c:pt idx="24">
                  <c:v>5718.5185185185201</c:v>
                </c:pt>
                <c:pt idx="25">
                  <c:v>6068.3760683760684</c:v>
                </c:pt>
                <c:pt idx="26">
                  <c:v>6237.0370370370347</c:v>
                </c:pt>
                <c:pt idx="27">
                  <c:v>6433.0484330484342</c:v>
                </c:pt>
                <c:pt idx="28">
                  <c:v>6668.9458689458679</c:v>
                </c:pt>
                <c:pt idx="29">
                  <c:v>6910.5413105413099</c:v>
                </c:pt>
                <c:pt idx="30">
                  <c:v>7096.2962962962974</c:v>
                </c:pt>
                <c:pt idx="31">
                  <c:v>7308.2621082621081</c:v>
                </c:pt>
                <c:pt idx="32">
                  <c:v>7587.464387464388</c:v>
                </c:pt>
                <c:pt idx="33">
                  <c:v>7646.7236467236435</c:v>
                </c:pt>
                <c:pt idx="34">
                  <c:v>7978.3475783475806</c:v>
                </c:pt>
                <c:pt idx="35">
                  <c:v>8158.4045584045562</c:v>
                </c:pt>
                <c:pt idx="36">
                  <c:v>8392.0227920227917</c:v>
                </c:pt>
                <c:pt idx="37">
                  <c:v>8453.5612535612527</c:v>
                </c:pt>
                <c:pt idx="38">
                  <c:v>8535.612535612534</c:v>
                </c:pt>
                <c:pt idx="39">
                  <c:v>8757.8347578347566</c:v>
                </c:pt>
                <c:pt idx="40">
                  <c:v>8929.9145299145312</c:v>
                </c:pt>
                <c:pt idx="41">
                  <c:v>9034.7578347578346</c:v>
                </c:pt>
                <c:pt idx="42">
                  <c:v>9305.9829059829062</c:v>
                </c:pt>
                <c:pt idx="43">
                  <c:v>9430.1994301994309</c:v>
                </c:pt>
                <c:pt idx="44">
                  <c:v>9556.6951566951575</c:v>
                </c:pt>
                <c:pt idx="45">
                  <c:v>9723.076923076922</c:v>
                </c:pt>
                <c:pt idx="46">
                  <c:v>9793.732193732194</c:v>
                </c:pt>
                <c:pt idx="47">
                  <c:v>9931.6239316239298</c:v>
                </c:pt>
                <c:pt idx="48">
                  <c:v>10054.700854700855</c:v>
                </c:pt>
                <c:pt idx="49">
                  <c:v>10111.680911680913</c:v>
                </c:pt>
                <c:pt idx="50">
                  <c:v>10273.504273504273</c:v>
                </c:pt>
                <c:pt idx="51">
                  <c:v>10337.32193732194</c:v>
                </c:pt>
                <c:pt idx="52">
                  <c:v>10428.490028490029</c:v>
                </c:pt>
                <c:pt idx="53">
                  <c:v>10572.079772079775</c:v>
                </c:pt>
                <c:pt idx="54">
                  <c:v>10762.393162393164</c:v>
                </c:pt>
                <c:pt idx="55">
                  <c:v>10927.635327635329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compute!$F$5:$F$10042</c:f>
              <c:numCache>
                <c:formatCode>#,##0</c:formatCode>
                <c:ptCount val="10038"/>
                <c:pt idx="0">
                  <c:v>460.60606060606062</c:v>
                </c:pt>
                <c:pt idx="1">
                  <c:v>593.93939393939399</c:v>
                </c:pt>
                <c:pt idx="2">
                  <c:v>775.75757575757575</c:v>
                </c:pt>
                <c:pt idx="3">
                  <c:v>1045.4545454545455</c:v>
                </c:pt>
                <c:pt idx="4">
                  <c:v>1406.060606060606</c:v>
                </c:pt>
                <c:pt idx="5">
                  <c:v>1827.2727272727273</c:v>
                </c:pt>
                <c:pt idx="6">
                  <c:v>2460.6060606060605</c:v>
                </c:pt>
                <c:pt idx="7">
                  <c:v>2821.212121212121</c:v>
                </c:pt>
                <c:pt idx="8">
                  <c:v>3572.7272727272725</c:v>
                </c:pt>
                <c:pt idx="9">
                  <c:v>4154.545454545455</c:v>
                </c:pt>
                <c:pt idx="10">
                  <c:v>5081.818181818182</c:v>
                </c:pt>
                <c:pt idx="11">
                  <c:v>5936.363636363636</c:v>
                </c:pt>
                <c:pt idx="12">
                  <c:v>6942.424242424242</c:v>
                </c:pt>
                <c:pt idx="13">
                  <c:v>7457.575757575758</c:v>
                </c:pt>
                <c:pt idx="14">
                  <c:v>8490.9090909090901</c:v>
                </c:pt>
                <c:pt idx="15">
                  <c:v>9393.939393939394</c:v>
                </c:pt>
                <c:pt idx="16">
                  <c:v>10051.515151515152</c:v>
                </c:pt>
                <c:pt idx="17">
                  <c:v>10869.69696969697</c:v>
                </c:pt>
                <c:pt idx="18">
                  <c:v>11563.636363636364</c:v>
                </c:pt>
                <c:pt idx="19">
                  <c:v>12396.969696969696</c:v>
                </c:pt>
                <c:pt idx="20">
                  <c:v>12948.484848484848</c:v>
                </c:pt>
                <c:pt idx="21">
                  <c:v>13596.969696969696</c:v>
                </c:pt>
                <c:pt idx="22">
                  <c:v>14084.848484848484</c:v>
                </c:pt>
                <c:pt idx="23">
                  <c:v>14718.181818181818</c:v>
                </c:pt>
                <c:pt idx="24">
                  <c:v>15206.060606060606</c:v>
                </c:pt>
                <c:pt idx="25">
                  <c:v>16136.363636363636</c:v>
                </c:pt>
                <c:pt idx="26">
                  <c:v>16584.848484848484</c:v>
                </c:pt>
                <c:pt idx="27">
                  <c:v>17106.060606060608</c:v>
                </c:pt>
                <c:pt idx="28">
                  <c:v>17733.333333333332</c:v>
                </c:pt>
                <c:pt idx="29">
                  <c:v>18375.757575757576</c:v>
                </c:pt>
                <c:pt idx="30">
                  <c:v>18869.696969696968</c:v>
                </c:pt>
                <c:pt idx="31">
                  <c:v>19433.333333333332</c:v>
                </c:pt>
                <c:pt idx="32">
                  <c:v>20175.757575757576</c:v>
                </c:pt>
                <c:pt idx="33">
                  <c:v>20333.333333333332</c:v>
                </c:pt>
                <c:pt idx="34">
                  <c:v>21215.151515151516</c:v>
                </c:pt>
                <c:pt idx="35">
                  <c:v>21693.939393939392</c:v>
                </c:pt>
                <c:pt idx="36">
                  <c:v>22315.151515151516</c:v>
                </c:pt>
                <c:pt idx="37">
                  <c:v>22478.78787878788</c:v>
                </c:pt>
                <c:pt idx="38">
                  <c:v>22696.969696969696</c:v>
                </c:pt>
                <c:pt idx="39">
                  <c:v>23287.878787878788</c:v>
                </c:pt>
                <c:pt idx="40">
                  <c:v>23745.454545454544</c:v>
                </c:pt>
                <c:pt idx="41">
                  <c:v>24024.242424242424</c:v>
                </c:pt>
                <c:pt idx="42">
                  <c:v>24745.454545454544</c:v>
                </c:pt>
                <c:pt idx="43">
                  <c:v>25075.757575757576</c:v>
                </c:pt>
                <c:pt idx="44">
                  <c:v>25412.121212121212</c:v>
                </c:pt>
                <c:pt idx="45">
                  <c:v>25854.545454545456</c:v>
                </c:pt>
                <c:pt idx="46">
                  <c:v>26042.424242424244</c:v>
                </c:pt>
                <c:pt idx="47">
                  <c:v>26409.090909090908</c:v>
                </c:pt>
                <c:pt idx="48">
                  <c:v>26736.363636363636</c:v>
                </c:pt>
                <c:pt idx="49">
                  <c:v>26887.878787878788</c:v>
                </c:pt>
                <c:pt idx="50">
                  <c:v>27318.18181818182</c:v>
                </c:pt>
                <c:pt idx="51">
                  <c:v>27487.878787878788</c:v>
                </c:pt>
                <c:pt idx="52">
                  <c:v>27730.303030303032</c:v>
                </c:pt>
                <c:pt idx="53">
                  <c:v>28112.121212121212</c:v>
                </c:pt>
                <c:pt idx="54">
                  <c:v>28618.18181818182</c:v>
                </c:pt>
                <c:pt idx="55">
                  <c:v>29057.575757575756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07273455225"/>
          <c:y val="0.14745762711864407"/>
          <c:w val="0.8458022154010410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compute!$L$5:$L$60</c:f>
              <c:numCache>
                <c:formatCode>0.0%</c:formatCode>
                <c:ptCount val="56"/>
                <c:pt idx="0">
                  <c:v>8.2763219981480632E-4</c:v>
                </c:pt>
                <c:pt idx="1">
                  <c:v>1.0672099418664609E-3</c:v>
                </c:pt>
                <c:pt idx="2">
                  <c:v>1.3939068628459898E-3</c:v>
                </c:pt>
                <c:pt idx="3">
                  <c:v>1.878507295632291E-3</c:v>
                </c:pt>
                <c:pt idx="4">
                  <c:v>2.5264561889083567E-3</c:v>
                </c:pt>
                <c:pt idx="5">
                  <c:v>3.2833040558442649E-3</c:v>
                </c:pt>
                <c:pt idx="6">
                  <c:v>4.421298330589624E-3</c:v>
                </c:pt>
                <c:pt idx="7">
                  <c:v>5.0692472238656897E-3</c:v>
                </c:pt>
                <c:pt idx="8">
                  <c:v>6.4195944972477411E-3</c:v>
                </c:pt>
                <c:pt idx="9">
                  <c:v>7.465024644382234E-3</c:v>
                </c:pt>
                <c:pt idx="10">
                  <c:v>9.1311789413778318E-3</c:v>
                </c:pt>
                <c:pt idx="11">
                  <c:v>1.0666654469981615E-2</c:v>
                </c:pt>
                <c:pt idx="12">
                  <c:v>1.2474377432735011E-2</c:v>
                </c:pt>
                <c:pt idx="13">
                  <c:v>1.3400018708843674E-2</c:v>
                </c:pt>
                <c:pt idx="14">
                  <c:v>1.5256746209743998E-2</c:v>
                </c:pt>
                <c:pt idx="15">
                  <c:v>1.6879340917275654E-2</c:v>
                </c:pt>
                <c:pt idx="16">
                  <c:v>1.8060894781484954E-2</c:v>
                </c:pt>
                <c:pt idx="17">
                  <c:v>1.9531030925892832E-2</c:v>
                </c:pt>
                <c:pt idx="18">
                  <c:v>2.0777924174298034E-2</c:v>
                </c:pt>
                <c:pt idx="19">
                  <c:v>2.2275285062120877E-2</c:v>
                </c:pt>
                <c:pt idx="20">
                  <c:v>2.3266265722425444E-2</c:v>
                </c:pt>
                <c:pt idx="21">
                  <c:v>2.4431484740585766E-2</c:v>
                </c:pt>
                <c:pt idx="22">
                  <c:v>2.5308121478547503E-2</c:v>
                </c:pt>
                <c:pt idx="23">
                  <c:v>2.6446115753292861E-2</c:v>
                </c:pt>
                <c:pt idx="24">
                  <c:v>2.7322752491254595E-2</c:v>
                </c:pt>
                <c:pt idx="25">
                  <c:v>2.8994351736933186E-2</c:v>
                </c:pt>
                <c:pt idx="26">
                  <c:v>2.9800204142016024E-2</c:v>
                </c:pt>
                <c:pt idx="27">
                  <c:v>3.0736735315490673E-2</c:v>
                </c:pt>
                <c:pt idx="28">
                  <c:v>3.1863839692870044E-2</c:v>
                </c:pt>
                <c:pt idx="29">
                  <c:v>3.3018168813664379E-2</c:v>
                </c:pt>
                <c:pt idx="30">
                  <c:v>3.39056954489921E-2</c:v>
                </c:pt>
                <c:pt idx="31">
                  <c:v>3.4918455904028638E-2</c:v>
                </c:pt>
                <c:pt idx="32">
                  <c:v>3.6252468331361719E-2</c:v>
                </c:pt>
                <c:pt idx="33">
                  <c:v>3.6535605662877314E-2</c:v>
                </c:pt>
                <c:pt idx="34">
                  <c:v>3.8120085729628023E-2</c:v>
                </c:pt>
                <c:pt idx="35">
                  <c:v>3.8980387621540789E-2</c:v>
                </c:pt>
                <c:pt idx="36">
                  <c:v>4.009660210155417E-2</c:v>
                </c:pt>
                <c:pt idx="37">
                  <c:v>4.0390629330435752E-2</c:v>
                </c:pt>
                <c:pt idx="38">
                  <c:v>4.0782665635611184E-2</c:v>
                </c:pt>
                <c:pt idx="39">
                  <c:v>4.1844430628794657E-2</c:v>
                </c:pt>
                <c:pt idx="40">
                  <c:v>4.2666617879926462E-2</c:v>
                </c:pt>
                <c:pt idx="41">
                  <c:v>4.3167553158761744E-2</c:v>
                </c:pt>
                <c:pt idx="42">
                  <c:v>4.4463450945313877E-2</c:v>
                </c:pt>
                <c:pt idx="43">
                  <c:v>4.5056950351760022E-2</c:v>
                </c:pt>
                <c:pt idx="44">
                  <c:v>4.5661339655572147E-2</c:v>
                </c:pt>
                <c:pt idx="45">
                  <c:v>4.6456302163289005E-2</c:v>
                </c:pt>
                <c:pt idx="46">
                  <c:v>4.6793888981634515E-2</c:v>
                </c:pt>
                <c:pt idx="47">
                  <c:v>4.7452727772276569E-2</c:v>
                </c:pt>
                <c:pt idx="48">
                  <c:v>4.8040782230039714E-2</c:v>
                </c:pt>
                <c:pt idx="49">
                  <c:v>4.8313029664189322E-2</c:v>
                </c:pt>
                <c:pt idx="50">
                  <c:v>4.9086212377174213E-2</c:v>
                </c:pt>
                <c:pt idx="51">
                  <c:v>4.9391129503421768E-2</c:v>
                </c:pt>
                <c:pt idx="52">
                  <c:v>4.9826725398061135E-2</c:v>
                </c:pt>
                <c:pt idx="53">
                  <c:v>5.0512788932118156E-2</c:v>
                </c:pt>
                <c:pt idx="54">
                  <c:v>5.1422095362177844E-2</c:v>
                </c:pt>
                <c:pt idx="55">
                  <c:v>5.2211612921211702E-2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compute!$N$5:$N$60</c:f>
              <c:numCache>
                <c:formatCode>0.00%</c:formatCode>
                <c:ptCount val="56"/>
                <c:pt idx="0">
                  <c:v>3.6783653325102512E-4</c:v>
                </c:pt>
                <c:pt idx="1">
                  <c:v>4.7431552971842722E-4</c:v>
                </c:pt>
                <c:pt idx="2">
                  <c:v>6.1951416126488409E-4</c:v>
                </c:pt>
                <c:pt idx="3">
                  <c:v>8.3489213139212922E-4</c:v>
                </c:pt>
                <c:pt idx="4">
                  <c:v>1.1228694172926027E-3</c:v>
                </c:pt>
                <c:pt idx="5">
                  <c:v>1.4592462470418956E-3</c:v>
                </c:pt>
                <c:pt idx="6">
                  <c:v>1.9650214802620549E-3</c:v>
                </c:pt>
                <c:pt idx="7">
                  <c:v>2.2529987661625284E-3</c:v>
                </c:pt>
                <c:pt idx="8">
                  <c:v>2.8531531098878868E-3</c:v>
                </c:pt>
                <c:pt idx="9">
                  <c:v>3.3177887308365479E-3</c:v>
                </c:pt>
                <c:pt idx="10">
                  <c:v>4.0583017517234806E-3</c:v>
                </c:pt>
                <c:pt idx="11">
                  <c:v>4.740735319991831E-3</c:v>
                </c:pt>
                <c:pt idx="12">
                  <c:v>5.5441677478822223E-3</c:v>
                </c:pt>
                <c:pt idx="13">
                  <c:v>5.9555638705971921E-3</c:v>
                </c:pt>
                <c:pt idx="14">
                  <c:v>6.7807760932195524E-3</c:v>
                </c:pt>
                <c:pt idx="15">
                  <c:v>7.5019292965669629E-3</c:v>
                </c:pt>
                <c:pt idx="16">
                  <c:v>8.0270643473266436E-3</c:v>
                </c:pt>
                <c:pt idx="17">
                  <c:v>8.6804581892857002E-3</c:v>
                </c:pt>
                <c:pt idx="18">
                  <c:v>9.2346329663546833E-3</c:v>
                </c:pt>
                <c:pt idx="19">
                  <c:v>9.9001266942759444E-3</c:v>
                </c:pt>
                <c:pt idx="20">
                  <c:v>1.0340562543300198E-2</c:v>
                </c:pt>
                <c:pt idx="21">
                  <c:v>1.0858437662482564E-2</c:v>
                </c:pt>
                <c:pt idx="22">
                  <c:v>1.1248053990465551E-2</c:v>
                </c:pt>
                <c:pt idx="23">
                  <c:v>1.175382922368572E-2</c:v>
                </c:pt>
                <c:pt idx="24">
                  <c:v>1.214344555166871E-2</c:v>
                </c:pt>
                <c:pt idx="25">
                  <c:v>1.2886378549748081E-2</c:v>
                </c:pt>
                <c:pt idx="26">
                  <c:v>1.3244535174229338E-2</c:v>
                </c:pt>
                <c:pt idx="27">
                  <c:v>1.3660771251329192E-2</c:v>
                </c:pt>
                <c:pt idx="28">
                  <c:v>1.4161706530164464E-2</c:v>
                </c:pt>
                <c:pt idx="29">
                  <c:v>1.4674741694961947E-2</c:v>
                </c:pt>
                <c:pt idx="30">
                  <c:v>1.5069197977329828E-2</c:v>
                </c:pt>
                <c:pt idx="31">
                  <c:v>1.5519313735123844E-2</c:v>
                </c:pt>
                <c:pt idx="32">
                  <c:v>1.6112208147271871E-2</c:v>
                </c:pt>
                <c:pt idx="33">
                  <c:v>1.6238046961278799E-2</c:v>
                </c:pt>
                <c:pt idx="34">
                  <c:v>1.6942260324279125E-2</c:v>
                </c:pt>
                <c:pt idx="35">
                  <c:v>1.7324616720684784E-2</c:v>
                </c:pt>
                <c:pt idx="36">
                  <c:v>1.782071204513519E-2</c:v>
                </c:pt>
                <c:pt idx="37">
                  <c:v>1.7951390813526993E-2</c:v>
                </c:pt>
                <c:pt idx="38">
                  <c:v>1.8125629171382746E-2</c:v>
                </c:pt>
                <c:pt idx="39">
                  <c:v>1.8597524723908729E-2</c:v>
                </c:pt>
                <c:pt idx="40">
                  <c:v>1.8962941279967324E-2</c:v>
                </c:pt>
                <c:pt idx="41">
                  <c:v>1.9185579181671887E-2</c:v>
                </c:pt>
                <c:pt idx="42">
                  <c:v>1.9761533753472831E-2</c:v>
                </c:pt>
                <c:pt idx="43">
                  <c:v>2.00253112674489E-2</c:v>
                </c:pt>
                <c:pt idx="44">
                  <c:v>2.0293928735809846E-2</c:v>
                </c:pt>
                <c:pt idx="45">
                  <c:v>2.0647245405906213E-2</c:v>
                </c:pt>
                <c:pt idx="46">
                  <c:v>2.079728399183757E-2</c:v>
                </c:pt>
                <c:pt idx="47">
                  <c:v>2.1090101232122911E-2</c:v>
                </c:pt>
                <c:pt idx="48">
                  <c:v>2.1351458768906539E-2</c:v>
                </c:pt>
                <c:pt idx="49">
                  <c:v>2.1472457628528591E-2</c:v>
                </c:pt>
                <c:pt idx="50">
                  <c:v>2.1816094389855198E-2</c:v>
                </c:pt>
                <c:pt idx="51">
                  <c:v>2.1951613112631899E-2</c:v>
                </c:pt>
                <c:pt idx="52">
                  <c:v>2.2145211288027176E-2</c:v>
                </c:pt>
                <c:pt idx="53">
                  <c:v>2.2450128414274732E-2</c:v>
                </c:pt>
                <c:pt idx="54">
                  <c:v>2.2854264605412372E-2</c:v>
                </c:pt>
                <c:pt idx="55">
                  <c:v>2.3205161298316311E-2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compute!$A$5:$A$60</c:f>
              <c:numCache>
                <c:formatCode>d\-mmm</c:formatCode>
                <c:ptCount val="56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3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compute!$Q$5:$Q$10042</c:f>
              <c:numCache>
                <c:formatCode>0</c:formatCode>
                <c:ptCount val="10038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compute!$R$5:$R$10042</c:f>
              <c:numCache>
                <c:formatCode>0</c:formatCode>
                <c:ptCount val="10038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layout>
                <c:manualLayout>
                  <c:x val="-0.11623931623931637"/>
                  <c:y val="-5.7627118644067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compute!$S$5:$S$10042</c:f>
              <c:numCache>
                <c:formatCode>0</c:formatCode>
                <c:ptCount val="10038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compute!$C$5:$C$61</c:f>
              <c:numCache>
                <c:formatCode>0.0%</c:formatCode>
                <c:ptCount val="57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compute!$A$5:$A$10042</c:f>
              <c:numCache>
                <c:formatCode>d\-mmm</c:formatCode>
                <c:ptCount val="10038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</c:numCache>
            </c:numRef>
          </c:cat>
          <c:val>
            <c:numRef>
              <c:f>compute!$K$5:$K$60</c:f>
              <c:numCache>
                <c:formatCode>0.0%</c:formatCode>
                <c:ptCount val="56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4 - 10</c:v>
                </c:pt>
                <c:pt idx="1">
                  <c:v>May 11 - 17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895</c:v>
                </c:pt>
                <c:pt idx="1">
                  <c:v>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1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17,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0.2773</cdr:x>
      <cdr:y>0.2845</cdr:y>
    </cdr:from>
    <cdr:to>
      <cdr:x>0.78069</cdr:x>
      <cdr:y>0.4322</cdr:y>
    </cdr:to>
    <cdr:sp macro="" textlink="compute!$V$7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60214" y="2131770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0.71654</cdr:x>
      <cdr:y>0.79754</cdr:y>
    </cdr:from>
    <cdr:to>
      <cdr:x>0.84323</cdr:x>
      <cdr:y>0.82968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321822" y="5988279"/>
          <a:ext cx="940939" cy="2413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1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1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1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1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17,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0" totalsRowShown="0" headerRowDxfId="23" dataDxfId="22" headerRowCellStyle="Heading 3">
  <autoFilter ref="A4:V60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tabSelected="1" topLeftCell="C26" zoomScale="237" zoomScaleNormal="100" workbookViewId="0">
      <selection activeCell="K30" sqref="K30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L17" sqref="L17"/>
    </sheetView>
  </sheetViews>
  <sheetFormatPr baseColWidth="10" defaultRowHeight="16" x14ac:dyDescent="0.2"/>
  <cols>
    <col min="12" max="12" width="16.1640625" customWidth="1"/>
  </cols>
  <sheetData>
    <row r="7" spans="12:13" x14ac:dyDescent="0.2">
      <c r="L7" s="33" t="s">
        <v>63</v>
      </c>
      <c r="M7">
        <f>compute!B53-compute!B46</f>
        <v>895</v>
      </c>
    </row>
    <row r="8" spans="12:13" x14ac:dyDescent="0.2">
      <c r="L8" s="33" t="s">
        <v>64</v>
      </c>
      <c r="M8">
        <f>compute!B60-compute!B53</f>
        <v>766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9589</v>
      </c>
      <c r="D6" s="24"/>
      <c r="E6" s="17"/>
      <c r="F6" s="18"/>
      <c r="G6" s="82">
        <f ca="1">compute!U12</f>
        <v>29057.575757575756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compute!V73</f>
        <v>doubing in 45.5 days</v>
      </c>
      <c r="D8" s="44"/>
      <c r="E8" s="43"/>
      <c r="F8" s="46"/>
      <c r="G8" s="47" t="str">
        <f ca="1">compute!V75</f>
        <v>+1.5%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6.1704633452341097E-2</v>
      </c>
      <c r="D14" s="18"/>
      <c r="E14" s="17"/>
      <c r="F14" s="18"/>
      <c r="G14" s="19">
        <f ca="1">compute!U18</f>
        <v>8.4188251419036693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7"/>
  <sheetViews>
    <sheetView workbookViewId="0">
      <selection sqref="A1:B60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9" t="s">
        <v>40</v>
      </c>
      <c r="B1" s="9" t="s">
        <v>44</v>
      </c>
      <c r="C1" s="71"/>
    </row>
    <row r="2" spans="1:24" ht="17" x14ac:dyDescent="0.2">
      <c r="A2" s="9" t="s">
        <v>41</v>
      </c>
      <c r="B2" s="57">
        <v>470914</v>
      </c>
      <c r="C2" s="72"/>
    </row>
    <row r="3" spans="1:24" x14ac:dyDescent="0.2">
      <c r="A3" s="9" t="s">
        <v>43</v>
      </c>
      <c r="B3" s="12" t="s">
        <v>35</v>
      </c>
      <c r="C3" s="71"/>
    </row>
    <row r="4" spans="1:24" s="2" customFormat="1" ht="81" customHeight="1" thickBot="1" x14ac:dyDescent="0.25">
      <c r="A4" s="62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460.60606060606062</v>
      </c>
      <c r="G5" s="56">
        <f>Table2[[#This Row],[cases]]*100/$T$13</f>
        <v>389.74358974358972</v>
      </c>
      <c r="H5" s="56">
        <f>Table2[[#This Row],[cases]]*100/$T$16</f>
        <v>562.96296296296293</v>
      </c>
      <c r="I5" s="56">
        <f>Table2[[#This Row],[infection count, high end of estimate range]]-Table2[[#This Row],[infection count, low end of estimate range]]</f>
        <v>173.21937321937321</v>
      </c>
      <c r="J5" s="56">
        <f>(Table2[[#This Row],[infection count, low end of estimate range]]+Table2[[#This Row],[infection count, high end of estimate range]])/2</f>
        <v>476.35327635327633</v>
      </c>
      <c r="K5" s="26">
        <f>Table2[[#This Row],[estimated infections]]/$T$6</f>
        <v>9.7811078159931665E-4</v>
      </c>
      <c r="L5" s="26">
        <f>Table2[[#This Row],[infection count, low end of estimate range]]/$T$6</f>
        <v>8.2763219981480632E-4</v>
      </c>
      <c r="M5" s="26">
        <f>Table2[[#This Row],[infection count, high end of estimate range]]/$T$6</f>
        <v>1.1954687330658314E-3</v>
      </c>
      <c r="N5" s="14">
        <f>Table2[[#This Row],[infection percentage, high end of estimate range]]-Table2[[#This Row],[infection percentage, low end of estimate range]]</f>
        <v>3.6783653325102512E-4</v>
      </c>
      <c r="O5" s="26">
        <f>(Table2[[#This Row],[infection percentage, low end of estimate range]]+Table2[[#This Row],[infection percentage, high end of estimate range]])/2</f>
        <v>1.0115504664403188E-3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593.93939393939399</v>
      </c>
      <c r="G6" s="56">
        <f>Table2[[#This Row],[cases]]*100/$T$13</f>
        <v>502.56410256410254</v>
      </c>
      <c r="H6" s="56">
        <f>Table2[[#This Row],[cases]]*100/$T$16</f>
        <v>725.92592592592598</v>
      </c>
      <c r="I6" s="56">
        <f>Table2[[#This Row],[infection count, high end of estimate range]]-Table2[[#This Row],[infection count, low end of estimate range]]</f>
        <v>223.36182336182344</v>
      </c>
      <c r="J6" s="56">
        <f>(Table2[[#This Row],[infection count, low end of estimate range]]+Table2[[#This Row],[infection count, high end of estimate range]])/2</f>
        <v>614.24501424501432</v>
      </c>
      <c r="K6" s="26">
        <f>Table2[[#This Row],[estimated infections]]/$T$6</f>
        <v>1.2612481131149085E-3</v>
      </c>
      <c r="L6" s="26">
        <f>Table2[[#This Row],[infection count, low end of estimate range]]/$T$6</f>
        <v>1.0672099418664609E-3</v>
      </c>
      <c r="M6" s="26">
        <f>Table2[[#This Row],[infection count, high end of estimate range]]/$T$6</f>
        <v>1.5415254715848881E-3</v>
      </c>
      <c r="N6" s="14">
        <f>Table2[[#This Row],[infection percentage, high end of estimate range]]-Table2[[#This Row],[infection percentage, low end of estimate range]]</f>
        <v>4.7431552971842722E-4</v>
      </c>
      <c r="O6" s="26">
        <f>(Table2[[#This Row],[infection percentage, low end of estimate range]]+Table2[[#This Row],[infection percentage, high end of estimate range]])/2</f>
        <v>1.3043677067256744E-3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OFFSET(compute!A5,COUNTA(compute!A5:A10038)-1,0)</f>
        <v>43968</v>
      </c>
      <c r="V6" s="3"/>
      <c r="X6" t="str">
        <f>"Number of Confirmed COVID-19 Cases " &amp; B1</f>
        <v>Number of Confirmed COVID-19 Cases Miami</v>
      </c>
    </row>
    <row r="7" spans="1:24" x14ac:dyDescent="0.2">
      <c r="A7" s="8">
        <v>43915</v>
      </c>
      <c r="B7" s="9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775.75757575757575</v>
      </c>
      <c r="G7" s="56">
        <f>Table2[[#This Row],[cases]]*100/$T$13</f>
        <v>656.41025641025647</v>
      </c>
      <c r="H7" s="56">
        <f>Table2[[#This Row],[cases]]*100/$T$16</f>
        <v>948.14814814814815</v>
      </c>
      <c r="I7" s="56">
        <f>Table2[[#This Row],[infection count, high end of estimate range]]-Table2[[#This Row],[infection count, low end of estimate range]]</f>
        <v>291.73789173789169</v>
      </c>
      <c r="J7" s="56">
        <f>(Table2[[#This Row],[infection count, low end of estimate range]]+Table2[[#This Row],[infection count, high end of estimate range]])/2</f>
        <v>802.27920227920231</v>
      </c>
      <c r="K7" s="26">
        <f>Table2[[#This Row],[estimated infections]]/$T$6</f>
        <v>1.6473444742725334E-3</v>
      </c>
      <c r="L7" s="26">
        <f>Table2[[#This Row],[infection count, low end of estimate range]]/$T$6</f>
        <v>1.3939068628459898E-3</v>
      </c>
      <c r="M7" s="26">
        <f>Table2[[#This Row],[infection count, high end of estimate range]]/$T$6</f>
        <v>2.0134210241108739E-3</v>
      </c>
      <c r="N7" s="14">
        <f>Table2[[#This Row],[infection percentage, high end of estimate range]]-Table2[[#This Row],[infection percentage, low end of estimate range]]</f>
        <v>6.1951416126488409E-4</v>
      </c>
      <c r="O7" s="26">
        <f>(Table2[[#This Row],[infection percentage, low end of estimate range]]+Table2[[#This Row],[infection percentage, high end of estimate range]])/2</f>
        <v>1.7036639434784319E-3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 x14ac:dyDescent="0.2">
      <c r="A8" s="8">
        <v>43916</v>
      </c>
      <c r="B8" s="9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1045.4545454545455</v>
      </c>
      <c r="G8" s="56">
        <f>Table2[[#This Row],[cases]]*100/$T$13</f>
        <v>884.61538461538464</v>
      </c>
      <c r="H8" s="56">
        <f>Table2[[#This Row],[cases]]*100/$T$16</f>
        <v>1277.7777777777778</v>
      </c>
      <c r="I8" s="56">
        <f>Table2[[#This Row],[infection count, high end of estimate range]]-Table2[[#This Row],[infection count, low end of estimate range]]</f>
        <v>393.16239316239319</v>
      </c>
      <c r="J8" s="56">
        <f>(Table2[[#This Row],[infection count, low end of estimate range]]+Table2[[#This Row],[infection count, high end of estimate range]])/2</f>
        <v>1081.1965811965813</v>
      </c>
      <c r="K8" s="26">
        <f>Table2[[#This Row],[estimated infections]]/$T$6</f>
        <v>2.220054076656344E-3</v>
      </c>
      <c r="L8" s="26">
        <f>Table2[[#This Row],[infection count, low end of estimate range]]/$T$6</f>
        <v>1.878507295632291E-3</v>
      </c>
      <c r="M8" s="26">
        <f>Table2[[#This Row],[infection count, high end of estimate range]]/$T$6</f>
        <v>2.7133994270244202E-3</v>
      </c>
      <c r="N8" s="14">
        <f>Table2[[#This Row],[infection percentage, high end of estimate range]]-Table2[[#This Row],[infection percentage, low end of estimate range]]</f>
        <v>8.3489213139212922E-4</v>
      </c>
      <c r="O8" s="26">
        <f>(Table2[[#This Row],[infection percentage, low end of estimate range]]+Table2[[#This Row],[infection percentage, high end of estimate range]])/2</f>
        <v>2.2959533613283556E-3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1406.060606060606</v>
      </c>
      <c r="G9" s="56">
        <f>Table2[[#This Row],[cases]]*100/$T$13</f>
        <v>1189.7435897435898</v>
      </c>
      <c r="H9" s="56">
        <f>Table2[[#This Row],[cases]]*100/$T$16</f>
        <v>1718.5185185185185</v>
      </c>
      <c r="I9" s="56">
        <f>Table2[[#This Row],[infection count, high end of estimate range]]-Table2[[#This Row],[infection count, low end of estimate range]]</f>
        <v>528.77492877492864</v>
      </c>
      <c r="J9" s="56">
        <f>(Table2[[#This Row],[infection count, low end of estimate range]]+Table2[[#This Row],[infection count, high end of estimate range]])/2</f>
        <v>1454.131054131054</v>
      </c>
      <c r="K9" s="26">
        <f>Table2[[#This Row],[estimated infections]]/$T$6</f>
        <v>2.9858118596189664E-3</v>
      </c>
      <c r="L9" s="26">
        <f>Table2[[#This Row],[infection count, low end of estimate range]]/$T$6</f>
        <v>2.5264561889083567E-3</v>
      </c>
      <c r="M9" s="26">
        <f>Table2[[#This Row],[infection count, high end of estimate range]]/$T$6</f>
        <v>3.6493256062009594E-3</v>
      </c>
      <c r="N9" s="14">
        <f>Table2[[#This Row],[infection percentage, high end of estimate range]]-Table2[[#This Row],[infection percentage, low end of estimate range]]</f>
        <v>1.1228694172926027E-3</v>
      </c>
      <c r="O9" s="26">
        <f>(Table2[[#This Row],[infection percentage, low end of estimate range]]+Table2[[#This Row],[infection percentage, high end of estimate range]])/2</f>
        <v>3.087890897554658E-3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OFFSET(compute!B4,COUNTA(compute!B4:B10038)-1,0)</f>
        <v>9589</v>
      </c>
      <c r="V9" s="3"/>
    </row>
    <row r="10" spans="1:24" x14ac:dyDescent="0.2">
      <c r="A10" s="8">
        <v>43918</v>
      </c>
      <c r="B10" s="9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1827.2727272727273</v>
      </c>
      <c r="G10" s="56">
        <f>Table2[[#This Row],[cases]]*100/$T$13</f>
        <v>1546.1538461538462</v>
      </c>
      <c r="H10" s="56">
        <f>Table2[[#This Row],[cases]]*100/$T$16</f>
        <v>2233.3333333333335</v>
      </c>
      <c r="I10" s="56">
        <f>Table2[[#This Row],[infection count, high end of estimate range]]-Table2[[#This Row],[infection count, low end of estimate range]]</f>
        <v>687.1794871794873</v>
      </c>
      <c r="J10" s="56">
        <f>(Table2[[#This Row],[infection count, low end of estimate range]]+Table2[[#This Row],[infection count, high end of estimate range]])/2</f>
        <v>1889.7435897435898</v>
      </c>
      <c r="K10" s="26">
        <f>Table2[[#This Row],[estimated infections]]/$T$6</f>
        <v>3.8802684296341313E-3</v>
      </c>
      <c r="L10" s="26">
        <f>Table2[[#This Row],[infection count, low end of estimate range]]/$T$6</f>
        <v>3.2833040558442649E-3</v>
      </c>
      <c r="M10" s="26">
        <f>Table2[[#This Row],[infection count, high end of estimate range]]/$T$6</f>
        <v>4.7425503028861605E-3</v>
      </c>
      <c r="N10" s="14">
        <f>Table2[[#This Row],[infection percentage, high end of estimate range]]-Table2[[#This Row],[infection percentage, low end of estimate range]]</f>
        <v>1.4592462470418956E-3</v>
      </c>
      <c r="O10" s="26">
        <f>(Table2[[#This Row],[infection percentage, low end of estimate range]]+Table2[[#This Row],[infection percentage, high end of estimate range]])/2</f>
        <v>4.0129271793652131E-3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 x14ac:dyDescent="0.2">
      <c r="A11" s="8">
        <v>43919</v>
      </c>
      <c r="B11" s="9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2460.6060606060605</v>
      </c>
      <c r="G11" s="56">
        <f>Table2[[#This Row],[cases]]*100/$T$13</f>
        <v>2082.0512820512822</v>
      </c>
      <c r="H11" s="56">
        <f>Table2[[#This Row],[cases]]*100/$T$16</f>
        <v>3007.4074074074074</v>
      </c>
      <c r="I11" s="56">
        <f>Table2[[#This Row],[infection count, high end of estimate range]]-Table2[[#This Row],[infection count, low end of estimate range]]</f>
        <v>925.35612535612518</v>
      </c>
      <c r="J11" s="56">
        <f>(Table2[[#This Row],[infection count, low end of estimate range]]+Table2[[#This Row],[infection count, high end of estimate range]])/2</f>
        <v>2544.729344729345</v>
      </c>
      <c r="K11" s="26">
        <f>Table2[[#This Row],[estimated infections]]/$T$6</f>
        <v>5.2251707543331917E-3</v>
      </c>
      <c r="L11" s="26">
        <f>Table2[[#This Row],[infection count, low end of estimate range]]/$T$6</f>
        <v>4.421298330589624E-3</v>
      </c>
      <c r="M11" s="26">
        <f>Table2[[#This Row],[infection count, high end of estimate range]]/$T$6</f>
        <v>6.3863198108516789E-3</v>
      </c>
      <c r="N11" s="14">
        <f>Table2[[#This Row],[infection percentage, high end of estimate range]]-Table2[[#This Row],[infection percentage, low end of estimate range]]</f>
        <v>1.9650214802620549E-3</v>
      </c>
      <c r="O11" s="26">
        <f>(Table2[[#This Row],[infection percentage, low end of estimate range]]+Table2[[#This Row],[infection percentage, high end of estimate range]])/2</f>
        <v>5.4038090707206514E-3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2821.212121212121</v>
      </c>
      <c r="G12" s="56">
        <f>Table2[[#This Row],[cases]]*100/$T$13</f>
        <v>2387.1794871794873</v>
      </c>
      <c r="H12" s="56">
        <f>Table2[[#This Row],[cases]]*100/$T$16</f>
        <v>3448.1481481481483</v>
      </c>
      <c r="I12" s="56">
        <f>Table2[[#This Row],[infection count, high end of estimate range]]-Table2[[#This Row],[infection count, low end of estimate range]]</f>
        <v>1060.968660968661</v>
      </c>
      <c r="J12" s="56">
        <f>(Table2[[#This Row],[infection count, low end of estimate range]]+Table2[[#This Row],[infection count, high end of estimate range]])/2</f>
        <v>2917.663817663818</v>
      </c>
      <c r="K12" s="26">
        <f>Table2[[#This Row],[estimated infections]]/$T$6</f>
        <v>5.9909285372958141E-3</v>
      </c>
      <c r="L12" s="26">
        <f>Table2[[#This Row],[infection count, low end of estimate range]]/$T$6</f>
        <v>5.0692472238656897E-3</v>
      </c>
      <c r="M12" s="26">
        <f>Table2[[#This Row],[infection count, high end of estimate range]]/$T$6</f>
        <v>7.3222459900282181E-3</v>
      </c>
      <c r="N12" s="14">
        <f>Table2[[#This Row],[infection percentage, high end of estimate range]]-Table2[[#This Row],[infection percentage, low end of estimate range]]</f>
        <v>2.2529987661625284E-3</v>
      </c>
      <c r="O12" s="26">
        <f>(Table2[[#This Row],[infection percentage, low end of estimate range]]+Table2[[#This Row],[infection percentage, high end of estimate range]])/2</f>
        <v>6.1957466069469539E-3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29057.575757575756</v>
      </c>
      <c r="V12" s="3"/>
    </row>
    <row r="13" spans="1:24" x14ac:dyDescent="0.2">
      <c r="A13" s="8">
        <v>43921</v>
      </c>
      <c r="B13" s="56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3572.7272727272725</v>
      </c>
      <c r="G13" s="56">
        <f>Table2[[#This Row],[cases]]*100/$T$13</f>
        <v>3023.0769230769229</v>
      </c>
      <c r="H13" s="56">
        <f>Table2[[#This Row],[cases]]*100/$T$16</f>
        <v>4366.666666666667</v>
      </c>
      <c r="I13" s="56">
        <f>Table2[[#This Row],[infection count, high end of estimate range]]-Table2[[#This Row],[infection count, low end of estimate range]]</f>
        <v>1343.5897435897441</v>
      </c>
      <c r="J13" s="56">
        <f>(Table2[[#This Row],[infection count, low end of estimate range]]+Table2[[#This Row],[infection count, high end of estimate range]])/2</f>
        <v>3694.8717948717949</v>
      </c>
      <c r="K13" s="26">
        <f>Table2[[#This Row],[estimated infections]]/$T$6</f>
        <v>7.5867934967473304E-3</v>
      </c>
      <c r="L13" s="26">
        <f>Table2[[#This Row],[infection count, low end of estimate range]]/$T$6</f>
        <v>6.4195944972477411E-3</v>
      </c>
      <c r="M13" s="26">
        <f>Table2[[#This Row],[infection count, high end of estimate range]]/$T$6</f>
        <v>9.2727476071356278E-3</v>
      </c>
      <c r="N13" s="14">
        <f>Table2[[#This Row],[infection percentage, high end of estimate range]]-Table2[[#This Row],[infection percentage, low end of estimate range]]</f>
        <v>2.8531531098878868E-3</v>
      </c>
      <c r="O13" s="26">
        <f>(Table2[[#This Row],[infection percentage, low end of estimate range]]+Table2[[#This Row],[infection percentage, high end of estimate range]])/2</f>
        <v>7.846171052191684E-3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39</v>
      </c>
      <c r="V13" s="3"/>
    </row>
    <row r="14" spans="1:24" x14ac:dyDescent="0.2">
      <c r="A14" s="8">
        <v>43922</v>
      </c>
      <c r="B14" s="56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4154.545454545455</v>
      </c>
      <c r="G14" s="56">
        <f>Table2[[#This Row],[cases]]*100/$T$13</f>
        <v>3515.3846153846152</v>
      </c>
      <c r="H14" s="56">
        <f>Table2[[#This Row],[cases]]*100/$T$16</f>
        <v>5077.7777777777774</v>
      </c>
      <c r="I14" s="56">
        <f>Table2[[#This Row],[infection count, high end of estimate range]]-Table2[[#This Row],[infection count, low end of estimate range]]</f>
        <v>1562.3931623931621</v>
      </c>
      <c r="J14" s="56">
        <f>(Table2[[#This Row],[infection count, low end of estimate range]]+Table2[[#This Row],[infection count, high end of estimate range]])/2</f>
        <v>4296.5811965811963</v>
      </c>
      <c r="K14" s="26">
        <f>Table2[[#This Row],[estimated infections]]/$T$6</f>
        <v>8.8223018524517319E-3</v>
      </c>
      <c r="L14" s="26">
        <f>Table2[[#This Row],[infection count, low end of estimate range]]/$T$6</f>
        <v>7.465024644382234E-3</v>
      </c>
      <c r="M14" s="26">
        <f>Table2[[#This Row],[infection count, high end of estimate range]]/$T$6</f>
        <v>1.0782813375218782E-2</v>
      </c>
      <c r="N14" s="14">
        <f>Table2[[#This Row],[infection percentage, high end of estimate range]]-Table2[[#This Row],[infection percentage, low end of estimate range]]</f>
        <v>3.3177887308365479E-3</v>
      </c>
      <c r="O14" s="26">
        <f>(Table2[[#This Row],[infection percentage, low end of estimate range]]+Table2[[#This Row],[infection percentage, high end of estimate range]])/2</f>
        <v>9.1239190098005088E-3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 x14ac:dyDescent="0.2">
      <c r="A15" s="8">
        <v>43923</v>
      </c>
      <c r="B15" s="56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5081.818181818182</v>
      </c>
      <c r="G15" s="56">
        <f>Table2[[#This Row],[cases]]*100/$T$13</f>
        <v>4300</v>
      </c>
      <c r="H15" s="56">
        <f>Table2[[#This Row],[cases]]*100/$T$16</f>
        <v>6211.1111111111113</v>
      </c>
      <c r="I15" s="56">
        <f>Table2[[#This Row],[infection count, high end of estimate range]]-Table2[[#This Row],[infection count, low end of estimate range]]</f>
        <v>1911.1111111111113</v>
      </c>
      <c r="J15" s="56">
        <f>(Table2[[#This Row],[infection count, low end of estimate range]]+Table2[[#This Row],[infection count, high end of estimate range]])/2</f>
        <v>5255.5555555555557</v>
      </c>
      <c r="K15" s="26">
        <f>Table2[[#This Row],[estimated infections]]/$T$6</f>
        <v>1.079139329435562E-2</v>
      </c>
      <c r="L15" s="26">
        <f>Table2[[#This Row],[infection count, low end of estimate range]]/$T$6</f>
        <v>9.1311789413778318E-3</v>
      </c>
      <c r="M15" s="26">
        <f>Table2[[#This Row],[infection count, high end of estimate range]]/$T$6</f>
        <v>1.3189480693101312E-2</v>
      </c>
      <c r="N15" s="14">
        <f>Table2[[#This Row],[infection percentage, high end of estimate range]]-Table2[[#This Row],[infection percentage, low end of estimate range]]</f>
        <v>4.0583017517234806E-3</v>
      </c>
      <c r="O15" s="26">
        <f>(Table2[[#This Row],[infection percentage, low end of estimate range]]+Table2[[#This Row],[infection percentage, high end of estimate range]])/2</f>
        <v>1.1160329817239571E-2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6.1704633452341097E-2</v>
      </c>
      <c r="V15" s="3"/>
    </row>
    <row r="16" spans="1:24" x14ac:dyDescent="0.2">
      <c r="A16" s="8">
        <v>43924</v>
      </c>
      <c r="B16" s="56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5936.363636363636</v>
      </c>
      <c r="G16" s="56">
        <f>Table2[[#This Row],[cases]]*100/$T$13</f>
        <v>5023.0769230769229</v>
      </c>
      <c r="H16" s="56">
        <f>Table2[[#This Row],[cases]]*100/$T$16</f>
        <v>7255.5555555555557</v>
      </c>
      <c r="I16" s="56">
        <f>Table2[[#This Row],[infection count, high end of estimate range]]-Table2[[#This Row],[infection count, low end of estimate range]]</f>
        <v>2232.4786324786328</v>
      </c>
      <c r="J16" s="56">
        <f>(Table2[[#This Row],[infection count, low end of estimate range]]+Table2[[#This Row],[infection count, high end of estimate range]])/2</f>
        <v>6139.3162393162393</v>
      </c>
      <c r="K16" s="26">
        <f>Table2[[#This Row],[estimated infections]]/$T$6</f>
        <v>1.2606046191796455E-2</v>
      </c>
      <c r="L16" s="26">
        <f>Table2[[#This Row],[infection count, low end of estimate range]]/$T$6</f>
        <v>1.0666654469981615E-2</v>
      </c>
      <c r="M16" s="26">
        <f>Table2[[#This Row],[infection count, high end of estimate range]]/$T$6</f>
        <v>1.5407389789973447E-2</v>
      </c>
      <c r="N16" s="14">
        <f>Table2[[#This Row],[infection percentage, high end of estimate range]]-Table2[[#This Row],[infection percentage, low end of estimate range]]</f>
        <v>4.740735319991831E-3</v>
      </c>
      <c r="O16" s="26">
        <f>(Table2[[#This Row],[infection percentage, low end of estimate range]]+Table2[[#This Row],[infection percentage, high end of estimate range]])/2</f>
        <v>1.3037022129977531E-2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27</v>
      </c>
      <c r="V16" s="3"/>
    </row>
    <row r="17" spans="1:22" x14ac:dyDescent="0.2">
      <c r="A17" s="8">
        <v>43925</v>
      </c>
      <c r="B17" s="56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6942.424242424242</v>
      </c>
      <c r="G17" s="56">
        <f>Table2[[#This Row],[cases]]*100/$T$13</f>
        <v>5874.3589743589746</v>
      </c>
      <c r="H17" s="56">
        <f>Table2[[#This Row],[cases]]*100/$T$16</f>
        <v>8485.1851851851843</v>
      </c>
      <c r="I17" s="56">
        <f>Table2[[#This Row],[infection count, high end of estimate range]]-Table2[[#This Row],[infection count, low end of estimate range]]</f>
        <v>2610.8262108262097</v>
      </c>
      <c r="J17" s="56">
        <f>(Table2[[#This Row],[infection count, low end of estimate range]]+Table2[[#This Row],[infection count, high end of estimate range]])/2</f>
        <v>7179.7720797720795</v>
      </c>
      <c r="K17" s="26">
        <f>Table2[[#This Row],[estimated infections]]/$T$6</f>
        <v>1.4742446056868646E-2</v>
      </c>
      <c r="L17" s="26">
        <f>Table2[[#This Row],[infection count, low end of estimate range]]/$T$6</f>
        <v>1.2474377432735011E-2</v>
      </c>
      <c r="M17" s="26">
        <f>Table2[[#This Row],[infection count, high end of estimate range]]/$T$6</f>
        <v>1.8018545180617233E-2</v>
      </c>
      <c r="N17" s="14">
        <f>Table2[[#This Row],[infection percentage, high end of estimate range]]-Table2[[#This Row],[infection percentage, low end of estimate range]]</f>
        <v>5.5441677478822223E-3</v>
      </c>
      <c r="O17" s="26">
        <f>(Table2[[#This Row],[infection percentage, low end of estimate range]]+Table2[[#This Row],[infection percentage, high end of estimate range]])/2</f>
        <v>1.5246461306676121E-2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 x14ac:dyDescent="0.2">
      <c r="A18" s="8">
        <v>43926</v>
      </c>
      <c r="B18" s="56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7457.575757575758</v>
      </c>
      <c r="G18" s="56">
        <f>Table2[[#This Row],[cases]]*100/$T$13</f>
        <v>6310.2564102564102</v>
      </c>
      <c r="H18" s="56">
        <f>Table2[[#This Row],[cases]]*100/$T$16</f>
        <v>9114.8148148148157</v>
      </c>
      <c r="I18" s="56">
        <f>Table2[[#This Row],[infection count, high end of estimate range]]-Table2[[#This Row],[infection count, low end of estimate range]]</f>
        <v>2804.5584045584055</v>
      </c>
      <c r="J18" s="56">
        <f>(Table2[[#This Row],[infection count, low end of estimate range]]+Table2[[#This Row],[infection count, high end of estimate range]])/2</f>
        <v>7712.5356125356129</v>
      </c>
      <c r="K18" s="26">
        <f>Table2[[#This Row],[estimated infections]]/$T$6</f>
        <v>1.5836385746815253E-2</v>
      </c>
      <c r="L18" s="26">
        <f>Table2[[#This Row],[infection count, low end of estimate range]]/$T$6</f>
        <v>1.3400018708843674E-2</v>
      </c>
      <c r="M18" s="26">
        <f>Table2[[#This Row],[infection count, high end of estimate range]]/$T$6</f>
        <v>1.9355582579440866E-2</v>
      </c>
      <c r="N18" s="14">
        <f>Table2[[#This Row],[infection percentage, high end of estimate range]]-Table2[[#This Row],[infection percentage, low end of estimate range]]</f>
        <v>5.9555638705971921E-3</v>
      </c>
      <c r="O18" s="26">
        <f>(Table2[[#This Row],[infection percentage, low end of estimate range]]+Table2[[#This Row],[infection percentage, high end of estimate range]])/2</f>
        <v>1.6377800644142272E-2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8.4188251419036693</v>
      </c>
      <c r="V18" s="3"/>
    </row>
    <row r="19" spans="1:22" x14ac:dyDescent="0.2">
      <c r="A19" s="8">
        <v>43927</v>
      </c>
      <c r="B19" s="56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8490.9090909090901</v>
      </c>
      <c r="G19" s="35">
        <f>Table2[[#This Row],[cases]]*100/$T$13</f>
        <v>7184.6153846153848</v>
      </c>
      <c r="H19" s="35">
        <f>Table2[[#This Row],[cases]]*100/$T$16</f>
        <v>10377.777777777777</v>
      </c>
      <c r="I19" s="35">
        <f>Table2[[#This Row],[infection count, high end of estimate range]]-Table2[[#This Row],[infection count, low end of estimate range]]</f>
        <v>3193.1623931623926</v>
      </c>
      <c r="J19" s="35">
        <f>(Table2[[#This Row],[infection count, low end of estimate range]]+Table2[[#This Row],[infection count, high end of estimate range]])/2</f>
        <v>8781.196581196582</v>
      </c>
      <c r="K19" s="26">
        <f>Table2[[#This Row],[estimated infections]]/$T$6</f>
        <v>1.8030700066061087E-2</v>
      </c>
      <c r="L19" s="27">
        <f>Table2[[#This Row],[infection count, low end of estimate range]]/$T$6</f>
        <v>1.5256746209743998E-2</v>
      </c>
      <c r="M19" s="26">
        <f>Table2[[#This Row],[infection count, high end of estimate range]]/$T$6</f>
        <v>2.203752230296355E-2</v>
      </c>
      <c r="N19" s="15">
        <f>Table2[[#This Row],[infection percentage, high end of estimate range]]-Table2[[#This Row],[infection percentage, low end of estimate range]]</f>
        <v>6.7807760932195524E-3</v>
      </c>
      <c r="O19" s="27">
        <f>(Table2[[#This Row],[infection percentage, low end of estimate range]]+Table2[[#This Row],[infection percentage, high end of estimate range]])/2</f>
        <v>1.8647134256353774E-2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33</v>
      </c>
      <c r="V19" s="32" t="s">
        <v>23</v>
      </c>
    </row>
    <row r="20" spans="1:22" x14ac:dyDescent="0.2">
      <c r="A20" s="8">
        <v>43928</v>
      </c>
      <c r="B20" s="56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9393.939393939394</v>
      </c>
      <c r="G20" s="35">
        <f>Table2[[#This Row],[cases]]*100/$T$13</f>
        <v>7948.7179487179483</v>
      </c>
      <c r="H20" s="35">
        <f>Table2[[#This Row],[cases]]*100/$T$16</f>
        <v>11481.481481481482</v>
      </c>
      <c r="I20" s="35">
        <f>Table2[[#This Row],[infection count, high end of estimate range]]-Table2[[#This Row],[infection count, low end of estimate range]]</f>
        <v>3532.7635327635335</v>
      </c>
      <c r="J20" s="35">
        <f>(Table2[[#This Row],[infection count, low end of estimate range]]+Table2[[#This Row],[infection count, high end of estimate range]])/2</f>
        <v>9715.0997150997155</v>
      </c>
      <c r="K20" s="26">
        <f>Table2[[#This Row],[estimated infections]]/$T$6</f>
        <v>1.9948311993143959E-2</v>
      </c>
      <c r="L20" s="27">
        <f>Table2[[#This Row],[infection count, low end of estimate range]]/$T$6</f>
        <v>1.6879340917275654E-2</v>
      </c>
      <c r="M20" s="26">
        <f>Table2[[#This Row],[infection count, high end of estimate range]]/$T$6</f>
        <v>2.4381270213842617E-2</v>
      </c>
      <c r="N20" s="15">
        <f>Table2[[#This Row],[infection percentage, high end of estimate range]]-Table2[[#This Row],[infection percentage, low end of estimate range]]</f>
        <v>7.5019292965669629E-3</v>
      </c>
      <c r="O20" s="27">
        <f>(Table2[[#This Row],[infection percentage, low end of estimate range]]+Table2[[#This Row],[infection percentage, high end of estimate range]])/2</f>
        <v>2.0630305565559136E-2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 x14ac:dyDescent="0.2">
      <c r="A21" s="8">
        <v>43929</v>
      </c>
      <c r="B21" s="56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10051.515151515152</v>
      </c>
      <c r="G21" s="35">
        <f>Table2[[#This Row],[cases]]*100/$T$13</f>
        <v>8505.1282051282051</v>
      </c>
      <c r="H21" s="35">
        <f>Table2[[#This Row],[cases]]*100/$T$16</f>
        <v>12285.185185185184</v>
      </c>
      <c r="I21" s="35">
        <f>Table2[[#This Row],[infection count, high end of estimate range]]-Table2[[#This Row],[infection count, low end of estimate range]]</f>
        <v>3780.0569800569792</v>
      </c>
      <c r="J21" s="35">
        <f>(Table2[[#This Row],[infection count, low end of estimate range]]+Table2[[#This Row],[infection count, high end of estimate range]])/2</f>
        <v>10395.156695156695</v>
      </c>
      <c r="K21" s="26">
        <f>Table2[[#This Row],[estimated infections]]/$T$6</f>
        <v>2.1344693832664036E-2</v>
      </c>
      <c r="L21" s="27">
        <f>Table2[[#This Row],[infection count, low end of estimate range]]/$T$6</f>
        <v>1.8060894781484954E-2</v>
      </c>
      <c r="M21" s="27">
        <f>Table2[[#This Row],[infection count, high end of estimate range]]/$T$6</f>
        <v>2.6087959128811598E-2</v>
      </c>
      <c r="N21" s="15">
        <f>Table2[[#This Row],[infection percentage, high end of estimate range]]-Table2[[#This Row],[infection percentage, low end of estimate range]]</f>
        <v>8.0270643473266436E-3</v>
      </c>
      <c r="O21" s="27">
        <f>(Table2[[#This Row],[infection percentage, low end of estimate range]]+Table2[[#This Row],[infection percentage, high end of estimate range]])/2</f>
        <v>2.2074426955148274E-2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45.491086389368192</v>
      </c>
      <c r="V21" s="31"/>
    </row>
    <row r="22" spans="1:22" x14ac:dyDescent="0.2">
      <c r="A22" s="8">
        <v>43930</v>
      </c>
      <c r="B22" s="56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10869.69696969697</v>
      </c>
      <c r="G22" s="35">
        <f>Table2[[#This Row],[cases]]*100/$T$13</f>
        <v>9197.4358974358965</v>
      </c>
      <c r="H22" s="35">
        <f>Table2[[#This Row],[cases]]*100/$T$16</f>
        <v>13285.185185185184</v>
      </c>
      <c r="I22" s="35">
        <f>Table2[[#This Row],[infection count, high end of estimate range]]-Table2[[#This Row],[infection count, low end of estimate range]]</f>
        <v>4087.7492877492878</v>
      </c>
      <c r="J22" s="35">
        <f>(Table2[[#This Row],[infection count, low end of estimate range]]+Table2[[#This Row],[infection count, high end of estimate range]])/2</f>
        <v>11241.31054131054</v>
      </c>
      <c r="K22" s="26">
        <f>Table2[[#This Row],[estimated infections]]/$T$6</f>
        <v>2.3082127457873348E-2</v>
      </c>
      <c r="L22" s="27">
        <f>Table2[[#This Row],[infection count, low end of estimate range]]/$T$6</f>
        <v>1.9531030925892832E-2</v>
      </c>
      <c r="M22" s="27">
        <f>Table2[[#This Row],[infection count, high end of estimate range]]/$T$6</f>
        <v>2.8211489115178533E-2</v>
      </c>
      <c r="N22" s="15">
        <f>Table2[[#This Row],[infection percentage, high end of estimate range]]-Table2[[#This Row],[infection percentage, low end of estimate range]]</f>
        <v>8.6804581892857002E-3</v>
      </c>
      <c r="O22" s="27">
        <f>(Table2[[#This Row],[infection percentage, low end of estimate range]]+Table2[[#This Row],[infection percentage, high end of estimate range]])/2</f>
        <v>2.3871260020535683E-2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 x14ac:dyDescent="0.2">
      <c r="A23" s="8">
        <v>43931</v>
      </c>
      <c r="B23" s="56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11563.636363636364</v>
      </c>
      <c r="G23" s="35">
        <f>Table2[[#This Row],[cases]]*100/$T$13</f>
        <v>9784.6153846153848</v>
      </c>
      <c r="H23" s="35">
        <f>Table2[[#This Row],[cases]]*100/$T$16</f>
        <v>14133.333333333334</v>
      </c>
      <c r="I23" s="35">
        <f>Table2[[#This Row],[infection count, high end of estimate range]]-Table2[[#This Row],[infection count, low end of estimate range]]</f>
        <v>4348.7179487179492</v>
      </c>
      <c r="J23" s="35">
        <f>(Table2[[#This Row],[infection count, low end of estimate range]]+Table2[[#This Row],[infection count, high end of estimate range]])/2</f>
        <v>11958.974358974359</v>
      </c>
      <c r="K23" s="26">
        <f>Table2[[#This Row],[estimated infections]]/$T$6</f>
        <v>2.455572856962495E-2</v>
      </c>
      <c r="L23" s="27">
        <f>Table2[[#This Row],[infection count, low end of estimate range]]/$T$6</f>
        <v>2.0777924174298034E-2</v>
      </c>
      <c r="M23" s="27">
        <f>Table2[[#This Row],[infection count, high end of estimate range]]/$T$6</f>
        <v>3.0012557140652717E-2</v>
      </c>
      <c r="N23" s="15">
        <f>Table2[[#This Row],[infection percentage, high end of estimate range]]-Table2[[#This Row],[infection percentage, low end of estimate range]]</f>
        <v>9.2346329663546833E-3</v>
      </c>
      <c r="O23" s="27">
        <f>(Table2[[#This Row],[infection percentage, low end of estimate range]]+Table2[[#This Row],[infection percentage, high end of estimate range]])/2</f>
        <v>2.5395240657475376E-2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 x14ac:dyDescent="0.2">
      <c r="A24" s="8">
        <v>43932</v>
      </c>
      <c r="B24" s="56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12396.969696969696</v>
      </c>
      <c r="G24" s="35">
        <f>Table2[[#This Row],[cases]]*100/$T$13</f>
        <v>10489.74358974359</v>
      </c>
      <c r="H24" s="35">
        <f>Table2[[#This Row],[cases]]*100/$T$16</f>
        <v>15151.851851851852</v>
      </c>
      <c r="I24" s="35">
        <f>Table2[[#This Row],[infection count, high end of estimate range]]-Table2[[#This Row],[infection count, low end of estimate range]]</f>
        <v>4662.1082621082624</v>
      </c>
      <c r="J24" s="35">
        <f>(Table2[[#This Row],[infection count, low end of estimate range]]+Table2[[#This Row],[infection count, high end of estimate range]])/2</f>
        <v>12820.79772079772</v>
      </c>
      <c r="K24" s="26">
        <f>Table2[[#This Row],[estimated infections]]/$T$6</f>
        <v>2.6325336891597394E-2</v>
      </c>
      <c r="L24" s="27">
        <f>Table2[[#This Row],[infection count, low end of estimate range]]/$T$6</f>
        <v>2.2275285062120877E-2</v>
      </c>
      <c r="M24" s="27">
        <f>Table2[[#This Row],[infection count, high end of estimate range]]/$T$6</f>
        <v>3.2175411756396821E-2</v>
      </c>
      <c r="N24" s="15">
        <f>Table2[[#This Row],[infection percentage, high end of estimate range]]-Table2[[#This Row],[infection percentage, low end of estimate range]]</f>
        <v>9.9001266942759444E-3</v>
      </c>
      <c r="O24" s="27">
        <f>(Table2[[#This Row],[infection percentage, low end of estimate range]]+Table2[[#This Row],[infection percentage, high end of estimate range]])/2</f>
        <v>2.7225348409258849E-2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 x14ac:dyDescent="0.2">
      <c r="A25" s="8">
        <v>43933</v>
      </c>
      <c r="B25" s="56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12948.484848484848</v>
      </c>
      <c r="G25" s="35">
        <f>Table2[[#This Row],[cases]]*100/$T$13</f>
        <v>10956.410256410256</v>
      </c>
      <c r="H25" s="35">
        <f>Table2[[#This Row],[cases]]*100/$T$16</f>
        <v>15825.925925925925</v>
      </c>
      <c r="I25" s="35">
        <f>Table2[[#This Row],[infection count, high end of estimate range]]-Table2[[#This Row],[infection count, low end of estimate range]]</f>
        <v>4869.5156695156693</v>
      </c>
      <c r="J25" s="35">
        <f>(Table2[[#This Row],[infection count, low end of estimate range]]+Table2[[#This Row],[infection count, high end of estimate range]])/2</f>
        <v>13391.168091168091</v>
      </c>
      <c r="K25" s="26">
        <f>Table2[[#This Row],[estimated infections]]/$T$6</f>
        <v>2.7496495853775525E-2</v>
      </c>
      <c r="L25" s="27">
        <f>Table2[[#This Row],[infection count, low end of estimate range]]/$T$6</f>
        <v>2.3266265722425444E-2</v>
      </c>
      <c r="M25" s="27">
        <f>Table2[[#This Row],[infection count, high end of estimate range]]/$T$6</f>
        <v>3.3606828265725641E-2</v>
      </c>
      <c r="N25" s="15">
        <f>Table2[[#This Row],[infection percentage, high end of estimate range]]-Table2[[#This Row],[infection percentage, low end of estimate range]]</f>
        <v>1.0340562543300198E-2</v>
      </c>
      <c r="O25" s="27">
        <f>(Table2[[#This Row],[infection percentage, low end of estimate range]]+Table2[[#This Row],[infection percentage, high end of estimate range]])/2</f>
        <v>2.8436546994075544E-2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 x14ac:dyDescent="0.2">
      <c r="A26" s="8">
        <v>43934</v>
      </c>
      <c r="B26" s="56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13596.969696969696</v>
      </c>
      <c r="G26" s="35">
        <f>Table2[[#This Row],[cases]]*100/$T$13</f>
        <v>11505.128205128205</v>
      </c>
      <c r="H26" s="35">
        <f>Table2[[#This Row],[cases]]*100/$T$16</f>
        <v>16618.518518518518</v>
      </c>
      <c r="I26" s="35">
        <f>Table2[[#This Row],[infection count, high end of estimate range]]-Table2[[#This Row],[infection count, low end of estimate range]]</f>
        <v>5113.3903133903132</v>
      </c>
      <c r="J26" s="35">
        <f>(Table2[[#This Row],[infection count, low end of estimate range]]+Table2[[#This Row],[infection count, high end of estimate range]])/2</f>
        <v>14061.823361823361</v>
      </c>
      <c r="K26" s="26">
        <f>Table2[[#This Row],[estimated infections]]/$T$6</f>
        <v>2.8873572875237719E-2</v>
      </c>
      <c r="L26" s="27">
        <f>Table2[[#This Row],[infection count, low end of estimate range]]/$T$6</f>
        <v>2.4431484740585766E-2</v>
      </c>
      <c r="M26" s="27">
        <f>Table2[[#This Row],[infection count, high end of estimate range]]/$T$6</f>
        <v>3.528992240306833E-2</v>
      </c>
      <c r="N26" s="15">
        <f>Table2[[#This Row],[infection percentage, high end of estimate range]]-Table2[[#This Row],[infection percentage, low end of estimate range]]</f>
        <v>1.0858437662482564E-2</v>
      </c>
      <c r="O26" s="27">
        <f>(Table2[[#This Row],[infection percentage, low end of estimate range]]+Table2[[#This Row],[infection percentage, high end of estimate range]])/2</f>
        <v>2.9860703571827046E-2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 x14ac:dyDescent="0.2">
      <c r="A27" s="8">
        <v>43935</v>
      </c>
      <c r="B27" s="56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14084.848484848484</v>
      </c>
      <c r="G27" s="35">
        <f>Table2[[#This Row],[cases]]*100/$T$13</f>
        <v>11917.948717948719</v>
      </c>
      <c r="H27" s="35">
        <f>Table2[[#This Row],[cases]]*100/$T$16</f>
        <v>17214.814814814814</v>
      </c>
      <c r="I27" s="35">
        <f>Table2[[#This Row],[infection count, high end of estimate range]]-Table2[[#This Row],[infection count, low end of estimate range]]</f>
        <v>5296.8660968660952</v>
      </c>
      <c r="J27" s="35">
        <f>(Table2[[#This Row],[infection count, low end of estimate range]]+Table2[[#This Row],[infection count, high end of estimate range]])/2</f>
        <v>14566.381766381766</v>
      </c>
      <c r="K27" s="26">
        <f>Table2[[#This Row],[estimated infections]]/$T$6</f>
        <v>2.9909598111010682E-2</v>
      </c>
      <c r="L27" s="27">
        <f>Table2[[#This Row],[infection count, low end of estimate range]]/$T$6</f>
        <v>2.5308121478547503E-2</v>
      </c>
      <c r="M27" s="27">
        <f>Table2[[#This Row],[infection count, high end of estimate range]]/$T$6</f>
        <v>3.6556175469013054E-2</v>
      </c>
      <c r="N27" s="15">
        <f>Table2[[#This Row],[infection percentage, high end of estimate range]]-Table2[[#This Row],[infection percentage, low end of estimate range]]</f>
        <v>1.1248053990465551E-2</v>
      </c>
      <c r="O27" s="27">
        <f>(Table2[[#This Row],[infection percentage, low end of estimate range]]+Table2[[#This Row],[infection percentage, high end of estimate range]])/2</f>
        <v>3.0932148473780278E-2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 x14ac:dyDescent="0.2">
      <c r="A28" s="8">
        <v>43936</v>
      </c>
      <c r="B28" s="56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14718.181818181818</v>
      </c>
      <c r="G28" s="35">
        <f>Table2[[#This Row],[cases]]*100/$T$13</f>
        <v>12453.846153846154</v>
      </c>
      <c r="H28" s="35">
        <f>Table2[[#This Row],[cases]]*100/$T$16</f>
        <v>17988.888888888891</v>
      </c>
      <c r="I28" s="35">
        <f>Table2[[#This Row],[infection count, high end of estimate range]]-Table2[[#This Row],[infection count, low end of estimate range]]</f>
        <v>5535.0427350427362</v>
      </c>
      <c r="J28" s="35">
        <f>(Table2[[#This Row],[infection count, low end of estimate range]]+Table2[[#This Row],[infection count, high end of estimate range]])/2</f>
        <v>15221.367521367523</v>
      </c>
      <c r="K28" s="26">
        <f>Table2[[#This Row],[estimated infections]]/$T$6</f>
        <v>3.1254500435709744E-2</v>
      </c>
      <c r="L28" s="27">
        <f>Table2[[#This Row],[infection count, low end of estimate range]]/$T$6</f>
        <v>2.6446115753292861E-2</v>
      </c>
      <c r="M28" s="27">
        <f>Table2[[#This Row],[infection count, high end of estimate range]]/$T$6</f>
        <v>3.8199944976978581E-2</v>
      </c>
      <c r="N28" s="15">
        <f>Table2[[#This Row],[infection percentage, high end of estimate range]]-Table2[[#This Row],[infection percentage, low end of estimate range]]</f>
        <v>1.175382922368572E-2</v>
      </c>
      <c r="O28" s="27">
        <f>(Table2[[#This Row],[infection percentage, low end of estimate range]]+Table2[[#This Row],[infection percentage, high end of estimate range]])/2</f>
        <v>3.2323030365135723E-2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 x14ac:dyDescent="0.2">
      <c r="A29" s="8">
        <v>43937</v>
      </c>
      <c r="B29" s="56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15206.060606060606</v>
      </c>
      <c r="G29" s="35">
        <f>Table2[[#This Row],[cases]]*100/$T$13</f>
        <v>12866.666666666666</v>
      </c>
      <c r="H29" s="35">
        <f>Table2[[#This Row],[cases]]*100/$T$16</f>
        <v>18585.185185185186</v>
      </c>
      <c r="I29" s="35">
        <f>Table2[[#This Row],[infection count, high end of estimate range]]-Table2[[#This Row],[infection count, low end of estimate range]]</f>
        <v>5718.5185185185201</v>
      </c>
      <c r="J29" s="35">
        <f>(Table2[[#This Row],[infection count, low end of estimate range]]+Table2[[#This Row],[infection count, high end of estimate range]])/2</f>
        <v>15725.925925925927</v>
      </c>
      <c r="K29" s="26">
        <f>Table2[[#This Row],[estimated infections]]/$T$6</f>
        <v>3.2290525671482703E-2</v>
      </c>
      <c r="L29" s="27">
        <f>Table2[[#This Row],[infection count, low end of estimate range]]/$T$6</f>
        <v>2.7322752491254595E-2</v>
      </c>
      <c r="M29" s="27">
        <f>Table2[[#This Row],[infection count, high end of estimate range]]/$T$6</f>
        <v>3.9466198042923305E-2</v>
      </c>
      <c r="N29" s="15">
        <f>Table2[[#This Row],[infection percentage, high end of estimate range]]-Table2[[#This Row],[infection percentage, low end of estimate range]]</f>
        <v>1.214344555166871E-2</v>
      </c>
      <c r="O29" s="27">
        <f>(Table2[[#This Row],[infection percentage, low end of estimate range]]+Table2[[#This Row],[infection percentage, high end of estimate range]])/2</f>
        <v>3.3394475267088948E-2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 x14ac:dyDescent="0.2">
      <c r="A30" s="8">
        <v>43938</v>
      </c>
      <c r="B30" s="56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16136.363636363636</v>
      </c>
      <c r="G30" s="35">
        <f>Table2[[#This Row],[cases]]*100/$T$13</f>
        <v>13653.846153846154</v>
      </c>
      <c r="H30" s="35">
        <f>Table2[[#This Row],[cases]]*100/$T$16</f>
        <v>19722.222222222223</v>
      </c>
      <c r="I30" s="35">
        <f>Table2[[#This Row],[infection count, high end of estimate range]]-Table2[[#This Row],[infection count, low end of estimate range]]</f>
        <v>6068.3760683760684</v>
      </c>
      <c r="J30" s="35">
        <f>(Table2[[#This Row],[infection count, low end of estimate range]]+Table2[[#This Row],[infection count, high end of estimate range]])/2</f>
        <v>16688.034188034188</v>
      </c>
      <c r="K30" s="26">
        <f>Table2[[#This Row],[estimated infections]]/$T$6</f>
        <v>3.4266052052739221E-2</v>
      </c>
      <c r="L30" s="27">
        <f>Table2[[#This Row],[infection count, low end of estimate range]]/$T$6</f>
        <v>2.8994351736933186E-2</v>
      </c>
      <c r="M30" s="27">
        <f>Table2[[#This Row],[infection count, high end of estimate range]]/$T$6</f>
        <v>4.1880730286681267E-2</v>
      </c>
      <c r="N30" s="15">
        <f>Table2[[#This Row],[infection percentage, high end of estimate range]]-Table2[[#This Row],[infection percentage, low end of estimate range]]</f>
        <v>1.2886378549748081E-2</v>
      </c>
      <c r="O30" s="27">
        <f>(Table2[[#This Row],[infection percentage, low end of estimate range]]+Table2[[#This Row],[infection percentage, high end of estimate range]])/2</f>
        <v>3.5437541011807225E-2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 x14ac:dyDescent="0.2">
      <c r="A31" s="8">
        <v>43939</v>
      </c>
      <c r="B31" s="56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16584.848484848484</v>
      </c>
      <c r="G31" s="35">
        <f>Table2[[#This Row],[cases]]*100/$T$13</f>
        <v>14033.333333333334</v>
      </c>
      <c r="H31" s="35">
        <f>Table2[[#This Row],[cases]]*100/$T$16</f>
        <v>20270.370370370369</v>
      </c>
      <c r="I31" s="35">
        <f>Table2[[#This Row],[infection count, high end of estimate range]]-Table2[[#This Row],[infection count, low end of estimate range]]</f>
        <v>6237.0370370370347</v>
      </c>
      <c r="J31" s="35">
        <f>(Table2[[#This Row],[infection count, low end of estimate range]]+Table2[[#This Row],[infection count, high end of estimate range]])/2</f>
        <v>17151.85185185185</v>
      </c>
      <c r="K31" s="26">
        <f>Table2[[#This Row],[estimated infections]]/$T$6</f>
        <v>3.5218423076928025E-2</v>
      </c>
      <c r="L31" s="27">
        <f>Table2[[#This Row],[infection count, low end of estimate range]]/$T$6</f>
        <v>2.9800204142016024E-2</v>
      </c>
      <c r="M31" s="27">
        <f>Table2[[#This Row],[infection count, high end of estimate range]]/$T$6</f>
        <v>4.3044739316245362E-2</v>
      </c>
      <c r="N31" s="15">
        <f>Table2[[#This Row],[infection percentage, high end of estimate range]]-Table2[[#This Row],[infection percentage, low end of estimate range]]</f>
        <v>1.3244535174229338E-2</v>
      </c>
      <c r="O31" s="27">
        <f>(Table2[[#This Row],[infection percentage, low end of estimate range]]+Table2[[#This Row],[infection percentage, high end of estimate range]])/2</f>
        <v>3.6422471729130691E-2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 x14ac:dyDescent="0.2">
      <c r="A32" s="8">
        <v>43940</v>
      </c>
      <c r="B32" s="56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17106.060606060608</v>
      </c>
      <c r="G32" s="35">
        <f>Table2[[#This Row],[cases]]*100/$T$13</f>
        <v>14474.358974358975</v>
      </c>
      <c r="H32" s="35">
        <f>Table2[[#This Row],[cases]]*100/$T$16</f>
        <v>20907.407407407409</v>
      </c>
      <c r="I32" s="35">
        <f>Table2[[#This Row],[infection count, high end of estimate range]]-Table2[[#This Row],[infection count, low end of estimate range]]</f>
        <v>6433.0484330484342</v>
      </c>
      <c r="J32" s="35">
        <f>(Table2[[#This Row],[infection count, low end of estimate range]]+Table2[[#This Row],[infection count, high end of estimate range]])/2</f>
        <v>17690.883190883193</v>
      </c>
      <c r="K32" s="26">
        <f>Table2[[#This Row],[estimated infections]]/$T$6</f>
        <v>3.6325232645579887E-2</v>
      </c>
      <c r="L32" s="27">
        <f>Table2[[#This Row],[infection count, low end of estimate range]]/$T$6</f>
        <v>3.0736735315490673E-2</v>
      </c>
      <c r="M32" s="27">
        <f>Table2[[#This Row],[infection count, high end of estimate range]]/$T$6</f>
        <v>4.4397506566819865E-2</v>
      </c>
      <c r="N32" s="15">
        <f>Table2[[#This Row],[infection percentage, high end of estimate range]]-Table2[[#This Row],[infection percentage, low end of estimate range]]</f>
        <v>1.3660771251329192E-2</v>
      </c>
      <c r="O32" s="27">
        <f>(Table2[[#This Row],[infection percentage, low end of estimate range]]+Table2[[#This Row],[infection percentage, high end of estimate range]])/2</f>
        <v>3.7567120941155267E-2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 x14ac:dyDescent="0.2">
      <c r="A33" s="8">
        <v>43941</v>
      </c>
      <c r="B33" s="56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17733.333333333332</v>
      </c>
      <c r="G33" s="35">
        <f>Table2[[#This Row],[cases]]*100/$T$13</f>
        <v>15005.128205128205</v>
      </c>
      <c r="H33" s="35">
        <f>Table2[[#This Row],[cases]]*100/$T$16</f>
        <v>21674.074074074073</v>
      </c>
      <c r="I33" s="35">
        <f>Table2[[#This Row],[infection count, high end of estimate range]]-Table2[[#This Row],[infection count, low end of estimate range]]</f>
        <v>6668.9458689458679</v>
      </c>
      <c r="J33" s="35">
        <f>(Table2[[#This Row],[infection count, low end of estimate range]]+Table2[[#This Row],[infection count, high end of estimate range]])/2</f>
        <v>18339.601139601138</v>
      </c>
      <c r="K33" s="26">
        <f>Table2[[#This Row],[estimated infections]]/$T$6</f>
        <v>3.7657265091573688E-2</v>
      </c>
      <c r="L33" s="27">
        <f>Table2[[#This Row],[infection count, low end of estimate range]]/$T$6</f>
        <v>3.1863839692870044E-2</v>
      </c>
      <c r="M33" s="27">
        <f>Table2[[#This Row],[infection count, high end of estimate range]]/$T$6</f>
        <v>4.6025546223034508E-2</v>
      </c>
      <c r="N33" s="15">
        <f>Table2[[#This Row],[infection percentage, high end of estimate range]]-Table2[[#This Row],[infection percentage, low end of estimate range]]</f>
        <v>1.4161706530164464E-2</v>
      </c>
      <c r="O33" s="27">
        <f>(Table2[[#This Row],[infection percentage, low end of estimate range]]+Table2[[#This Row],[infection percentage, high end of estimate range]])/2</f>
        <v>3.8944692957952276E-2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 x14ac:dyDescent="0.2">
      <c r="A34" s="8">
        <v>43942</v>
      </c>
      <c r="B34" s="56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18375.757575757576</v>
      </c>
      <c r="G34" s="35">
        <f>Table2[[#This Row],[cases]]*100/$T$13</f>
        <v>15548.717948717949</v>
      </c>
      <c r="H34" s="35">
        <f>Table2[[#This Row],[cases]]*100/$T$16</f>
        <v>22459.259259259259</v>
      </c>
      <c r="I34" s="35">
        <f>Table2[[#This Row],[infection count, high end of estimate range]]-Table2[[#This Row],[infection count, low end of estimate range]]</f>
        <v>6910.5413105413099</v>
      </c>
      <c r="J34" s="35">
        <f>(Table2[[#This Row],[infection count, low end of estimate range]]+Table2[[#This Row],[infection count, high end of estimate range]])/2</f>
        <v>19003.988603988604</v>
      </c>
      <c r="K34" s="26">
        <f>Table2[[#This Row],[estimated infections]]/$T$6</f>
        <v>3.9021472234330633E-2</v>
      </c>
      <c r="L34" s="27">
        <f>Table2[[#This Row],[infection count, low end of estimate range]]/$T$6</f>
        <v>3.3018168813664379E-2</v>
      </c>
      <c r="M34" s="27">
        <f>Table2[[#This Row],[infection count, high end of estimate range]]/$T$6</f>
        <v>4.7692910508626327E-2</v>
      </c>
      <c r="N34" s="15">
        <f>Table2[[#This Row],[infection percentage, high end of estimate range]]-Table2[[#This Row],[infection percentage, low end of estimate range]]</f>
        <v>1.4674741694961947E-2</v>
      </c>
      <c r="O34" s="27">
        <f>(Table2[[#This Row],[infection percentage, low end of estimate range]]+Table2[[#This Row],[infection percentage, high end of estimate range]])/2</f>
        <v>4.0355539661145357E-2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 x14ac:dyDescent="0.2">
      <c r="A35" s="8">
        <v>43943</v>
      </c>
      <c r="B35" s="56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18869.696969696968</v>
      </c>
      <c r="G35" s="35">
        <f>Table2[[#This Row],[cases]]*100/$T$13</f>
        <v>15966.666666666666</v>
      </c>
      <c r="H35" s="35">
        <f>Table2[[#This Row],[cases]]*100/$T$16</f>
        <v>23062.962962962964</v>
      </c>
      <c r="I35" s="35">
        <f>Table2[[#This Row],[infection count, high end of estimate range]]-Table2[[#This Row],[infection count, low end of estimate range]]</f>
        <v>7096.2962962962974</v>
      </c>
      <c r="J35" s="35">
        <f>(Table2[[#This Row],[infection count, low end of estimate range]]+Table2[[#This Row],[infection count, high end of estimate range]])/2</f>
        <v>19514.814814814814</v>
      </c>
      <c r="K35" s="26">
        <f>Table2[[#This Row],[estimated infections]]/$T$6</f>
        <v>4.0070367348808845E-2</v>
      </c>
      <c r="L35" s="27">
        <f>Table2[[#This Row],[infection count, low end of estimate range]]/$T$6</f>
        <v>3.39056954489921E-2</v>
      </c>
      <c r="M35" s="27">
        <f>Table2[[#This Row],[infection count, high end of estimate range]]/$T$6</f>
        <v>4.8974893426321928E-2</v>
      </c>
      <c r="N35" s="15">
        <f>Table2[[#This Row],[infection percentage, high end of estimate range]]-Table2[[#This Row],[infection percentage, low end of estimate range]]</f>
        <v>1.5069197977329828E-2</v>
      </c>
      <c r="O35" s="27">
        <f>(Table2[[#This Row],[infection percentage, low end of estimate range]]+Table2[[#This Row],[infection percentage, high end of estimate range]])/2</f>
        <v>4.144029443765701E-2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 x14ac:dyDescent="0.2">
      <c r="A36" s="8">
        <v>43944</v>
      </c>
      <c r="B36" s="56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19433.333333333332</v>
      </c>
      <c r="G36" s="35">
        <f>Table2[[#This Row],[cases]]*100/$T$13</f>
        <v>16443.589743589742</v>
      </c>
      <c r="H36" s="35">
        <f>Table2[[#This Row],[cases]]*100/$T$16</f>
        <v>23751.85185185185</v>
      </c>
      <c r="I36" s="35">
        <f>Table2[[#This Row],[infection count, high end of estimate range]]-Table2[[#This Row],[infection count, low end of estimate range]]</f>
        <v>7308.2621082621081</v>
      </c>
      <c r="J36" s="35">
        <f>(Table2[[#This Row],[infection count, low end of estimate range]]+Table2[[#This Row],[infection count, high end of estimate range]])/2</f>
        <v>20097.720797720795</v>
      </c>
      <c r="K36" s="26">
        <f>Table2[[#This Row],[estimated infections]]/$T$6</f>
        <v>4.1267266068397486E-2</v>
      </c>
      <c r="L36" s="27">
        <f>Table2[[#This Row],[infection count, low end of estimate range]]/$T$6</f>
        <v>3.4918455904028638E-2</v>
      </c>
      <c r="M36" s="27">
        <f>Table2[[#This Row],[infection count, high end of estimate range]]/$T$6</f>
        <v>5.0437769639152481E-2</v>
      </c>
      <c r="N36" s="15">
        <f>Table2[[#This Row],[infection percentage, high end of estimate range]]-Table2[[#This Row],[infection percentage, low end of estimate range]]</f>
        <v>1.5519313735123844E-2</v>
      </c>
      <c r="O36" s="27">
        <f>(Table2[[#This Row],[infection percentage, low end of estimate range]]+Table2[[#This Row],[infection percentage, high end of estimate range]])/2</f>
        <v>4.2678112771590559E-2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 x14ac:dyDescent="0.2">
      <c r="A37" s="8">
        <v>43945</v>
      </c>
      <c r="B37" s="56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20175.757575757576</v>
      </c>
      <c r="G37" s="35">
        <f>Table2[[#This Row],[cases]]*100/$T$13</f>
        <v>17071.794871794871</v>
      </c>
      <c r="H37" s="35">
        <f>Table2[[#This Row],[cases]]*100/$T$16</f>
        <v>24659.259259259259</v>
      </c>
      <c r="I37" s="35">
        <f>Table2[[#This Row],[infection count, high end of estimate range]]-Table2[[#This Row],[infection count, low end of estimate range]]</f>
        <v>7587.464387464388</v>
      </c>
      <c r="J37" s="35">
        <f>(Table2[[#This Row],[infection count, low end of estimate range]]+Table2[[#This Row],[infection count, high end of estimate range]])/2</f>
        <v>20865.527065527065</v>
      </c>
      <c r="K37" s="26">
        <f>Table2[[#This Row],[estimated infections]]/$T$6</f>
        <v>4.2843826209791123E-2</v>
      </c>
      <c r="L37" s="27">
        <f>Table2[[#This Row],[infection count, low end of estimate range]]/$T$6</f>
        <v>3.6252468331361719E-2</v>
      </c>
      <c r="M37" s="27">
        <f>Table2[[#This Row],[infection count, high end of estimate range]]/$T$6</f>
        <v>5.236467647863359E-2</v>
      </c>
      <c r="N37" s="15">
        <f>Table2[[#This Row],[infection percentage, high end of estimate range]]-Table2[[#This Row],[infection percentage, low end of estimate range]]</f>
        <v>1.6112208147271871E-2</v>
      </c>
      <c r="O37" s="27">
        <f>(Table2[[#This Row],[infection percentage, low end of estimate range]]+Table2[[#This Row],[infection percentage, high end of estimate range]])/2</f>
        <v>4.4308572404997651E-2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 x14ac:dyDescent="0.2">
      <c r="A38" s="8">
        <v>43946</v>
      </c>
      <c r="B38" s="56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20333.333333333332</v>
      </c>
      <c r="G38" s="35">
        <f>Table2[[#This Row],[cases]]*100/$T$13</f>
        <v>17205.128205128207</v>
      </c>
      <c r="H38" s="35">
        <f>Table2[[#This Row],[cases]]*100/$T$16</f>
        <v>24851.85185185185</v>
      </c>
      <c r="I38" s="35">
        <f>Table2[[#This Row],[infection count, high end of estimate range]]-Table2[[#This Row],[infection count, low end of estimate range]]</f>
        <v>7646.7236467236435</v>
      </c>
      <c r="J38" s="35">
        <f>(Table2[[#This Row],[infection count, low end of estimate range]]+Table2[[#This Row],[infection count, high end of estimate range]])/2</f>
        <v>21028.490028490029</v>
      </c>
      <c r="K38" s="26">
        <f>Table2[[#This Row],[estimated infections]]/$T$6</f>
        <v>4.3178443056127724E-2</v>
      </c>
      <c r="L38" s="27">
        <f>Table2[[#This Row],[infection count, low end of estimate range]]/$T$6</f>
        <v>3.6535605662877314E-2</v>
      </c>
      <c r="M38" s="27">
        <f>Table2[[#This Row],[infection count, high end of estimate range]]/$T$6</f>
        <v>5.2773652624156113E-2</v>
      </c>
      <c r="N38" s="15">
        <f>Table2[[#This Row],[infection percentage, high end of estimate range]]-Table2[[#This Row],[infection percentage, low end of estimate range]]</f>
        <v>1.6238046961278799E-2</v>
      </c>
      <c r="O38" s="27">
        <f>(Table2[[#This Row],[infection percentage, low end of estimate range]]+Table2[[#This Row],[infection percentage, high end of estimate range]])/2</f>
        <v>4.4654629143516714E-2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 x14ac:dyDescent="0.2">
      <c r="A39" s="8">
        <v>43947</v>
      </c>
      <c r="B39" s="56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21215.151515151516</v>
      </c>
      <c r="G39" s="35">
        <f>Table2[[#This Row],[cases]]*100/$T$13</f>
        <v>17951.282051282051</v>
      </c>
      <c r="H39" s="35">
        <f>Table2[[#This Row],[cases]]*100/$T$16</f>
        <v>25929.629629629631</v>
      </c>
      <c r="I39" s="35">
        <f>Table2[[#This Row],[infection count, high end of estimate range]]-Table2[[#This Row],[infection count, low end of estimate range]]</f>
        <v>7978.3475783475806</v>
      </c>
      <c r="J39" s="35">
        <f>(Table2[[#This Row],[infection count, low end of estimate range]]+Table2[[#This Row],[infection count, high end of estimate range]])/2</f>
        <v>21940.455840455841</v>
      </c>
      <c r="K39" s="26">
        <f>Table2[[#This Row],[estimated infections]]/$T$6</f>
        <v>4.505101040774221E-2</v>
      </c>
      <c r="L39" s="27">
        <f>Table2[[#This Row],[infection count, low end of estimate range]]/$T$6</f>
        <v>3.8120085729628023E-2</v>
      </c>
      <c r="M39" s="27">
        <f>Table2[[#This Row],[infection count, high end of estimate range]]/$T$6</f>
        <v>5.5062346053907148E-2</v>
      </c>
      <c r="N39" s="15">
        <f>Table2[[#This Row],[infection percentage, high end of estimate range]]-Table2[[#This Row],[infection percentage, low end of estimate range]]</f>
        <v>1.6942260324279125E-2</v>
      </c>
      <c r="O39" s="27">
        <f>(Table2[[#This Row],[infection percentage, low end of estimate range]]+Table2[[#This Row],[infection percentage, high end of estimate range]])/2</f>
        <v>4.6591215891767582E-2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 x14ac:dyDescent="0.2">
      <c r="A40" s="8">
        <v>43948</v>
      </c>
      <c r="B40" s="56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21693.939393939392</v>
      </c>
      <c r="G40" s="35">
        <f>Table2[[#This Row],[cases]]*100/$T$13</f>
        <v>18356.410256410258</v>
      </c>
      <c r="H40" s="35">
        <f>Table2[[#This Row],[cases]]*100/$T$16</f>
        <v>26514.814814814814</v>
      </c>
      <c r="I40" s="35">
        <f>Table2[[#This Row],[infection count, high end of estimate range]]-Table2[[#This Row],[infection count, low end of estimate range]]</f>
        <v>8158.4045584045562</v>
      </c>
      <c r="J40" s="35">
        <f>(Table2[[#This Row],[infection count, low end of estimate range]]+Table2[[#This Row],[infection count, high end of estimate range]])/2</f>
        <v>22435.612535612534</v>
      </c>
      <c r="K40" s="26">
        <f>Table2[[#This Row],[estimated infections]]/$T$6</f>
        <v>4.6067730825457287E-2</v>
      </c>
      <c r="L40" s="27">
        <f>Table2[[#This Row],[infection count, low end of estimate range]]/$T$6</f>
        <v>3.8980387621540789E-2</v>
      </c>
      <c r="M40" s="27">
        <f>Table2[[#This Row],[infection count, high end of estimate range]]/$T$6</f>
        <v>5.6305004342225573E-2</v>
      </c>
      <c r="N40" s="15">
        <f>Table2[[#This Row],[infection percentage, high end of estimate range]]-Table2[[#This Row],[infection percentage, low end of estimate range]]</f>
        <v>1.7324616720684784E-2</v>
      </c>
      <c r="O40" s="27">
        <f>(Table2[[#This Row],[infection percentage, low end of estimate range]]+Table2[[#This Row],[infection percentage, high end of estimate range]])/2</f>
        <v>4.7642695981883185E-2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 x14ac:dyDescent="0.2">
      <c r="A41" s="8">
        <v>43949</v>
      </c>
      <c r="B41" s="56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22315.151515151516</v>
      </c>
      <c r="G41" s="35">
        <f>Table2[[#This Row],[cases]]*100/$T$13</f>
        <v>18882.051282051281</v>
      </c>
      <c r="H41" s="35">
        <f>Table2[[#This Row],[cases]]*100/$T$16</f>
        <v>27274.074074074073</v>
      </c>
      <c r="I41" s="35">
        <f>Table2[[#This Row],[infection count, high end of estimate range]]-Table2[[#This Row],[infection count, low end of estimate range]]</f>
        <v>8392.0227920227917</v>
      </c>
      <c r="J41" s="35">
        <f>(Table2[[#This Row],[infection count, low end of estimate range]]+Table2[[#This Row],[infection count, high end of estimate range]])/2</f>
        <v>23078.062678062677</v>
      </c>
      <c r="K41" s="26">
        <f>Table2[[#This Row],[estimated infections]]/$T$6</f>
        <v>4.7386893392745842E-2</v>
      </c>
      <c r="L41" s="27">
        <f>Table2[[#This Row],[infection count, low end of estimate range]]/$T$6</f>
        <v>4.009660210155417E-2</v>
      </c>
      <c r="M41" s="27">
        <f>Table2[[#This Row],[infection count, high end of estimate range]]/$T$6</f>
        <v>5.791731414668936E-2</v>
      </c>
      <c r="N41" s="15">
        <f>Table2[[#This Row],[infection percentage, high end of estimate range]]-Table2[[#This Row],[infection percentage, low end of estimate range]]</f>
        <v>1.782071204513519E-2</v>
      </c>
      <c r="O41" s="27">
        <f>(Table2[[#This Row],[infection percentage, low end of estimate range]]+Table2[[#This Row],[infection percentage, high end of estimate range]])/2</f>
        <v>4.9006958124121765E-2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 x14ac:dyDescent="0.2">
      <c r="A42" s="8">
        <v>43950</v>
      </c>
      <c r="B42" s="56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22478.78787878788</v>
      </c>
      <c r="G42" s="35">
        <f>Table2[[#This Row],[cases]]*100/$T$13</f>
        <v>19020.51282051282</v>
      </c>
      <c r="H42" s="35">
        <f>Table2[[#This Row],[cases]]*100/$T$16</f>
        <v>27474.074074074073</v>
      </c>
      <c r="I42" s="35">
        <f>Table2[[#This Row],[infection count, high end of estimate range]]-Table2[[#This Row],[infection count, low end of estimate range]]</f>
        <v>8453.5612535612527</v>
      </c>
      <c r="J42" s="35">
        <f>(Table2[[#This Row],[infection count, low end of estimate range]]+Table2[[#This Row],[infection count, high end of estimate range]])/2</f>
        <v>23247.293447293447</v>
      </c>
      <c r="K42" s="26">
        <f>Table2[[#This Row],[estimated infections]]/$T$6</f>
        <v>4.7734380117787703E-2</v>
      </c>
      <c r="L42" s="27">
        <f>Table2[[#This Row],[infection count, low end of estimate range]]/$T$6</f>
        <v>4.0390629330435752E-2</v>
      </c>
      <c r="M42" s="27">
        <f>Table2[[#This Row],[infection count, high end of estimate range]]/$T$6</f>
        <v>5.8342020143962746E-2</v>
      </c>
      <c r="N42" s="15">
        <f>Table2[[#This Row],[infection percentage, high end of estimate range]]-Table2[[#This Row],[infection percentage, low end of estimate range]]</f>
        <v>1.7951390813526993E-2</v>
      </c>
      <c r="O42" s="27">
        <f>(Table2[[#This Row],[infection percentage, low end of estimate range]]+Table2[[#This Row],[infection percentage, high end of estimate range]])/2</f>
        <v>4.9366324737199249E-2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 x14ac:dyDescent="0.2">
      <c r="A43" s="8">
        <v>43951</v>
      </c>
      <c r="B43" s="56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22696.969696969696</v>
      </c>
      <c r="G43" s="35">
        <f>Table2[[#This Row],[cases]]*100/$T$13</f>
        <v>19205.128205128207</v>
      </c>
      <c r="H43" s="35">
        <f>Table2[[#This Row],[cases]]*100/$T$16</f>
        <v>27740.740740740741</v>
      </c>
      <c r="I43" s="35">
        <f>Table2[[#This Row],[infection count, high end of estimate range]]-Table2[[#This Row],[infection count, low end of estimate range]]</f>
        <v>8535.612535612534</v>
      </c>
      <c r="J43" s="35">
        <f>(Table2[[#This Row],[infection count, low end of estimate range]]+Table2[[#This Row],[infection count, high end of estimate range]])/2</f>
        <v>23472.934472934474</v>
      </c>
      <c r="K43" s="26">
        <f>Table2[[#This Row],[estimated infections]]/$T$6</f>
        <v>4.8197695751176849E-2</v>
      </c>
      <c r="L43" s="27">
        <f>Table2[[#This Row],[infection count, low end of estimate range]]/$T$6</f>
        <v>4.0782665635611184E-2</v>
      </c>
      <c r="M43" s="27">
        <f>Table2[[#This Row],[infection count, high end of estimate range]]/$T$6</f>
        <v>5.890829480699393E-2</v>
      </c>
      <c r="N43" s="15">
        <f>Table2[[#This Row],[infection percentage, high end of estimate range]]-Table2[[#This Row],[infection percentage, low end of estimate range]]</f>
        <v>1.8125629171382746E-2</v>
      </c>
      <c r="O43" s="27">
        <f>(Table2[[#This Row],[infection percentage, low end of estimate range]]+Table2[[#This Row],[infection percentage, high end of estimate range]])/2</f>
        <v>4.9845480221302557E-2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 x14ac:dyDescent="0.2">
      <c r="A44" s="8">
        <v>43952</v>
      </c>
      <c r="B44" s="56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23287.878787878788</v>
      </c>
      <c r="G44" s="35">
        <f>Table2[[#This Row],[cases]]*100/$T$13</f>
        <v>19705.128205128207</v>
      </c>
      <c r="H44" s="35">
        <f>Table2[[#This Row],[cases]]*100/$T$16</f>
        <v>28462.962962962964</v>
      </c>
      <c r="I44" s="35">
        <f>Table2[[#This Row],[infection count, high end of estimate range]]-Table2[[#This Row],[infection count, low end of estimate range]]</f>
        <v>8757.8347578347566</v>
      </c>
      <c r="J44" s="35">
        <f>(Table2[[#This Row],[infection count, low end of estimate range]]+Table2[[#This Row],[infection count, high end of estimate range]])/2</f>
        <v>24084.045584045583</v>
      </c>
      <c r="K44" s="26">
        <f>Table2[[#This Row],[estimated infections]]/$T$6</f>
        <v>4.9452508924939138E-2</v>
      </c>
      <c r="L44" s="27">
        <f>Table2[[#This Row],[infection count, low end of estimate range]]/$T$6</f>
        <v>4.1844430628794657E-2</v>
      </c>
      <c r="M44" s="27">
        <f>Table2[[#This Row],[infection count, high end of estimate range]]/$T$6</f>
        <v>6.0441955352703386E-2</v>
      </c>
      <c r="N44" s="15">
        <f>Table2[[#This Row],[infection percentage, high end of estimate range]]-Table2[[#This Row],[infection percentage, low end of estimate range]]</f>
        <v>1.8597524723908729E-2</v>
      </c>
      <c r="O44" s="27">
        <f>(Table2[[#This Row],[infection percentage, low end of estimate range]]+Table2[[#This Row],[infection percentage, high end of estimate range]])/2</f>
        <v>5.1143192990749022E-2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 x14ac:dyDescent="0.2">
      <c r="A45" s="8">
        <v>43953</v>
      </c>
      <c r="B45" s="56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23745.454545454544</v>
      </c>
      <c r="G45" s="35">
        <f>Table2[[#This Row],[cases]]*100/$T$13</f>
        <v>20092.307692307691</v>
      </c>
      <c r="H45" s="35">
        <f>Table2[[#This Row],[cases]]*100/$T$16</f>
        <v>29022.222222222223</v>
      </c>
      <c r="I45" s="35">
        <f>Table2[[#This Row],[infection count, high end of estimate range]]-Table2[[#This Row],[infection count, low end of estimate range]]</f>
        <v>8929.9145299145312</v>
      </c>
      <c r="J45" s="35">
        <f>(Table2[[#This Row],[infection count, low end of estimate range]]+Table2[[#This Row],[infection count, high end of estimate range]])/2</f>
        <v>24557.264957264957</v>
      </c>
      <c r="K45" s="26">
        <f>Table2[[#This Row],[estimated infections]]/$T$6</f>
        <v>5.0424184767185819E-2</v>
      </c>
      <c r="L45" s="27">
        <f>Table2[[#This Row],[infection count, low end of estimate range]]/$T$6</f>
        <v>4.2666617879926462E-2</v>
      </c>
      <c r="M45" s="27">
        <f>Table2[[#This Row],[infection count, high end of estimate range]]/$T$6</f>
        <v>6.1629559159893786E-2</v>
      </c>
      <c r="N45" s="15">
        <f>Table2[[#This Row],[infection percentage, high end of estimate range]]-Table2[[#This Row],[infection percentage, low end of estimate range]]</f>
        <v>1.8962941279967324E-2</v>
      </c>
      <c r="O45" s="27">
        <f>(Table2[[#This Row],[infection percentage, low end of estimate range]]+Table2[[#This Row],[infection percentage, high end of estimate range]])/2</f>
        <v>5.2148088519910124E-2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 x14ac:dyDescent="0.2">
      <c r="A46" s="8">
        <v>43954</v>
      </c>
      <c r="B46" s="56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24024.242424242424</v>
      </c>
      <c r="G46" s="35">
        <f>Table2[[#This Row],[cases]]*100/$T$13</f>
        <v>20328.205128205129</v>
      </c>
      <c r="H46" s="35">
        <f>Table2[[#This Row],[cases]]*100/$T$16</f>
        <v>29362.962962962964</v>
      </c>
      <c r="I46" s="35">
        <f>Table2[[#This Row],[infection count, high end of estimate range]]-Table2[[#This Row],[infection count, low end of estimate range]]</f>
        <v>9034.7578347578346</v>
      </c>
      <c r="J46" s="35">
        <f>(Table2[[#This Row],[infection count, low end of estimate range]]+Table2[[#This Row],[infection count, high end of estimate range]])/2</f>
        <v>24845.584045584044</v>
      </c>
      <c r="K46" s="26">
        <f>Table2[[#This Row],[estimated infections]]/$T$6</f>
        <v>5.1016199187627516E-2</v>
      </c>
      <c r="L46" s="27">
        <f>Table2[[#This Row],[infection count, low end of estimate range]]/$T$6</f>
        <v>4.3167553158761744E-2</v>
      </c>
      <c r="M46" s="27">
        <f>Table2[[#This Row],[infection count, high end of estimate range]]/$T$6</f>
        <v>6.2353132340433631E-2</v>
      </c>
      <c r="N46" s="15">
        <f>Table2[[#This Row],[infection percentage, high end of estimate range]]-Table2[[#This Row],[infection percentage, low end of estimate range]]</f>
        <v>1.9185579181671887E-2</v>
      </c>
      <c r="O46" s="27">
        <f>(Table2[[#This Row],[infection percentage, low end of estimate range]]+Table2[[#This Row],[infection percentage, high end of estimate range]])/2</f>
        <v>5.2760342749597691E-2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 x14ac:dyDescent="0.2">
      <c r="A47" s="8">
        <v>43955</v>
      </c>
      <c r="B47" s="56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24745.454545454544</v>
      </c>
      <c r="G47" s="35">
        <f>Table2[[#This Row],[cases]]*100/$T$13</f>
        <v>20938.461538461539</v>
      </c>
      <c r="H47" s="35">
        <f>Table2[[#This Row],[cases]]*100/$T$16</f>
        <v>30244.444444444445</v>
      </c>
      <c r="I47" s="35">
        <f>Table2[[#This Row],[infection count, high end of estimate range]]-Table2[[#This Row],[infection count, low end of estimate range]]</f>
        <v>9305.9829059829062</v>
      </c>
      <c r="J47" s="35">
        <f>(Table2[[#This Row],[infection count, low end of estimate range]]+Table2[[#This Row],[infection count, high end of estimate range]])/2</f>
        <v>25591.452991452992</v>
      </c>
      <c r="K47" s="26">
        <f>Table2[[#This Row],[estimated infections]]/$T$6</f>
        <v>5.2547714753552757E-2</v>
      </c>
      <c r="L47" s="27">
        <f>Table2[[#This Row],[infection count, low end of estimate range]]/$T$6</f>
        <v>4.4463450945313877E-2</v>
      </c>
      <c r="M47" s="27">
        <f>Table2[[#This Row],[infection count, high end of estimate range]]/$T$6</f>
        <v>6.4224984698786708E-2</v>
      </c>
      <c r="N47" s="15">
        <f>Table2[[#This Row],[infection percentage, high end of estimate range]]-Table2[[#This Row],[infection percentage, low end of estimate range]]</f>
        <v>1.9761533753472831E-2</v>
      </c>
      <c r="O47" s="27">
        <f>(Table2[[#This Row],[infection percentage, low end of estimate range]]+Table2[[#This Row],[infection percentage, high end of estimate range]])/2</f>
        <v>5.4344217822050289E-2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 x14ac:dyDescent="0.2">
      <c r="A48" s="8">
        <v>43956</v>
      </c>
      <c r="B48" s="56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25075.757575757576</v>
      </c>
      <c r="G48" s="35">
        <f>Table2[[#This Row],[cases]]*100/$T$13</f>
        <v>21217.948717948719</v>
      </c>
      <c r="H48" s="35">
        <f>Table2[[#This Row],[cases]]*100/$T$16</f>
        <v>30648.14814814815</v>
      </c>
      <c r="I48" s="35">
        <f>Table2[[#This Row],[infection count, high end of estimate range]]-Table2[[#This Row],[infection count, low end of estimate range]]</f>
        <v>9430.1994301994309</v>
      </c>
      <c r="J48" s="35">
        <f>(Table2[[#This Row],[infection count, low end of estimate range]]+Table2[[#This Row],[infection count, high end of estimate range]])/2</f>
        <v>25933.048433048432</v>
      </c>
      <c r="K48" s="26">
        <f>Table2[[#This Row],[estimated infections]]/$T$6</f>
        <v>5.3249123142989116E-2</v>
      </c>
      <c r="L48" s="27">
        <f>Table2[[#This Row],[infection count, low end of estimate range]]/$T$6</f>
        <v>4.5056950351760022E-2</v>
      </c>
      <c r="M48" s="27">
        <f>Table2[[#This Row],[infection count, high end of estimate range]]/$T$6</f>
        <v>6.5082261619208923E-2</v>
      </c>
      <c r="N48" s="15">
        <f>Table2[[#This Row],[infection percentage, high end of estimate range]]-Table2[[#This Row],[infection percentage, low end of estimate range]]</f>
        <v>2.00253112674489E-2</v>
      </c>
      <c r="O48" s="27">
        <f>(Table2[[#This Row],[infection percentage, low end of estimate range]]+Table2[[#This Row],[infection percentage, high end of estimate range]])/2</f>
        <v>5.5069605985484472E-2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 x14ac:dyDescent="0.2">
      <c r="A49" s="8">
        <v>43957</v>
      </c>
      <c r="B49" s="56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25412.121212121212</v>
      </c>
      <c r="G49" s="35">
        <f>Table2[[#This Row],[cases]]*100/$T$13</f>
        <v>21502.564102564102</v>
      </c>
      <c r="H49" s="35">
        <f>Table2[[#This Row],[cases]]*100/$T$16</f>
        <v>31059.259259259259</v>
      </c>
      <c r="I49" s="35">
        <f>Table2[[#This Row],[infection count, high end of estimate range]]-Table2[[#This Row],[infection count, low end of estimate range]]</f>
        <v>9556.6951566951575</v>
      </c>
      <c r="J49" s="35">
        <f>(Table2[[#This Row],[infection count, low end of estimate range]]+Table2[[#This Row],[infection count, high end of estimate range]])/2</f>
        <v>26280.911680911682</v>
      </c>
      <c r="K49" s="26">
        <f>Table2[[#This Row],[estimated infections]]/$T$6</f>
        <v>5.3963401411130721E-2</v>
      </c>
      <c r="L49" s="27">
        <f>Table2[[#This Row],[infection count, low end of estimate range]]/$T$6</f>
        <v>4.5661339655572147E-2</v>
      </c>
      <c r="M49" s="27">
        <f>Table2[[#This Row],[infection count, high end of estimate range]]/$T$6</f>
        <v>6.5955268391381994E-2</v>
      </c>
      <c r="N49" s="15">
        <f>Table2[[#This Row],[infection percentage, high end of estimate range]]-Table2[[#This Row],[infection percentage, low end of estimate range]]</f>
        <v>2.0293928735809846E-2</v>
      </c>
      <c r="O49" s="27">
        <f>(Table2[[#This Row],[infection percentage, low end of estimate range]]+Table2[[#This Row],[infection percentage, high end of estimate range]])/2</f>
        <v>5.5808304023477071E-2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 x14ac:dyDescent="0.2">
      <c r="A50" s="8">
        <v>43958</v>
      </c>
      <c r="B50" s="56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25854.545454545456</v>
      </c>
      <c r="G50" s="35">
        <f>Table2[[#This Row],[cases]]*100/$T$13</f>
        <v>21876.923076923078</v>
      </c>
      <c r="H50" s="35">
        <f>Table2[[#This Row],[cases]]*100/$T$16</f>
        <v>31600</v>
      </c>
      <c r="I50" s="35">
        <f>Table2[[#This Row],[infection count, high end of estimate range]]-Table2[[#This Row],[infection count, low end of estimate range]]</f>
        <v>9723.076923076922</v>
      </c>
      <c r="J50" s="35">
        <f>(Table2[[#This Row],[infection count, low end of estimate range]]+Table2[[#This Row],[infection count, high end of estimate range]])/2</f>
        <v>26738.461538461539</v>
      </c>
      <c r="K50" s="26">
        <f>Table2[[#This Row],[estimated infections]]/$T$6</f>
        <v>5.4902902556614279E-2</v>
      </c>
      <c r="L50" s="27">
        <f>Table2[[#This Row],[infection count, low end of estimate range]]/$T$6</f>
        <v>4.6456302163289005E-2</v>
      </c>
      <c r="M50" s="27">
        <f>Table2[[#This Row],[infection count, high end of estimate range]]/$T$6</f>
        <v>6.7103547569195218E-2</v>
      </c>
      <c r="N50" s="15">
        <f>Table2[[#This Row],[infection percentage, high end of estimate range]]-Table2[[#This Row],[infection percentage, low end of estimate range]]</f>
        <v>2.0647245405906213E-2</v>
      </c>
      <c r="O50" s="27">
        <f>(Table2[[#This Row],[infection percentage, low end of estimate range]]+Table2[[#This Row],[infection percentage, high end of estimate range]])/2</f>
        <v>5.6779924866242115E-2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 x14ac:dyDescent="0.2">
      <c r="A51" s="8">
        <v>43959</v>
      </c>
      <c r="B51" s="56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26042.424242424244</v>
      </c>
      <c r="G51" s="35">
        <f>Table2[[#This Row],[cases]]*100/$T$13</f>
        <v>22035.897435897437</v>
      </c>
      <c r="H51" s="35">
        <f>Table2[[#This Row],[cases]]*100/$T$16</f>
        <v>31829.629629629631</v>
      </c>
      <c r="I51" s="35">
        <f>Table2[[#This Row],[infection count, high end of estimate range]]-Table2[[#This Row],[infection count, low end of estimate range]]</f>
        <v>9793.732193732194</v>
      </c>
      <c r="J51" s="35">
        <f>(Table2[[#This Row],[infection count, low end of estimate range]]+Table2[[#This Row],[infection count, high end of estimate range]])/2</f>
        <v>26932.763532763536</v>
      </c>
      <c r="K51" s="26">
        <f>Table2[[#This Row],[estimated infections]]/$T$6</f>
        <v>5.5301868796477159E-2</v>
      </c>
      <c r="L51" s="27">
        <f>Table2[[#This Row],[infection count, low end of estimate range]]/$T$6</f>
        <v>4.6793888981634515E-2</v>
      </c>
      <c r="M51" s="27">
        <f>Table2[[#This Row],[infection count, high end of estimate range]]/$T$6</f>
        <v>6.7591172973472086E-2</v>
      </c>
      <c r="N51" s="15">
        <f>Table2[[#This Row],[infection percentage, high end of estimate range]]-Table2[[#This Row],[infection percentage, low end of estimate range]]</f>
        <v>2.079728399183757E-2</v>
      </c>
      <c r="O51" s="27">
        <f>(Table2[[#This Row],[infection percentage, low end of estimate range]]+Table2[[#This Row],[infection percentage, high end of estimate range]])/2</f>
        <v>5.7192530977553301E-2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 x14ac:dyDescent="0.2">
      <c r="A52" s="8">
        <v>43960</v>
      </c>
      <c r="B52" s="56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26409.090909090908</v>
      </c>
      <c r="G52" s="35">
        <f>Table2[[#This Row],[cases]]*100/$T$13</f>
        <v>22346.153846153848</v>
      </c>
      <c r="H52" s="35">
        <f>Table2[[#This Row],[cases]]*100/$T$16</f>
        <v>32277.777777777777</v>
      </c>
      <c r="I52" s="35">
        <f>Table2[[#This Row],[infection count, high end of estimate range]]-Table2[[#This Row],[infection count, low end of estimate range]]</f>
        <v>9931.6239316239298</v>
      </c>
      <c r="J52" s="35">
        <f>(Table2[[#This Row],[infection count, low end of estimate range]]+Table2[[#This Row],[infection count, high end of estimate range]])/2</f>
        <v>27311.965811965812</v>
      </c>
      <c r="K52" s="26">
        <f>Table2[[#This Row],[estimated infections]]/$T$6</f>
        <v>5.6080496458145029E-2</v>
      </c>
      <c r="L52" s="27">
        <f>Table2[[#This Row],[infection count, low end of estimate range]]/$T$6</f>
        <v>4.7452727772276569E-2</v>
      </c>
      <c r="M52" s="27">
        <f>Table2[[#This Row],[infection count, high end of estimate range]]/$T$6</f>
        <v>6.854282900439948E-2</v>
      </c>
      <c r="N52" s="15">
        <f>Table2[[#This Row],[infection percentage, high end of estimate range]]-Table2[[#This Row],[infection percentage, low end of estimate range]]</f>
        <v>2.1090101232122911E-2</v>
      </c>
      <c r="O52" s="27">
        <f>(Table2[[#This Row],[infection percentage, low end of estimate range]]+Table2[[#This Row],[infection percentage, high end of estimate range]])/2</f>
        <v>5.7997778388338028E-2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 x14ac:dyDescent="0.2">
      <c r="A53" s="8">
        <v>43961</v>
      </c>
      <c r="B53" s="56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26736.363636363636</v>
      </c>
      <c r="G53" s="35">
        <f>Table2[[#This Row],[cases]]*100/$T$13</f>
        <v>22623.076923076922</v>
      </c>
      <c r="H53" s="35">
        <f>Table2[[#This Row],[cases]]*100/$T$16</f>
        <v>32677.777777777777</v>
      </c>
      <c r="I53" s="35">
        <f>Table2[[#This Row],[infection count, high end of estimate range]]-Table2[[#This Row],[infection count, low end of estimate range]]</f>
        <v>10054.700854700855</v>
      </c>
      <c r="J53" s="35">
        <f>(Table2[[#This Row],[infection count, low end of estimate range]]+Table2[[#This Row],[infection count, high end of estimate range]])/2</f>
        <v>27650.427350427351</v>
      </c>
      <c r="K53" s="26">
        <f>Table2[[#This Row],[estimated infections]]/$T$6</f>
        <v>5.6775469908228758E-2</v>
      </c>
      <c r="L53" s="27">
        <f>Table2[[#This Row],[infection count, low end of estimate range]]/$T$6</f>
        <v>4.8040782230039714E-2</v>
      </c>
      <c r="M53" s="27">
        <f>Table2[[#This Row],[infection count, high end of estimate range]]/$T$6</f>
        <v>6.9392240998946253E-2</v>
      </c>
      <c r="N53" s="15">
        <f>Table2[[#This Row],[infection percentage, high end of estimate range]]-Table2[[#This Row],[infection percentage, low end of estimate range]]</f>
        <v>2.1351458768906539E-2</v>
      </c>
      <c r="O53" s="27">
        <f>(Table2[[#This Row],[infection percentage, low end of estimate range]]+Table2[[#This Row],[infection percentage, high end of estimate range]])/2</f>
        <v>5.8716511614492983E-2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 x14ac:dyDescent="0.2">
      <c r="A54" s="8">
        <v>43962</v>
      </c>
      <c r="B54" s="56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26887.878787878788</v>
      </c>
      <c r="G54" s="35">
        <f>Table2[[#This Row],[cases]]*100/$T$13</f>
        <v>22751.282051282051</v>
      </c>
      <c r="H54" s="35">
        <f>Table2[[#This Row],[cases]]*100/$T$16</f>
        <v>32862.962962962964</v>
      </c>
      <c r="I54" s="35">
        <f>Table2[[#This Row],[infection count, high end of estimate range]]-Table2[[#This Row],[infection count, low end of estimate range]]</f>
        <v>10111.680911680913</v>
      </c>
      <c r="J54" s="35">
        <f>(Table2[[#This Row],[infection count, low end of estimate range]]+Table2[[#This Row],[infection count, high end of estimate range]])/2</f>
        <v>27807.122507122505</v>
      </c>
      <c r="K54" s="26">
        <f>Table2[[#This Row],[estimated infections]]/$T$6</f>
        <v>5.7097216875860113E-2</v>
      </c>
      <c r="L54" s="27">
        <f>Table2[[#This Row],[infection count, low end of estimate range]]/$T$6</f>
        <v>4.8313029664189322E-2</v>
      </c>
      <c r="M54" s="27">
        <f>Table2[[#This Row],[infection count, high end of estimate range]]/$T$6</f>
        <v>6.9785487292717913E-2</v>
      </c>
      <c r="N54" s="15">
        <f>Table2[[#This Row],[infection percentage, high end of estimate range]]-Table2[[#This Row],[infection percentage, low end of estimate range]]</f>
        <v>2.1472457628528591E-2</v>
      </c>
      <c r="O54" s="27">
        <f>(Table2[[#This Row],[infection percentage, low end of estimate range]]+Table2[[#This Row],[infection percentage, high end of estimate range]])/2</f>
        <v>5.9049258478453617E-2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 x14ac:dyDescent="0.2">
      <c r="A55" s="8">
        <v>43963</v>
      </c>
      <c r="B55" s="56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27318.18181818182</v>
      </c>
      <c r="G55" s="35">
        <f>Table2[[#This Row],[cases]]*100/$T$13</f>
        <v>23115.384615384617</v>
      </c>
      <c r="H55" s="35">
        <f>Table2[[#This Row],[cases]]*100/$T$16</f>
        <v>33388.888888888891</v>
      </c>
      <c r="I55" s="35">
        <f>Table2[[#This Row],[infection count, high end of estimate range]]-Table2[[#This Row],[infection count, low end of estimate range]]</f>
        <v>10273.504273504273</v>
      </c>
      <c r="J55" s="35">
        <f>(Table2[[#This Row],[infection count, low end of estimate range]]+Table2[[#This Row],[infection count, high end of estimate range]])/2</f>
        <v>28252.136752136754</v>
      </c>
      <c r="K55" s="26">
        <f>Table2[[#This Row],[estimated infections]]/$T$6</f>
        <v>5.8010978263933158E-2</v>
      </c>
      <c r="L55" s="27">
        <f>Table2[[#This Row],[infection count, low end of estimate range]]/$T$6</f>
        <v>4.9086212377174213E-2</v>
      </c>
      <c r="M55" s="27">
        <f>Table2[[#This Row],[infection count, high end of estimate range]]/$T$6</f>
        <v>7.090230676702941E-2</v>
      </c>
      <c r="N55" s="15">
        <f>Table2[[#This Row],[infection percentage, high end of estimate range]]-Table2[[#This Row],[infection percentage, low end of estimate range]]</f>
        <v>2.1816094389855198E-2</v>
      </c>
      <c r="O55" s="27">
        <f>(Table2[[#This Row],[infection percentage, low end of estimate range]]+Table2[[#This Row],[infection percentage, high end of estimate range]])/2</f>
        <v>5.9994259572101812E-2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 x14ac:dyDescent="0.2">
      <c r="A56" s="8">
        <v>43964</v>
      </c>
      <c r="B56" s="56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27487.878787878788</v>
      </c>
      <c r="G56" s="35">
        <f>Table2[[#This Row],[cases]]*100/$T$13</f>
        <v>23258.974358974359</v>
      </c>
      <c r="H56" s="35">
        <f>Table2[[#This Row],[cases]]*100/$T$16</f>
        <v>33596.296296296299</v>
      </c>
      <c r="I56" s="35">
        <f>Table2[[#This Row],[infection count, high end of estimate range]]-Table2[[#This Row],[infection count, low end of estimate range]]</f>
        <v>10337.32193732194</v>
      </c>
      <c r="J56" s="35">
        <f>(Table2[[#This Row],[infection count, low end of estimate range]]+Table2[[#This Row],[infection count, high end of estimate range]])/2</f>
        <v>28427.635327635329</v>
      </c>
      <c r="K56" s="26">
        <f>Table2[[#This Row],[estimated infections]]/$T$6</f>
        <v>5.8371334867680272E-2</v>
      </c>
      <c r="L56" s="27">
        <f>Table2[[#This Row],[infection count, low end of estimate range]]/$T$6</f>
        <v>4.9391129503421768E-2</v>
      </c>
      <c r="M56" s="27">
        <f>Table2[[#This Row],[infection count, high end of estimate range]]/$T$6</f>
        <v>7.1342742616053667E-2</v>
      </c>
      <c r="N56" s="15">
        <f>Table2[[#This Row],[infection percentage, high end of estimate range]]-Table2[[#This Row],[infection percentage, low end of estimate range]]</f>
        <v>2.1951613112631899E-2</v>
      </c>
      <c r="O56" s="27">
        <f>(Table2[[#This Row],[infection percentage, low end of estimate range]]+Table2[[#This Row],[infection percentage, high end of estimate range]])/2</f>
        <v>6.0366936059737718E-2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 x14ac:dyDescent="0.2">
      <c r="A57" s="8">
        <v>43965</v>
      </c>
      <c r="B57" s="56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27730.303030303032</v>
      </c>
      <c r="G57" s="35">
        <f>Table2[[#This Row],[cases]]*100/$T$13</f>
        <v>23464.102564102563</v>
      </c>
      <c r="H57" s="35">
        <f>Table2[[#This Row],[cases]]*100/$T$16</f>
        <v>33892.592592592591</v>
      </c>
      <c r="I57" s="35">
        <f>Table2[[#This Row],[infection count, high end of estimate range]]-Table2[[#This Row],[infection count, low end of estimate range]]</f>
        <v>10428.490028490029</v>
      </c>
      <c r="J57" s="35">
        <f>(Table2[[#This Row],[infection count, low end of estimate range]]+Table2[[#This Row],[infection count, high end of estimate range]])/2</f>
        <v>28678.347578347577</v>
      </c>
      <c r="K57" s="26">
        <f>Table2[[#This Row],[estimated infections]]/$T$6</f>
        <v>5.8886130015890444E-2</v>
      </c>
      <c r="L57" s="27">
        <f>Table2[[#This Row],[infection count, low end of estimate range]]/$T$6</f>
        <v>4.9826725398061135E-2</v>
      </c>
      <c r="M57" s="27">
        <f>Table2[[#This Row],[infection count, high end of estimate range]]/$T$6</f>
        <v>7.1971936686088311E-2</v>
      </c>
      <c r="N57" s="15">
        <f>Table2[[#This Row],[infection percentage, high end of estimate range]]-Table2[[#This Row],[infection percentage, low end of estimate range]]</f>
        <v>2.2145211288027176E-2</v>
      </c>
      <c r="O57" s="27">
        <f>(Table2[[#This Row],[infection percentage, low end of estimate range]]+Table2[[#This Row],[infection percentage, high end of estimate range]])/2</f>
        <v>6.089933104207472E-2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 x14ac:dyDescent="0.2">
      <c r="A58" s="8">
        <v>43966</v>
      </c>
      <c r="B58" s="56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28112.121212121212</v>
      </c>
      <c r="G58" s="35">
        <f>Table2[[#This Row],[cases]]*100/$T$13</f>
        <v>23787.179487179488</v>
      </c>
      <c r="H58" s="35">
        <f>Table2[[#This Row],[cases]]*100/$T$16</f>
        <v>34359.259259259263</v>
      </c>
      <c r="I58" s="35">
        <f>Table2[[#This Row],[infection count, high end of estimate range]]-Table2[[#This Row],[infection count, low end of estimate range]]</f>
        <v>10572.079772079775</v>
      </c>
      <c r="J58" s="35">
        <f>(Table2[[#This Row],[infection count, low end of estimate range]]+Table2[[#This Row],[infection count, high end of estimate range]])/2</f>
        <v>29073.219373219377</v>
      </c>
      <c r="K58" s="26">
        <f>Table2[[#This Row],[estimated infections]]/$T$6</f>
        <v>5.969693237432145E-2</v>
      </c>
      <c r="L58" s="27">
        <f>Table2[[#This Row],[infection count, low end of estimate range]]/$T$6</f>
        <v>5.0512788932118156E-2</v>
      </c>
      <c r="M58" s="27">
        <f>Table2[[#This Row],[infection count, high end of estimate range]]/$T$6</f>
        <v>7.2962917346392889E-2</v>
      </c>
      <c r="N58" s="15">
        <f>Table2[[#This Row],[infection percentage, high end of estimate range]]-Table2[[#This Row],[infection percentage, low end of estimate range]]</f>
        <v>2.2450128414274732E-2</v>
      </c>
      <c r="O58" s="27">
        <f>(Table2[[#This Row],[infection percentage, low end of estimate range]]+Table2[[#This Row],[infection percentage, high end of estimate range]])/2</f>
        <v>6.1737853139255519E-2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 x14ac:dyDescent="0.2">
      <c r="A59" s="8">
        <v>43967</v>
      </c>
      <c r="B59" s="56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28618.18181818182</v>
      </c>
      <c r="G59" s="35">
        <f>Table2[[#This Row],[cases]]*100/$T$13</f>
        <v>24215.384615384617</v>
      </c>
      <c r="H59" s="35">
        <f>Table2[[#This Row],[cases]]*100/$T$16</f>
        <v>34977.777777777781</v>
      </c>
      <c r="I59" s="35">
        <f>Table2[[#This Row],[infection count, high end of estimate range]]-Table2[[#This Row],[infection count, low end of estimate range]]</f>
        <v>10762.393162393164</v>
      </c>
      <c r="J59" s="35">
        <f>(Table2[[#This Row],[infection count, low end of estimate range]]+Table2[[#This Row],[infection count, high end of estimate range]])/2</f>
        <v>29596.581196581199</v>
      </c>
      <c r="K59" s="26">
        <f>Table2[[#This Row],[estimated infections]]/$T$6</f>
        <v>6.0771567246210176E-2</v>
      </c>
      <c r="L59" s="27">
        <f>Table2[[#This Row],[infection count, low end of estimate range]]/$T$6</f>
        <v>5.1422095362177844E-2</v>
      </c>
      <c r="M59" s="27">
        <f>Table2[[#This Row],[infection count, high end of estimate range]]/$T$6</f>
        <v>7.4276359967590216E-2</v>
      </c>
      <c r="N59" s="15">
        <f>Table2[[#This Row],[infection percentage, high end of estimate range]]-Table2[[#This Row],[infection percentage, low end of estimate range]]</f>
        <v>2.2854264605412372E-2</v>
      </c>
      <c r="O59" s="27">
        <f>(Table2[[#This Row],[infection percentage, low end of estimate range]]+Table2[[#This Row],[infection percentage, high end of estimate range]])/2</f>
        <v>6.284922766488403E-2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 x14ac:dyDescent="0.2">
      <c r="A60" s="8">
        <v>43968</v>
      </c>
      <c r="B60" s="56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29057.575757575756</v>
      </c>
      <c r="G60" s="35">
        <f>Table2[[#This Row],[cases]]*100/$T$13</f>
        <v>24587.179487179488</v>
      </c>
      <c r="H60" s="35">
        <f>Table2[[#This Row],[cases]]*100/$T$16</f>
        <v>35514.814814814818</v>
      </c>
      <c r="I60" s="35">
        <f>Table2[[#This Row],[infection count, high end of estimate range]]-Table2[[#This Row],[infection count, low end of estimate range]]</f>
        <v>10927.635327635329</v>
      </c>
      <c r="J60" s="35">
        <f>(Table2[[#This Row],[infection count, low end of estimate range]]+Table2[[#This Row],[infection count, high end of estimate range]])/2</f>
        <v>30050.997150997151</v>
      </c>
      <c r="K60" s="26">
        <f>Table2[[#This Row],[estimated infections]]/$T$6</f>
        <v>6.1704633452341097E-2</v>
      </c>
      <c r="L60" s="27">
        <f>Table2[[#This Row],[infection count, low end of estimate range]]/$T$6</f>
        <v>5.2211612921211702E-2</v>
      </c>
      <c r="M60" s="27">
        <f>Table2[[#This Row],[infection count, high end of estimate range]]/$T$6</f>
        <v>7.5416774219528013E-2</v>
      </c>
      <c r="N60" s="15">
        <f>Table2[[#This Row],[infection percentage, high end of estimate range]]-Table2[[#This Row],[infection percentage, low end of estimate range]]</f>
        <v>2.3205161298316311E-2</v>
      </c>
      <c r="O60" s="27">
        <f>(Table2[[#This Row],[infection percentage, low end of estimate range]]+Table2[[#This Row],[infection percentage, high end of estimate range]])/2</f>
        <v>6.3814193570369854E-2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 x14ac:dyDescent="0.2">
      <c r="V61" s="55" t="str">
        <f ca="1">"updated " &amp; TEXT($U6,"MMMM d, yyyy") &amp; ", " &amp; T9</f>
        <v>updated May 17, 2020, evening</v>
      </c>
    </row>
    <row r="62" spans="1:22" x14ac:dyDescent="0.2">
      <c r="U62" s="34" t="s">
        <v>32</v>
      </c>
      <c r="V62" s="36"/>
    </row>
    <row r="63" spans="1:22" x14ac:dyDescent="0.2">
      <c r="U63" s="27">
        <f ca="1">OFFSET(compute!D4,COUNTA(compute!D:D)-1,0)</f>
        <v>1.5353663701821263E-2</v>
      </c>
    </row>
    <row r="64" spans="1:22" x14ac:dyDescent="0.2">
      <c r="V64" s="33" t="s">
        <v>24</v>
      </c>
    </row>
    <row r="65" spans="22:22" x14ac:dyDescent="0.2">
      <c r="V65" s="1" t="str">
        <f ca="1">"There have been " &amp;TEXT( U9,"0") &amp; " confirmed cases of COVID-19 disease in " &amp; B1 &amp; " since the start of the outbreak."</f>
        <v>There have been 9589 confirmed cases of COVID-19 disease in Miami since the start of the outbreak.</v>
      </c>
    </row>
    <row r="67" spans="22:22" x14ac:dyDescent="0.2">
      <c r="V67" s="1" t="str">
        <f ca="1">"Around " &amp;TEXT(ROUND(U12,-3),"#,##0") &amp;" people in " &amp; B1 &amp; " may have already been infected with the SARS-CoV-2 virus."</f>
        <v>Around 29,000 people in Miami may have already been infected with the SARS-CoV-2 virus.</v>
      </c>
    </row>
    <row r="69" spans="22:22" x14ac:dyDescent="0.2">
      <c r="V69" s="1" t="str">
        <f ca="1">"Around " &amp; TEXT(U15,"0.0%") &amp; " of the total population of " &amp; B1 &amp; " may have already been infected with the SARS-CoV-2 virus, based on an estimated population of " &amp; TEXT(T6,"0,000") &amp; "."</f>
        <v>Around 6.2% of the total population of Miami may have already been infected with the SARS-CoV-2 virus, based on an estimated population of 470,914.</v>
      </c>
    </row>
    <row r="71" spans="22:22" x14ac:dyDescent="0.2">
      <c r="V71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8.</v>
      </c>
    </row>
    <row r="73" spans="22:22" x14ac:dyDescent="0.2">
      <c r="V73" s="1" t="str">
        <f ca="1">"doubing in " &amp; TEXT(U21,"0.0") &amp; " days"</f>
        <v>doubing in 45.5 days</v>
      </c>
    </row>
    <row r="75" spans="22:22" x14ac:dyDescent="0.2">
      <c r="V75" s="1" t="str">
        <f ca="1">TEXT(U63, "+0.0%;-0.0%") &amp; " per day"</f>
        <v>+1.5% per day</v>
      </c>
    </row>
    <row r="77" spans="22:22" x14ac:dyDescent="0.2">
      <c r="V77" t="str">
        <f ca="1">"The current rate of increase is " &amp; V75</f>
        <v>The current rate of increase is +1.5%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0"/>
  <sheetViews>
    <sheetView topLeftCell="A53" zoomScale="231" workbookViewId="0">
      <selection activeCell="B60" sqref="A1:B60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 x14ac:dyDescent="0.2">
      <c r="A57" s="8">
        <v>43965</v>
      </c>
      <c r="B57" s="9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 x14ac:dyDescent="0.2">
      <c r="A58" s="8">
        <v>43966</v>
      </c>
      <c r="B58" s="9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 x14ac:dyDescent="0.2">
      <c r="A59" s="8">
        <v>43967</v>
      </c>
      <c r="B59" s="9">
        <v>791</v>
      </c>
      <c r="C59" s="26">
        <f t="shared" si="26"/>
        <v>5.0825921219822112E-3</v>
      </c>
      <c r="D59" s="38">
        <f t="shared" si="27"/>
        <v>136.72298852710364</v>
      </c>
    </row>
    <row r="60" spans="1:4" x14ac:dyDescent="0.2">
      <c r="A60" s="8">
        <v>43968</v>
      </c>
      <c r="B60" s="9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0"/>
  <sheetViews>
    <sheetView workbookViewId="0">
      <selection sqref="A1:B6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  <row r="31" spans="1:4" x14ac:dyDescent="0.2">
      <c r="A31" s="8">
        <v>43939</v>
      </c>
      <c r="B31" s="56">
        <v>5473</v>
      </c>
      <c r="C31" s="26">
        <f t="shared" ref="C31:C39" si="16">(B31-B30)/B30</f>
        <v>2.7793427230046949E-2</v>
      </c>
      <c r="D31" s="38">
        <f t="shared" ref="D31:D39" si="17">(LN(2)/LN(B31/B30))</f>
        <v>25.284238323265988</v>
      </c>
    </row>
    <row r="32" spans="1:4" x14ac:dyDescent="0.2">
      <c r="A32" s="8">
        <v>43940</v>
      </c>
      <c r="B32" s="56">
        <v>5645</v>
      </c>
      <c r="C32" s="26">
        <f t="shared" si="16"/>
        <v>3.1427005298739263E-2</v>
      </c>
      <c r="D32" s="38">
        <f t="shared" si="17"/>
        <v>22.400568352945822</v>
      </c>
    </row>
    <row r="33" spans="1:4" x14ac:dyDescent="0.2">
      <c r="A33" s="8">
        <v>43941</v>
      </c>
      <c r="B33" s="56">
        <v>5852</v>
      </c>
      <c r="C33" s="26">
        <f t="shared" si="16"/>
        <v>3.6669619131975202E-2</v>
      </c>
      <c r="D33" s="38">
        <f t="shared" si="17"/>
        <v>19.246985379249875</v>
      </c>
    </row>
    <row r="34" spans="1:4" x14ac:dyDescent="0.2">
      <c r="A34" s="8">
        <v>43942</v>
      </c>
      <c r="B34" s="56">
        <v>6064</v>
      </c>
      <c r="C34" s="26">
        <f t="shared" si="16"/>
        <v>3.6226930963773066E-2</v>
      </c>
      <c r="D34" s="38">
        <f t="shared" si="17"/>
        <v>19.477995929350573</v>
      </c>
    </row>
    <row r="35" spans="1:4" x14ac:dyDescent="0.2">
      <c r="A35" s="8">
        <v>43943</v>
      </c>
      <c r="B35" s="56">
        <v>6227</v>
      </c>
      <c r="C35" s="26">
        <f t="shared" si="16"/>
        <v>2.6879947229551452E-2</v>
      </c>
      <c r="D35" s="38">
        <f t="shared" si="17"/>
        <v>26.131817554080403</v>
      </c>
    </row>
    <row r="36" spans="1:4" x14ac:dyDescent="0.2">
      <c r="A36" s="8">
        <v>43944</v>
      </c>
      <c r="B36" s="56">
        <v>6413</v>
      </c>
      <c r="C36" s="26">
        <f t="shared" si="16"/>
        <v>2.9869921310422355E-2</v>
      </c>
      <c r="D36" s="38">
        <f t="shared" si="17"/>
        <v>23.55039768449053</v>
      </c>
    </row>
    <row r="37" spans="1:4" x14ac:dyDescent="0.2">
      <c r="A37" s="8">
        <v>43945</v>
      </c>
      <c r="B37" s="56">
        <v>6658</v>
      </c>
      <c r="C37" s="26">
        <f t="shared" si="16"/>
        <v>3.8203648838297209E-2</v>
      </c>
      <c r="D37" s="38">
        <f t="shared" si="17"/>
        <v>18.487889118218384</v>
      </c>
    </row>
    <row r="38" spans="1:4" x14ac:dyDescent="0.2">
      <c r="A38" s="8">
        <v>43946</v>
      </c>
      <c r="B38" s="56">
        <v>6710</v>
      </c>
      <c r="C38" s="26">
        <f t="shared" si="16"/>
        <v>7.8101531991589066E-3</v>
      </c>
      <c r="D38" s="38">
        <f t="shared" si="17"/>
        <v>89.095622829796753</v>
      </c>
    </row>
    <row r="39" spans="1:4" x14ac:dyDescent="0.2">
      <c r="A39" s="8">
        <v>43947</v>
      </c>
      <c r="B39" s="56">
        <v>7001</v>
      </c>
      <c r="C39" s="26">
        <f t="shared" si="16"/>
        <v>4.3368107302533529E-2</v>
      </c>
      <c r="D39" s="38">
        <f t="shared" si="17"/>
        <v>16.326999709277924</v>
      </c>
    </row>
    <row r="40" spans="1:4" x14ac:dyDescent="0.2">
      <c r="A40" s="8">
        <v>43948</v>
      </c>
      <c r="B40" s="56">
        <v>7159</v>
      </c>
      <c r="C40" s="26">
        <f t="shared" ref="C40:C55" si="18">(B40-B39)/B39</f>
        <v>2.2568204542208255E-2</v>
      </c>
      <c r="D40" s="38">
        <f t="shared" ref="D40:D55" si="19">(LN(2)/LN(B40/B39))</f>
        <v>31.058723813341835</v>
      </c>
    </row>
    <row r="41" spans="1:4" x14ac:dyDescent="0.2">
      <c r="A41" s="8">
        <v>43949</v>
      </c>
      <c r="B41" s="56">
        <v>7364</v>
      </c>
      <c r="C41" s="26">
        <f t="shared" si="18"/>
        <v>2.8635284257577873E-2</v>
      </c>
      <c r="D41" s="38">
        <f t="shared" si="19"/>
        <v>24.550994839858753</v>
      </c>
    </row>
    <row r="42" spans="1:4" x14ac:dyDescent="0.2">
      <c r="A42" s="8">
        <v>43950</v>
      </c>
      <c r="B42" s="56">
        <v>7418</v>
      </c>
      <c r="C42" s="26">
        <f t="shared" si="18"/>
        <v>7.3329712112982079E-3</v>
      </c>
      <c r="D42" s="38">
        <f t="shared" si="19"/>
        <v>94.870889301226129</v>
      </c>
    </row>
    <row r="43" spans="1:4" x14ac:dyDescent="0.2">
      <c r="A43" s="8">
        <v>43951</v>
      </c>
      <c r="B43" s="56">
        <v>7490</v>
      </c>
      <c r="C43" s="26">
        <f t="shared" si="18"/>
        <v>9.7061202480452947E-3</v>
      </c>
      <c r="D43" s="38">
        <f t="shared" si="19"/>
        <v>71.759429333057724</v>
      </c>
    </row>
    <row r="44" spans="1:4" x14ac:dyDescent="0.2">
      <c r="A44" s="8">
        <v>43952</v>
      </c>
      <c r="B44" s="56">
        <v>7685</v>
      </c>
      <c r="C44" s="26">
        <f t="shared" si="18"/>
        <v>2.6034712950600801E-2</v>
      </c>
      <c r="D44" s="38">
        <f t="shared" si="19"/>
        <v>26.969049960532978</v>
      </c>
    </row>
    <row r="45" spans="1:4" x14ac:dyDescent="0.2">
      <c r="A45" s="8">
        <v>43953</v>
      </c>
      <c r="B45" s="56">
        <v>7836</v>
      </c>
      <c r="C45" s="26">
        <f t="shared" si="18"/>
        <v>1.9648666232921275E-2</v>
      </c>
      <c r="D45" s="38">
        <f t="shared" si="19"/>
        <v>35.622509801798749</v>
      </c>
    </row>
    <row r="46" spans="1:4" x14ac:dyDescent="0.2">
      <c r="A46" s="8">
        <v>43954</v>
      </c>
      <c r="B46" s="56">
        <v>7928</v>
      </c>
      <c r="C46" s="26">
        <f t="shared" si="18"/>
        <v>1.1740684022460439E-2</v>
      </c>
      <c r="D46" s="38">
        <f t="shared" si="19"/>
        <v>59.383957056845482</v>
      </c>
    </row>
    <row r="47" spans="1:4" x14ac:dyDescent="0.2">
      <c r="A47" s="8">
        <v>43955</v>
      </c>
      <c r="B47" s="56">
        <v>8166</v>
      </c>
      <c r="C47" s="26">
        <f t="shared" si="18"/>
        <v>3.0020181634712411E-2</v>
      </c>
      <c r="D47" s="38">
        <f t="shared" si="19"/>
        <v>23.434238408786449</v>
      </c>
    </row>
    <row r="48" spans="1:4" x14ac:dyDescent="0.2">
      <c r="A48" s="8">
        <v>43956</v>
      </c>
      <c r="B48" s="56">
        <v>8275</v>
      </c>
      <c r="C48" s="26">
        <f t="shared" si="18"/>
        <v>1.3348028410482488E-2</v>
      </c>
      <c r="D48" s="38">
        <f t="shared" si="19"/>
        <v>52.274613886566158</v>
      </c>
    </row>
    <row r="49" spans="1:4" x14ac:dyDescent="0.2">
      <c r="A49" s="8">
        <v>43957</v>
      </c>
      <c r="B49" s="56">
        <v>8386</v>
      </c>
      <c r="C49" s="26">
        <f t="shared" si="18"/>
        <v>1.3413897280966768E-2</v>
      </c>
      <c r="D49" s="38">
        <f t="shared" si="19"/>
        <v>52.019614008401071</v>
      </c>
    </row>
    <row r="50" spans="1:4" x14ac:dyDescent="0.2">
      <c r="A50" s="8">
        <v>43958</v>
      </c>
      <c r="B50" s="56">
        <v>8532</v>
      </c>
      <c r="C50" s="26">
        <f t="shared" si="18"/>
        <v>1.7409968995945622E-2</v>
      </c>
      <c r="D50" s="38">
        <f t="shared" si="19"/>
        <v>40.158811241103884</v>
      </c>
    </row>
    <row r="51" spans="1:4" x14ac:dyDescent="0.2">
      <c r="A51" s="8">
        <v>43959</v>
      </c>
      <c r="B51" s="56">
        <v>8594</v>
      </c>
      <c r="C51" s="26">
        <f t="shared" si="18"/>
        <v>7.266760431317393E-3</v>
      </c>
      <c r="D51" s="38">
        <f t="shared" si="19"/>
        <v>95.732151243481965</v>
      </c>
    </row>
    <row r="52" spans="1:4" x14ac:dyDescent="0.2">
      <c r="A52" s="8">
        <v>43960</v>
      </c>
      <c r="B52" s="56">
        <v>8715</v>
      </c>
      <c r="C52" s="26">
        <f t="shared" si="18"/>
        <v>1.407959041191529E-2</v>
      </c>
      <c r="D52" s="38">
        <f t="shared" si="19"/>
        <v>49.576401282989799</v>
      </c>
    </row>
    <row r="53" spans="1:4" x14ac:dyDescent="0.2">
      <c r="A53" s="8">
        <v>43961</v>
      </c>
      <c r="B53" s="56">
        <v>8823</v>
      </c>
      <c r="C53" s="26">
        <f t="shared" si="18"/>
        <v>1.2392426850258176E-2</v>
      </c>
      <c r="D53" s="38">
        <f t="shared" si="19"/>
        <v>56.278988829986361</v>
      </c>
    </row>
    <row r="54" spans="1:4" x14ac:dyDescent="0.2">
      <c r="A54" s="8">
        <v>43962</v>
      </c>
      <c r="B54" s="56">
        <v>8873</v>
      </c>
      <c r="C54" s="26">
        <f t="shared" si="18"/>
        <v>5.6670066870678909E-3</v>
      </c>
      <c r="D54" s="38">
        <f t="shared" si="19"/>
        <v>122.65899865694688</v>
      </c>
    </row>
    <row r="55" spans="1:4" x14ac:dyDescent="0.2">
      <c r="A55" s="8">
        <v>43963</v>
      </c>
      <c r="B55" s="56">
        <v>9015</v>
      </c>
      <c r="C55" s="26">
        <f t="shared" si="18"/>
        <v>1.6003606446523159E-2</v>
      </c>
      <c r="D55" s="38">
        <f t="shared" si="19"/>
        <v>43.657592657146672</v>
      </c>
    </row>
    <row r="56" spans="1:4" x14ac:dyDescent="0.2">
      <c r="A56" s="8">
        <v>43964</v>
      </c>
      <c r="B56" s="56">
        <v>9071</v>
      </c>
      <c r="C56" s="26">
        <f t="shared" ref="C56" si="20">(B56-B55)/B55</f>
        <v>6.2118691070438157E-3</v>
      </c>
      <c r="D56" s="38">
        <f t="shared" ref="D56" si="21">(LN(2)/LN(B56/B55))</f>
        <v>111.93053433065666</v>
      </c>
    </row>
    <row r="57" spans="1:4" x14ac:dyDescent="0.2">
      <c r="A57" s="8">
        <v>43965</v>
      </c>
      <c r="B57" s="56">
        <v>9151</v>
      </c>
      <c r="C57" s="26">
        <f t="shared" ref="C57" si="22">(B57-B56)/B56</f>
        <v>8.8193142983133063E-3</v>
      </c>
      <c r="D57" s="38">
        <f t="shared" ref="D57" si="23">(LN(2)/LN(B57/B56))</f>
        <v>78.94029233636499</v>
      </c>
    </row>
    <row r="58" spans="1:4" x14ac:dyDescent="0.2">
      <c r="A58" s="8">
        <v>43966</v>
      </c>
      <c r="B58" s="56">
        <v>9277</v>
      </c>
      <c r="C58" s="26">
        <f t="shared" ref="C58:C60" si="24">(B58-B57)/B57</f>
        <v>1.3768986995956725E-2</v>
      </c>
      <c r="D58" s="38">
        <f t="shared" ref="D58:D60" si="25">(LN(2)/LN(B58/B57))</f>
        <v>50.686972970738736</v>
      </c>
    </row>
    <row r="59" spans="1:4" x14ac:dyDescent="0.2">
      <c r="A59" s="8">
        <v>43967</v>
      </c>
      <c r="B59" s="56">
        <v>9444</v>
      </c>
      <c r="C59" s="26">
        <f t="shared" si="24"/>
        <v>1.8001509108548024E-2</v>
      </c>
      <c r="D59" s="38">
        <f t="shared" si="25"/>
        <v>38.850491503432927</v>
      </c>
    </row>
    <row r="60" spans="1:4" x14ac:dyDescent="0.2">
      <c r="A60" s="8">
        <v>43968</v>
      </c>
      <c r="B60" s="56">
        <v>9589</v>
      </c>
      <c r="C60" s="26">
        <f t="shared" si="24"/>
        <v>1.5353663701821263E-2</v>
      </c>
      <c r="D60" s="38">
        <f t="shared" si="25"/>
        <v>45.491086389368192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2020-05-18T12:38:30Z</dcterms:modified>
</cp:coreProperties>
</file>