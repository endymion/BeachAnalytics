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CoV2/"/>
    </mc:Choice>
  </mc:AlternateContent>
  <xr:revisionPtr revIDLastSave="0" documentId="13_ncr:1_{79BC6F40-783A-8041-A688-3FDBF721D0BD}" xr6:coauthVersionLast="45" xr6:coauthVersionMax="45" xr10:uidLastSave="{00000000-0000-0000-0000-000000000000}"/>
  <bookViews>
    <workbookView xWindow="0" yWindow="460" windowWidth="28800" windowHeight="17540" activeTab="2"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rojection" sheetId="4" r:id="rId6"/>
    <sheet name="Infection Odds" sheetId="2" r:id="rId7"/>
    <sheet name="dashboard" sheetId="6" r:id="rId8"/>
    <sheet name="compute" sheetId="1" r:id="rId9"/>
    <sheet name="Miami Beach morning" sheetId="9" r:id="rId10"/>
    <sheet name="Miami Beach evening" sheetId="10" r:id="rId11"/>
    <sheet name="Miami morning" sheetId="11" r:id="rId12"/>
    <sheet name="Miami evening" sheetId="12" r:id="rId13"/>
    <sheet name="Melbourne morning" sheetId="13" r:id="rId14"/>
    <sheet name="Melbourne evening" sheetId="14" r:id="rId15"/>
    <sheet name="Dade morning" sheetId="18" r:id="rId16"/>
    <sheet name="Dade evening" sheetId="19" r:id="rId17"/>
    <sheet name="Florida morning" sheetId="15" r:id="rId18"/>
    <sheet name="Florida evening" sheetId="16" r:id="rId19"/>
    <sheet name="Clark (NV) daily" sheetId="20" r:id="rId2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1" l="1"/>
  <c r="D28" i="1"/>
  <c r="E28" i="1"/>
  <c r="F28" i="1"/>
  <c r="G28" i="1"/>
  <c r="H28" i="1"/>
  <c r="I28" i="1"/>
  <c r="J28" i="1"/>
  <c r="C28" i="12"/>
  <c r="D28" i="12"/>
  <c r="C28" i="16"/>
  <c r="D28" i="16"/>
  <c r="C27" i="10"/>
  <c r="D27" i="10"/>
  <c r="C27" i="12"/>
  <c r="D27" i="12"/>
  <c r="C27" i="16"/>
  <c r="D27" i="16"/>
  <c r="C27" i="1"/>
  <c r="D27" i="1"/>
  <c r="E27" i="1"/>
  <c r="F27" i="1"/>
  <c r="G27" i="1"/>
  <c r="H27" i="1"/>
  <c r="I27" i="1" s="1"/>
  <c r="C27" i="9"/>
  <c r="D27" i="9"/>
  <c r="C26" i="9"/>
  <c r="D26" i="9"/>
  <c r="C26" i="11"/>
  <c r="D26" i="11"/>
  <c r="C27" i="11"/>
  <c r="D27" i="11"/>
  <c r="C27" i="15"/>
  <c r="D27" i="15"/>
  <c r="C26" i="15"/>
  <c r="D26" i="15"/>
  <c r="C26" i="10"/>
  <c r="D26" i="10"/>
  <c r="C26" i="1"/>
  <c r="D26" i="1"/>
  <c r="E26" i="1"/>
  <c r="F26" i="1"/>
  <c r="G26" i="1"/>
  <c r="H26" i="1"/>
  <c r="I26" i="1" s="1"/>
  <c r="C26" i="12"/>
  <c r="D26" i="12"/>
  <c r="C26" i="16"/>
  <c r="D26" i="16"/>
  <c r="F5" i="1"/>
  <c r="F6" i="1"/>
  <c r="F7" i="1"/>
  <c r="F8" i="1"/>
  <c r="F9" i="1"/>
  <c r="F10" i="1"/>
  <c r="F11" i="1"/>
  <c r="F12" i="1"/>
  <c r="F13" i="1"/>
  <c r="F14" i="1"/>
  <c r="F15" i="1"/>
  <c r="F16" i="1"/>
  <c r="F17" i="1"/>
  <c r="F18" i="1"/>
  <c r="F19" i="1"/>
  <c r="F20" i="1"/>
  <c r="F21" i="1"/>
  <c r="F22" i="1"/>
  <c r="F23" i="1"/>
  <c r="F24" i="1"/>
  <c r="F25" i="1"/>
  <c r="J27" i="1" l="1"/>
  <c r="J26" i="1"/>
  <c r="T12" i="1"/>
  <c r="U35" i="1" s="1"/>
  <c r="C25" i="1"/>
  <c r="D25" i="1"/>
  <c r="E25" i="1"/>
  <c r="G25" i="1"/>
  <c r="H25" i="1"/>
  <c r="C25" i="10"/>
  <c r="D25" i="10"/>
  <c r="C25" i="12"/>
  <c r="D25" i="12"/>
  <c r="C25" i="16"/>
  <c r="D25" i="16"/>
  <c r="C25" i="9"/>
  <c r="D25" i="9"/>
  <c r="C25" i="11"/>
  <c r="D25" i="11"/>
  <c r="C25" i="15"/>
  <c r="D25" i="15"/>
  <c r="C24" i="10"/>
  <c r="D24" i="10"/>
  <c r="C24" i="12"/>
  <c r="D24" i="12"/>
  <c r="C24" i="16"/>
  <c r="D24" i="16"/>
  <c r="I25" i="1" l="1"/>
  <c r="J25" i="1"/>
  <c r="C24" i="1"/>
  <c r="D24" i="1"/>
  <c r="E24" i="1"/>
  <c r="G24" i="1"/>
  <c r="H24" i="1"/>
  <c r="C24" i="9"/>
  <c r="D24" i="9"/>
  <c r="C24" i="11"/>
  <c r="D24" i="11"/>
  <c r="C24" i="15"/>
  <c r="D24" i="15"/>
  <c r="C13" i="1"/>
  <c r="C14" i="1"/>
  <c r="C15" i="1"/>
  <c r="C16" i="1"/>
  <c r="C17" i="1"/>
  <c r="C18" i="1"/>
  <c r="C19" i="1"/>
  <c r="C20" i="1"/>
  <c r="C21" i="1"/>
  <c r="C22" i="1"/>
  <c r="C23" i="1"/>
  <c r="C5" i="1"/>
  <c r="C6" i="1"/>
  <c r="C7" i="1"/>
  <c r="C8" i="1"/>
  <c r="C9" i="1"/>
  <c r="C10" i="1"/>
  <c r="C11" i="1"/>
  <c r="C12" i="1"/>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T6" i="1"/>
  <c r="U29" i="1" s="1"/>
  <c r="T9" i="1"/>
  <c r="C6" i="6" s="1"/>
  <c r="W6" i="1"/>
  <c r="S9" i="1"/>
  <c r="S6" i="1"/>
  <c r="K28" i="1" l="1"/>
  <c r="L28" i="1"/>
  <c r="M28" i="1" s="1"/>
  <c r="O28" i="1"/>
  <c r="P28" i="1"/>
  <c r="K27" i="1"/>
  <c r="L27" i="1"/>
  <c r="P27" i="1"/>
  <c r="O27" i="1"/>
  <c r="K26" i="1"/>
  <c r="O26" i="1"/>
  <c r="L26" i="1"/>
  <c r="P26" i="1"/>
  <c r="L25" i="1"/>
  <c r="K25" i="1"/>
  <c r="P25" i="1"/>
  <c r="O25" i="1"/>
  <c r="L24" i="1"/>
  <c r="P24" i="1"/>
  <c r="K24" i="1"/>
  <c r="O24" i="1"/>
  <c r="K23" i="1"/>
  <c r="P23" i="1"/>
  <c r="L23" i="1"/>
  <c r="O23" i="1"/>
  <c r="K16" i="1"/>
  <c r="O16" i="1"/>
  <c r="K17" i="1"/>
  <c r="O18" i="1"/>
  <c r="L19" i="1"/>
  <c r="K20" i="1"/>
  <c r="P20" i="1"/>
  <c r="O21" i="1"/>
  <c r="L22" i="1"/>
  <c r="L18" i="1"/>
  <c r="P19" i="1"/>
  <c r="K21" i="1"/>
  <c r="O20" i="1"/>
  <c r="K22" i="1"/>
  <c r="L16" i="1"/>
  <c r="P16" i="1"/>
  <c r="L17" i="1"/>
  <c r="K18" i="1"/>
  <c r="P18" i="1"/>
  <c r="O19" i="1"/>
  <c r="L20" i="1"/>
  <c r="P21" i="1"/>
  <c r="O17" i="1"/>
  <c r="O22" i="1"/>
  <c r="P17" i="1"/>
  <c r="K19" i="1"/>
  <c r="L21" i="1"/>
  <c r="P22" i="1"/>
  <c r="R22" i="1" s="1"/>
  <c r="U33" i="1"/>
  <c r="D5" i="1"/>
  <c r="D6" i="1"/>
  <c r="D7" i="1"/>
  <c r="D8" i="1"/>
  <c r="D9" i="1"/>
  <c r="D10" i="1"/>
  <c r="D11" i="1"/>
  <c r="D12" i="1"/>
  <c r="D13" i="1"/>
  <c r="D14" i="1"/>
  <c r="D15" i="1"/>
  <c r="E5" i="1"/>
  <c r="E6" i="1"/>
  <c r="E7" i="1"/>
  <c r="E8" i="1"/>
  <c r="E9" i="1"/>
  <c r="E10" i="1"/>
  <c r="E11" i="1"/>
  <c r="E12" i="1"/>
  <c r="E13" i="1"/>
  <c r="E14" i="1"/>
  <c r="E15" i="1"/>
  <c r="Q28" i="1" l="1"/>
  <c r="R28" i="1"/>
  <c r="N28" i="1"/>
  <c r="N27" i="1"/>
  <c r="Q27" i="1"/>
  <c r="R27" i="1"/>
  <c r="M27" i="1"/>
  <c r="M26" i="1"/>
  <c r="Q26" i="1"/>
  <c r="R26" i="1"/>
  <c r="N26" i="1"/>
  <c r="M25" i="1"/>
  <c r="Q25" i="1"/>
  <c r="R25" i="1"/>
  <c r="N24" i="1"/>
  <c r="N25" i="1"/>
  <c r="Q24" i="1"/>
  <c r="R24" i="1"/>
  <c r="M24" i="1"/>
  <c r="N21" i="1"/>
  <c r="R23" i="1"/>
  <c r="Q22" i="1"/>
  <c r="Q18" i="1"/>
  <c r="N23" i="1"/>
  <c r="M16" i="1"/>
  <c r="M23" i="1"/>
  <c r="N19" i="1"/>
  <c r="Q23" i="1"/>
  <c r="R20" i="1"/>
  <c r="N17" i="1"/>
  <c r="R19" i="1"/>
  <c r="Q19" i="1"/>
  <c r="M21" i="1"/>
  <c r="Q17" i="1"/>
  <c r="R17" i="1"/>
  <c r="R18" i="1"/>
  <c r="N18" i="1"/>
  <c r="M18" i="1"/>
  <c r="Q16" i="1"/>
  <c r="R16" i="1"/>
  <c r="R21" i="1"/>
  <c r="Q21" i="1"/>
  <c r="N20" i="1"/>
  <c r="M20" i="1"/>
  <c r="M17" i="1"/>
  <c r="Q20" i="1"/>
  <c r="N22" i="1"/>
  <c r="M22" i="1"/>
  <c r="M19" i="1"/>
  <c r="N16" i="1"/>
  <c r="T21" i="1"/>
  <c r="U41" i="1" s="1"/>
  <c r="C8" i="6" s="1"/>
  <c r="T31" i="1"/>
  <c r="U43" i="1" s="1"/>
  <c r="P15" i="1"/>
  <c r="O15" i="1"/>
  <c r="P14" i="1"/>
  <c r="O14" i="1"/>
  <c r="P13" i="1"/>
  <c r="O13" i="1"/>
  <c r="P12" i="1"/>
  <c r="O12" i="1"/>
  <c r="P11" i="1"/>
  <c r="O11" i="1"/>
  <c r="P10" i="1"/>
  <c r="O10" i="1"/>
  <c r="P9" i="1"/>
  <c r="O9" i="1"/>
  <c r="P8" i="1"/>
  <c r="O8" i="1"/>
  <c r="P7" i="1"/>
  <c r="O7" i="1"/>
  <c r="P6" i="1"/>
  <c r="O6" i="1"/>
  <c r="P5" i="1"/>
  <c r="O5" i="1"/>
  <c r="L5" i="1"/>
  <c r="L6" i="1"/>
  <c r="L7" i="1"/>
  <c r="L8" i="1"/>
  <c r="L9" i="1"/>
  <c r="L10" i="1"/>
  <c r="L11" i="1"/>
  <c r="L12" i="1"/>
  <c r="L13" i="1"/>
  <c r="L14" i="1"/>
  <c r="L15" i="1"/>
  <c r="K5" i="1"/>
  <c r="K6" i="1"/>
  <c r="K7" i="1"/>
  <c r="K8" i="1"/>
  <c r="K9" i="1"/>
  <c r="K10" i="1"/>
  <c r="J11" i="1"/>
  <c r="K12" i="1"/>
  <c r="K13" i="1"/>
  <c r="K14" i="1"/>
  <c r="J15" i="1"/>
  <c r="N12" i="1" l="1"/>
  <c r="N8" i="1"/>
  <c r="N7" i="1"/>
  <c r="G8" i="6"/>
  <c r="U45" i="1"/>
  <c r="N9" i="1"/>
  <c r="Q10" i="1"/>
  <c r="R12" i="1"/>
  <c r="Q9" i="1"/>
  <c r="R11" i="1"/>
  <c r="Q5" i="1"/>
  <c r="R7" i="1"/>
  <c r="R9" i="1"/>
  <c r="Q11" i="1"/>
  <c r="R13" i="1"/>
  <c r="R15" i="1"/>
  <c r="Q15" i="1"/>
  <c r="R5" i="1"/>
  <c r="Q7" i="1"/>
  <c r="Q13" i="1"/>
  <c r="R10" i="1"/>
  <c r="Q12" i="1"/>
  <c r="R14" i="1"/>
  <c r="N5" i="1"/>
  <c r="Q14" i="1"/>
  <c r="M13" i="1"/>
  <c r="N13" i="1"/>
  <c r="M9" i="1"/>
  <c r="M12" i="1"/>
  <c r="M8" i="1"/>
  <c r="N14" i="1"/>
  <c r="N10" i="1"/>
  <c r="N6" i="1"/>
  <c r="M7" i="1"/>
  <c r="K15" i="1"/>
  <c r="N15" i="1" s="1"/>
  <c r="K11" i="1"/>
  <c r="N11" i="1" s="1"/>
  <c r="M14" i="1"/>
  <c r="M10" i="1"/>
  <c r="M6" i="1"/>
  <c r="M5" i="1"/>
  <c r="R6" i="1"/>
  <c r="J14" i="1"/>
  <c r="J10" i="1"/>
  <c r="J6" i="1"/>
  <c r="I13" i="1"/>
  <c r="I9" i="1"/>
  <c r="J5" i="1"/>
  <c r="Q6" i="1"/>
  <c r="R8" i="1"/>
  <c r="Q8" i="1"/>
  <c r="I12" i="1"/>
  <c r="I8" i="1"/>
  <c r="I15" i="1"/>
  <c r="I11" i="1"/>
  <c r="I7" i="1"/>
  <c r="I14" i="1"/>
  <c r="I10" i="1"/>
  <c r="I6" i="1"/>
  <c r="I5" i="1"/>
  <c r="J13" i="1"/>
  <c r="J9" i="1"/>
  <c r="J7" i="1"/>
  <c r="J12" i="1"/>
  <c r="J8" i="1"/>
  <c r="T15" i="1" l="1"/>
  <c r="U37" i="1" s="1"/>
  <c r="T18" i="1"/>
  <c r="U39" i="1" s="1"/>
  <c r="M11" i="1"/>
  <c r="M15" i="1"/>
  <c r="C14" i="6" l="1"/>
  <c r="G6" i="6"/>
  <c r="G14" i="6"/>
</calcChain>
</file>

<file path=xl/sharedStrings.xml><?xml version="1.0" encoding="utf-8"?>
<sst xmlns="http://schemas.openxmlformats.org/spreadsheetml/2006/main" count="162" uniqueCount="62">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</sst>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3">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F-CBB1-2147-99CA-ED8FAC854646}"/>
                </c:ext>
              </c:extLst>
            </c:dLbl>
            <c:dLbl>
              <c:idx val="1"/>
              <c:delete val="1"/>
              <c:extLst>
                <c:ext xmlns:c15="http://schemas.microsoft.com/office/drawing/2012/chart" uri="{CE6537A1-D6FC-4f65-9D91-7224C49458BB}"/>
                <c:ext xmlns:c16="http://schemas.microsoft.com/office/drawing/2014/chart" uri="{C3380CC4-5D6E-409C-BE32-E72D297353CC}">
                  <c16:uniqueId val="{0000000E-CBB1-2147-99CA-ED8FAC854646}"/>
                </c:ext>
              </c:extLst>
            </c:dLbl>
            <c:dLbl>
              <c:idx val="2"/>
              <c:delete val="1"/>
              <c:extLst>
                <c:ext xmlns:c15="http://schemas.microsoft.com/office/drawing/2012/chart" uri="{CE6537A1-D6FC-4f65-9D91-7224C49458BB}"/>
                <c:ext xmlns:c16="http://schemas.microsoft.com/office/drawing/2014/chart" uri="{C3380CC4-5D6E-409C-BE32-E72D297353CC}">
                  <c16:uniqueId val="{0000000D-CBB1-2147-99CA-ED8FAC854646}"/>
                </c:ext>
              </c:extLst>
            </c:dLbl>
            <c:dLbl>
              <c:idx val="3"/>
              <c:delete val="1"/>
              <c:extLst>
                <c:ext xmlns:c15="http://schemas.microsoft.com/office/drawing/2012/chart" uri="{CE6537A1-D6FC-4f65-9D91-7224C49458BB}"/>
                <c:ext xmlns:c16="http://schemas.microsoft.com/office/drawing/2014/chart" uri="{C3380CC4-5D6E-409C-BE32-E72D297353CC}">
                  <c16:uniqueId val="{0000000C-CBB1-2147-99CA-ED8FAC854646}"/>
                </c:ext>
              </c:extLst>
            </c:dLbl>
            <c:dLbl>
              <c:idx val="4"/>
              <c:delete val="1"/>
              <c:extLst>
                <c:ext xmlns:c15="http://schemas.microsoft.com/office/drawing/2012/chart" uri="{CE6537A1-D6FC-4f65-9D91-7224C49458BB}"/>
                <c:ext xmlns:c16="http://schemas.microsoft.com/office/drawing/2014/chart" uri="{C3380CC4-5D6E-409C-BE32-E72D297353CC}">
                  <c16:uniqueId val="{0000000B-CBB1-2147-99CA-ED8FAC854646}"/>
                </c:ext>
              </c:extLst>
            </c:dLbl>
            <c:dLbl>
              <c:idx val="5"/>
              <c:delete val="1"/>
              <c:extLst>
                <c:ext xmlns:c15="http://schemas.microsoft.com/office/drawing/2012/chart" uri="{CE6537A1-D6FC-4f65-9D91-7224C49458BB}"/>
                <c:ext xmlns:c16="http://schemas.microsoft.com/office/drawing/2014/chart" uri="{C3380CC4-5D6E-409C-BE32-E72D297353CC}">
                  <c16:uniqueId val="{0000000A-CBB1-2147-99CA-ED8FAC854646}"/>
                </c:ext>
              </c:extLst>
            </c:dLbl>
            <c:dLbl>
              <c:idx val="6"/>
              <c:delete val="1"/>
              <c:extLst>
                <c:ext xmlns:c15="http://schemas.microsoft.com/office/drawing/2012/chart" uri="{CE6537A1-D6FC-4f65-9D91-7224C49458BB}"/>
                <c:ext xmlns:c16="http://schemas.microsoft.com/office/drawing/2014/chart" uri="{C3380CC4-5D6E-409C-BE32-E72D297353CC}">
                  <c16:uniqueId val="{00000009-CBB1-2147-99CA-ED8FAC854646}"/>
                </c:ext>
              </c:extLst>
            </c:dLbl>
            <c:dLbl>
              <c:idx val="7"/>
              <c:delete val="1"/>
              <c:extLst>
                <c:ext xmlns:c15="http://schemas.microsoft.com/office/drawing/2012/chart" uri="{CE6537A1-D6FC-4f65-9D91-7224C49458BB}"/>
                <c:ext xmlns:c16="http://schemas.microsoft.com/office/drawing/2014/chart" uri="{C3380CC4-5D6E-409C-BE32-E72D297353CC}">
                  <c16:uniqueId val="{00000008-CBB1-2147-99CA-ED8FAC854646}"/>
                </c:ext>
              </c:extLst>
            </c:dLbl>
            <c:dLbl>
              <c:idx val="8"/>
              <c:delete val="1"/>
              <c:extLst>
                <c:ext xmlns:c15="http://schemas.microsoft.com/office/drawing/2012/chart" uri="{CE6537A1-D6FC-4f65-9D91-7224C49458BB}"/>
                <c:ext xmlns:c16="http://schemas.microsoft.com/office/drawing/2014/chart" uri="{C3380CC4-5D6E-409C-BE32-E72D297353CC}">
                  <c16:uniqueId val="{00000007-CBB1-2147-99CA-ED8FAC854646}"/>
                </c:ext>
              </c:extLst>
            </c:dLbl>
            <c:dLbl>
              <c:idx val="9"/>
              <c:delete val="1"/>
              <c:extLst>
                <c:ext xmlns:c15="http://schemas.microsoft.com/office/drawing/2012/chart" uri="{CE6537A1-D6FC-4f65-9D91-7224C49458BB}"/>
                <c:ext xmlns:c16="http://schemas.microsoft.com/office/drawing/2014/chart" uri="{C3380CC4-5D6E-409C-BE32-E72D297353CC}">
                  <c16:uniqueId val="{00000006-CBB1-2147-99CA-ED8FAC854646}"/>
                </c:ext>
              </c:extLst>
            </c:dLbl>
            <c:dLbl>
              <c:idx val="10"/>
              <c:delete val="1"/>
              <c:extLst>
                <c:ext xmlns:c15="http://schemas.microsoft.com/office/drawing/2012/chart" uri="{CE6537A1-D6FC-4f65-9D91-7224C49458BB}"/>
                <c:ext xmlns:c16="http://schemas.microsoft.com/office/drawing/2014/chart" uri="{C3380CC4-5D6E-409C-BE32-E72D297353CC}">
                  <c16:uniqueId val="{00000005-CBB1-2147-99CA-ED8FAC854646}"/>
                </c:ext>
              </c:extLst>
            </c:dLbl>
            <c:dLbl>
              <c:idx val="11"/>
              <c:delete val="1"/>
              <c:extLst>
                <c:ext xmlns:c15="http://schemas.microsoft.com/office/drawing/2012/chart" uri="{CE6537A1-D6FC-4f65-9D91-7224C49458BB}"/>
                <c:ext xmlns:c16="http://schemas.microsoft.com/office/drawing/2014/chart" uri="{C3380CC4-5D6E-409C-BE32-E72D297353CC}">
                  <c16:uniqueId val="{00000004-CBB1-2147-99CA-ED8FAC854646}"/>
                </c:ext>
              </c:extLst>
            </c:dLbl>
            <c:dLbl>
              <c:idx val="12"/>
              <c:delete val="1"/>
              <c:extLst>
                <c:ext xmlns:c15="http://schemas.microsoft.com/office/drawing/2012/chart" uri="{CE6537A1-D6FC-4f65-9D91-7224C49458BB}"/>
                <c:ext xmlns:c16="http://schemas.microsoft.com/office/drawing/2014/chart" uri="{C3380CC4-5D6E-409C-BE32-E72D297353CC}">
                  <c16:uniqueId val="{00000003-CBB1-2147-99CA-ED8FAC854646}"/>
                </c:ext>
              </c:extLst>
            </c:dLbl>
            <c:dLbl>
              <c:idx val="13"/>
              <c:delete val="1"/>
              <c:extLst>
                <c:ext xmlns:c15="http://schemas.microsoft.com/office/drawing/2012/chart" uri="{CE6537A1-D6FC-4f65-9D91-7224C49458BB}"/>
                <c:ext xmlns:c16="http://schemas.microsoft.com/office/drawing/2014/chart" uri="{C3380CC4-5D6E-409C-BE32-E72D297353CC}">
                  <c16:uniqueId val="{00000002-CBB1-2147-99CA-ED8FAC854646}"/>
                </c:ext>
              </c:extLst>
            </c:dLbl>
            <c:dLbl>
              <c:idx val="14"/>
              <c:delete val="1"/>
              <c:extLst>
                <c:ext xmlns:c15="http://schemas.microsoft.com/office/drawing/2012/chart" uri="{CE6537A1-D6FC-4f65-9D91-7224C49458BB}"/>
                <c:ext xmlns:c16="http://schemas.microsoft.com/office/drawing/2014/chart" uri="{C3380CC4-5D6E-409C-BE32-E72D297353CC}">
                  <c16:uniqueId val="{00000000-CBB1-2147-99CA-ED8FAC854646}"/>
                </c:ext>
              </c:extLst>
            </c:dLbl>
            <c:dLbl>
              <c:idx val="15"/>
              <c:delete val="1"/>
              <c:extLst>
                <c:ext xmlns:c15="http://schemas.microsoft.com/office/drawing/2012/chart" uri="{CE6537A1-D6FC-4f65-9D91-7224C49458BB}"/>
                <c:ext xmlns:c16="http://schemas.microsoft.com/office/drawing/2014/chart" uri="{C3380CC4-5D6E-409C-BE32-E72D297353CC}">
                  <c16:uniqueId val="{00000001-CBB1-2147-99CA-ED8FAC854646}"/>
                </c:ext>
              </c:extLst>
            </c:dLbl>
            <c:dLbl>
              <c:idx val="16"/>
              <c:delete val="1"/>
              <c:extLst>
                <c:ext xmlns:c15="http://schemas.microsoft.com/office/drawing/2012/chart" uri="{CE6537A1-D6FC-4f65-9D91-7224C49458BB}"/>
                <c:ext xmlns:c16="http://schemas.microsoft.com/office/drawing/2014/chart" uri="{C3380CC4-5D6E-409C-BE32-E72D297353CC}">
                  <c16:uniqueId val="{00000010-CBB1-2147-99CA-ED8FAC854646}"/>
                </c:ext>
              </c:extLst>
            </c:dLbl>
            <c:dLbl>
              <c:idx val="17"/>
              <c:delete val="1"/>
              <c:extLst>
                <c:ext xmlns:c15="http://schemas.microsoft.com/office/drawing/2012/chart" uri="{CE6537A1-D6FC-4f65-9D91-7224C49458BB}"/>
                <c:ext xmlns:c16="http://schemas.microsoft.com/office/drawing/2014/chart" uri="{C3380CC4-5D6E-409C-BE32-E72D297353CC}">
                  <c16:uniqueId val="{00000000-BC65-4F45-8804-2792797754A3}"/>
                </c:ext>
              </c:extLst>
            </c:dLbl>
            <c:dLbl>
              <c:idx val="18"/>
              <c:delete val="1"/>
              <c:extLst>
                <c:ext xmlns:c15="http://schemas.microsoft.com/office/drawing/2012/chart" uri="{CE6537A1-D6FC-4f65-9D91-7224C49458BB}"/>
                <c:ext xmlns:c16="http://schemas.microsoft.com/office/drawing/2014/chart" uri="{C3380CC4-5D6E-409C-BE32-E72D297353CC}">
                  <c16:uniqueId val="{00000000-9DA6-BF47-9A65-569AA7470795}"/>
                </c:ext>
              </c:extLst>
            </c:dLbl>
            <c:dLbl>
              <c:idx val="19"/>
              <c:delete val="1"/>
              <c:extLst>
                <c:ext xmlns:c15="http://schemas.microsoft.com/office/drawing/2012/chart" uri="{CE6537A1-D6FC-4f65-9D91-7224C49458BB}"/>
                <c:ext xmlns:c16="http://schemas.microsoft.com/office/drawing/2014/chart" uri="{C3380CC4-5D6E-409C-BE32-E72D297353CC}">
                  <c16:uniqueId val="{00000001-B9F8-D441-BE88-F1074230DF7C}"/>
                </c:ext>
              </c:extLst>
            </c:dLbl>
            <c:dLbl>
              <c:idx val="20"/>
              <c:layout>
                <c:manualLayout>
                  <c:x val="-0.12874669691712265"/>
                  <c:y val="-1.6949152542372913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9F8-D441-BE88-F1074230DF7C}"/>
                </c:ext>
              </c:extLst>
            </c:dLbl>
            <c:dLbl>
              <c:idx val="21"/>
              <c:layout>
                <c:manualLayout>
                  <c:x val="-9.9817429600961016E-2"/>
                  <c:y val="-1.6947284131856432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F8-D441-BE88-F1074230DF7C}"/>
                </c:ext>
              </c:extLst>
            </c:dLbl>
            <c:dLbl>
              <c:idx val="22"/>
              <c:layout>
                <c:manualLayout>
                  <c:x val="-7.1186440677966104E-2"/>
                  <c:y val="-3.0508474576271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9F8-D441-BE88-F1074230DF7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38100" cap="rnd">
                <a:solidFill>
                  <a:schemeClr val="accent4">
                    <a:alpha val="50000"/>
                  </a:schemeClr>
                </a:solidFill>
                <a:prstDash val="sysDot"/>
              </a:ln>
              <a:effectLst/>
            </c:spPr>
            <c:trendlineType val="linear"/>
            <c:dispRSqr val="0"/>
            <c:dispEq val="0"/>
          </c:trendline>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compute!$B$5:$B$10010</c:f>
              <c:numCache>
                <c:formatCode>#,##0</c:formatCode>
                <c:ptCount val="10006"/>
                <c:pt idx="0">
                  <c:v>1147</c:v>
                </c:pt>
                <c:pt idx="1">
                  <c:v>1379</c:v>
                </c:pt>
                <c:pt idx="2">
                  <c:v>1867</c:v>
                </c:pt>
                <c:pt idx="3">
                  <c:v>2484</c:v>
                </c:pt>
                <c:pt idx="4">
                  <c:v>3198</c:v>
                </c:pt>
                <c:pt idx="5">
                  <c:v>4038</c:v>
                </c:pt>
                <c:pt idx="6">
                  <c:v>4950</c:v>
                </c:pt>
                <c:pt idx="7">
                  <c:v>5704</c:v>
                </c:pt>
                <c:pt idx="8">
                  <c:v>6741</c:v>
                </c:pt>
                <c:pt idx="9">
                  <c:v>7773</c:v>
                </c:pt>
                <c:pt idx="10">
                  <c:v>9008</c:v>
                </c:pt>
                <c:pt idx="11">
                  <c:v>10268</c:v>
                </c:pt>
                <c:pt idx="12">
                  <c:v>11545</c:v>
                </c:pt>
                <c:pt idx="13">
                  <c:v>12350</c:v>
                </c:pt>
                <c:pt idx="14">
                  <c:v>13629</c:v>
                </c:pt>
                <c:pt idx="15">
                  <c:v>14747</c:v>
                </c:pt>
                <c:pt idx="16">
                  <c:v>15698</c:v>
                </c:pt>
                <c:pt idx="17">
                  <c:v>16826</c:v>
                </c:pt>
                <c:pt idx="18">
                  <c:v>17968</c:v>
                </c:pt>
                <c:pt idx="19">
                  <c:v>18986</c:v>
                </c:pt>
                <c:pt idx="20">
                  <c:v>19895</c:v>
                </c:pt>
                <c:pt idx="21">
                  <c:v>21019</c:v>
                </c:pt>
                <c:pt idx="22">
                  <c:v>21628</c:v>
                </c:pt>
                <c:pt idx="23">
                  <c:v>22519</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2"/>
            <c:forward val="2"/>
            <c:dispRSqr val="0"/>
            <c:dispEq val="0"/>
          </c:trendline>
          <c:cat>
            <c:numRef>
              <c:f>compute!$A$6:$A$10010</c:f>
              <c:numCache>
                <c:formatCode>d\-mmm</c:formatCode>
                <c:ptCount val="10005"/>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numCache>
            </c:numRef>
          </c:cat>
          <c:val>
            <c:numRef>
              <c:f>compute!$D$6:$D$10010</c:f>
              <c:numCache>
                <c:formatCode>0.0%</c:formatCode>
                <c:ptCount val="10005"/>
                <c:pt idx="0">
                  <c:v>0.20226678291194419</c:v>
                </c:pt>
                <c:pt idx="1">
                  <c:v>0.3538796229151559</c:v>
                </c:pt>
                <c:pt idx="2">
                  <c:v>0.33047670058918049</c:v>
                </c:pt>
                <c:pt idx="3">
                  <c:v>0.28743961352657005</c:v>
                </c:pt>
                <c:pt idx="4">
                  <c:v>0.26266416510318952</c:v>
                </c:pt>
                <c:pt idx="5">
                  <c:v>0.22585438335809807</c:v>
                </c:pt>
                <c:pt idx="6">
                  <c:v>0.15232323232323233</c:v>
                </c:pt>
                <c:pt idx="7">
                  <c:v>0.1818022440392707</c:v>
                </c:pt>
                <c:pt idx="8">
                  <c:v>0.15309301290609703</c:v>
                </c:pt>
                <c:pt idx="9">
                  <c:v>0.15888331403576483</c:v>
                </c:pt>
                <c:pt idx="10">
                  <c:v>0.13987566607460036</c:v>
                </c:pt>
                <c:pt idx="11">
                  <c:v>0.12436696532917803</c:v>
                </c:pt>
                <c:pt idx="12">
                  <c:v>6.9727154612386308E-2</c:v>
                </c:pt>
                <c:pt idx="13">
                  <c:v>0.10356275303643725</c:v>
                </c:pt>
                <c:pt idx="14">
                  <c:v>8.2030963386895583E-2</c:v>
                </c:pt>
                <c:pt idx="15">
                  <c:v>6.4487692412016004E-2</c:v>
                </c:pt>
                <c:pt idx="16">
                  <c:v>7.1856287425149698E-2</c:v>
                </c:pt>
                <c:pt idx="17">
                  <c:v>6.7871151788898132E-2</c:v>
                </c:pt>
                <c:pt idx="18">
                  <c:v>5.6656277827248441E-2</c:v>
                </c:pt>
                <c:pt idx="19">
                  <c:v>4.7877383335089015E-2</c:v>
                </c:pt>
                <c:pt idx="20">
                  <c:v>5.6496607187735609E-2</c:v>
                </c:pt>
                <c:pt idx="21">
                  <c:v>2.8973785622531993E-2</c:v>
                </c:pt>
                <c:pt idx="22">
                  <c:v>4.1196597003883853E-2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35"/>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ax val="0.60000000000000009"/>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compute!$A$6:$A$10010</c:f>
              <c:numCache>
                <c:formatCode>d\-mmm</c:formatCode>
                <c:ptCount val="10005"/>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numCache>
            </c:numRef>
          </c:cat>
          <c:val>
            <c:numRef>
              <c:f>compute!$E$6:$E$10010</c:f>
              <c:numCache>
                <c:formatCode>0.0</c:formatCode>
                <c:ptCount val="10005"/>
                <c:pt idx="0">
                  <c:v>3.7628350468331795</c:v>
                </c:pt>
                <c:pt idx="1">
                  <c:v>2.2878087643770719</c:v>
                </c:pt>
                <c:pt idx="2">
                  <c:v>2.4275188626684923</c:v>
                </c:pt>
                <c:pt idx="3">
                  <c:v>2.7434483587261567</c:v>
                </c:pt>
                <c:pt idx="4">
                  <c:v>2.9720245835721353</c:v>
                </c:pt>
                <c:pt idx="5">
                  <c:v>3.4038194619745781</c:v>
                </c:pt>
                <c:pt idx="6">
                  <c:v>4.8888888400323909</c:v>
                </c:pt>
                <c:pt idx="7">
                  <c:v>4.149573131970862</c:v>
                </c:pt>
                <c:pt idx="8">
                  <c:v>4.8659695214796796</c:v>
                </c:pt>
                <c:pt idx="9">
                  <c:v>4.7006770735803105</c:v>
                </c:pt>
                <c:pt idx="10">
                  <c:v>5.2944657847913597</c:v>
                </c:pt>
                <c:pt idx="11">
                  <c:v>5.9132069389160344</c:v>
                </c:pt>
                <c:pt idx="12">
                  <c:v>10.283530436626666</c:v>
                </c:pt>
                <c:pt idx="13">
                  <c:v>7.0338985663313718</c:v>
                </c:pt>
                <c:pt idx="14">
                  <c:v>8.7918438211140977</c:v>
                </c:pt>
                <c:pt idx="15">
                  <c:v>11.091482948530885</c:v>
                </c:pt>
                <c:pt idx="16">
                  <c:v>9.988863935997184</c:v>
                </c:pt>
                <c:pt idx="17">
                  <c:v>10.555472954784234</c:v>
                </c:pt>
                <c:pt idx="18">
                  <c:v>12.577642507955398</c:v>
                </c:pt>
                <c:pt idx="19">
                  <c:v>14.821421707304372</c:v>
                </c:pt>
                <c:pt idx="20">
                  <c:v>12.612227663194551</c:v>
                </c:pt>
                <c:pt idx="21">
                  <c:v>24.268176005353027</c:v>
                </c:pt>
                <c:pt idx="22">
                  <c:v>17.169592171387023</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compute!$G$5:$G$10010</c:f>
              <c:numCache>
                <c:formatCode>#,##0</c:formatCode>
                <c:ptCount val="10006"/>
                <c:pt idx="0">
                  <c:v>4248.1481481481478</c:v>
                </c:pt>
                <c:pt idx="1">
                  <c:v>5107.4074074074078</c:v>
                </c:pt>
                <c:pt idx="2">
                  <c:v>6914.8148148148148</c:v>
                </c:pt>
                <c:pt idx="3">
                  <c:v>9200</c:v>
                </c:pt>
                <c:pt idx="4">
                  <c:v>11844.444444444445</c:v>
                </c:pt>
                <c:pt idx="5">
                  <c:v>14955.555555555555</c:v>
                </c:pt>
                <c:pt idx="6">
                  <c:v>18333.333333333332</c:v>
                </c:pt>
                <c:pt idx="7">
                  <c:v>21125.925925925927</c:v>
                </c:pt>
                <c:pt idx="8">
                  <c:v>24966.666666666668</c:v>
                </c:pt>
                <c:pt idx="9">
                  <c:v>28788.888888888891</c:v>
                </c:pt>
                <c:pt idx="10">
                  <c:v>33362.962962962964</c:v>
                </c:pt>
                <c:pt idx="11">
                  <c:v>38029.629629629628</c:v>
                </c:pt>
                <c:pt idx="12">
                  <c:v>42759.259259259263</c:v>
                </c:pt>
                <c:pt idx="13">
                  <c:v>45740.740740740737</c:v>
                </c:pt>
                <c:pt idx="14">
                  <c:v>50477.777777777781</c:v>
                </c:pt>
                <c:pt idx="15">
                  <c:v>54618.518518518518</c:v>
                </c:pt>
                <c:pt idx="16">
                  <c:v>58140.740740740737</c:v>
                </c:pt>
                <c:pt idx="17">
                  <c:v>62318.518518518518</c:v>
                </c:pt>
                <c:pt idx="18">
                  <c:v>66548.148148148146</c:v>
                </c:pt>
                <c:pt idx="19">
                  <c:v>70318.518518518526</c:v>
                </c:pt>
                <c:pt idx="20">
                  <c:v>73685.185185185182</c:v>
                </c:pt>
                <c:pt idx="21">
                  <c:v>77848.148148148146</c:v>
                </c:pt>
                <c:pt idx="22">
                  <c:v>80103.703703703708</c:v>
                </c:pt>
                <c:pt idx="23">
                  <c:v>83403.703703703708</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compute!$I$5:$I$10010</c:f>
              <c:numCache>
                <c:formatCode>#,##0</c:formatCode>
                <c:ptCount val="10006"/>
                <c:pt idx="0">
                  <c:v>7455.9334845049125</c:v>
                </c:pt>
                <c:pt idx="1">
                  <c:v>8964.0211640211637</c:v>
                </c:pt>
                <c:pt idx="2">
                  <c:v>12136.205593348452</c:v>
                </c:pt>
                <c:pt idx="3">
                  <c:v>16146.938775510203</c:v>
                </c:pt>
                <c:pt idx="4">
                  <c:v>20788.208616780041</c:v>
                </c:pt>
                <c:pt idx="5">
                  <c:v>26248.5260770975</c:v>
                </c:pt>
                <c:pt idx="6">
                  <c:v>32176.870748299316</c:v>
                </c:pt>
                <c:pt idx="7">
                  <c:v>37078.155706727128</c:v>
                </c:pt>
                <c:pt idx="8">
                  <c:v>43819.047619047604</c:v>
                </c:pt>
                <c:pt idx="9">
                  <c:v>50527.437641723343</c:v>
                </c:pt>
                <c:pt idx="10">
                  <c:v>58555.404383975809</c:v>
                </c:pt>
                <c:pt idx="11">
                  <c:v>66745.880574451992</c:v>
                </c:pt>
                <c:pt idx="12">
                  <c:v>75046.863189720316</c:v>
                </c:pt>
                <c:pt idx="13">
                  <c:v>80279.667422524566</c:v>
                </c:pt>
                <c:pt idx="14">
                  <c:v>88593.65079365077</c:v>
                </c:pt>
                <c:pt idx="15">
                  <c:v>95861.073318216164</c:v>
                </c:pt>
                <c:pt idx="16">
                  <c:v>102042.93272864702</c:v>
                </c:pt>
                <c:pt idx="17">
                  <c:v>109375.35903250187</c:v>
                </c:pt>
                <c:pt idx="18">
                  <c:v>116798.79062736203</c:v>
                </c:pt>
                <c:pt idx="19">
                  <c:v>123416.17535903248</c:v>
                </c:pt>
                <c:pt idx="20">
                  <c:v>129325.01889644745</c:v>
                </c:pt>
                <c:pt idx="21">
                  <c:v>136631.44368858653</c:v>
                </c:pt>
                <c:pt idx="22">
                  <c:v>140590.17384731668</c:v>
                </c:pt>
                <c:pt idx="23">
                  <c:v>146382.01058201055</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compute!$F$5:$F$10010</c:f>
              <c:numCache>
                <c:formatCode>#,##0</c:formatCode>
                <c:ptCount val="10006"/>
                <c:pt idx="0">
                  <c:v>9558.3333333333339</c:v>
                </c:pt>
                <c:pt idx="1">
                  <c:v>11491.666666666666</c:v>
                </c:pt>
                <c:pt idx="2">
                  <c:v>15558.333333333334</c:v>
                </c:pt>
                <c:pt idx="3">
                  <c:v>20700</c:v>
                </c:pt>
                <c:pt idx="4">
                  <c:v>26650</c:v>
                </c:pt>
                <c:pt idx="5">
                  <c:v>33650</c:v>
                </c:pt>
                <c:pt idx="6">
                  <c:v>41250</c:v>
                </c:pt>
                <c:pt idx="7">
                  <c:v>47533.333333333336</c:v>
                </c:pt>
                <c:pt idx="8">
                  <c:v>56175</c:v>
                </c:pt>
                <c:pt idx="9">
                  <c:v>64775</c:v>
                </c:pt>
                <c:pt idx="10">
                  <c:v>75066.666666666672</c:v>
                </c:pt>
                <c:pt idx="11">
                  <c:v>85566.666666666672</c:v>
                </c:pt>
                <c:pt idx="12">
                  <c:v>96208.333333333328</c:v>
                </c:pt>
                <c:pt idx="13">
                  <c:v>102916.66666666667</c:v>
                </c:pt>
                <c:pt idx="14">
                  <c:v>113575</c:v>
                </c:pt>
                <c:pt idx="15">
                  <c:v>122891.66666666667</c:v>
                </c:pt>
                <c:pt idx="16">
                  <c:v>130816.66666666667</c:v>
                </c:pt>
                <c:pt idx="17">
                  <c:v>140216.66666666666</c:v>
                </c:pt>
                <c:pt idx="18">
                  <c:v>149733.33333333334</c:v>
                </c:pt>
                <c:pt idx="19">
                  <c:v>158216.66666666666</c:v>
                </c:pt>
                <c:pt idx="20">
                  <c:v>165791.66666666666</c:v>
                </c:pt>
                <c:pt idx="21">
                  <c:v>175158.33333333334</c:v>
                </c:pt>
                <c:pt idx="22">
                  <c:v>180233.33333333334</c:v>
                </c:pt>
                <c:pt idx="23">
                  <c:v>187658.33333333334</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compute!$C$5:$C$29</c:f>
              <c:numCache>
                <c:formatCode>0.0%</c:formatCode>
                <c:ptCount val="25"/>
                <c:pt idx="0">
                  <c:v>5.3404136571744032E-5</c:v>
                </c:pt>
                <c:pt idx="1">
                  <c:v>6.4206019470300807E-5</c:v>
                </c:pt>
                <c:pt idx="2">
                  <c:v>8.6927221429334019E-5</c:v>
                </c:pt>
                <c:pt idx="3">
                  <c:v>1.1565464275868543E-4</c:v>
                </c:pt>
                <c:pt idx="4">
                  <c:v>1.4889836857579549E-4</c:v>
                </c:pt>
                <c:pt idx="5">
                  <c:v>1.880086342429838E-4</c:v>
                </c:pt>
                <c:pt idx="6">
                  <c:v>2.304712083959311E-4</c:v>
                </c:pt>
                <c:pt idx="7">
                  <c:v>2.6557732781624059E-4</c:v>
                </c:pt>
                <c:pt idx="8">
                  <c:v>3.1385988197918618E-4</c:v>
                </c:pt>
                <c:pt idx="9">
                  <c:v>3.6190963694173183E-4</c:v>
                </c:pt>
                <c:pt idx="10">
                  <c:v>4.1941103944051462E-4</c:v>
                </c:pt>
                <c:pt idx="11">
                  <c:v>4.7807643794129707E-4</c:v>
                </c:pt>
                <c:pt idx="12">
                  <c:v>5.375333537234393E-4</c:v>
                </c:pt>
                <c:pt idx="13">
                  <c:v>5.750140249878281E-4</c:v>
                </c:pt>
                <c:pt idx="14">
                  <c:v>6.3456406045013026E-4</c:v>
                </c:pt>
                <c:pt idx="15">
                  <c:v>6.8661796165955477E-4</c:v>
                </c:pt>
                <c:pt idx="16">
                  <c:v>7.3089636957562149E-4</c:v>
                </c:pt>
                <c:pt idx="17">
                  <c:v>7.8341586918584578E-4</c:v>
                </c:pt>
                <c:pt idx="18">
                  <c:v>8.3658720655718994E-4</c:v>
                </c:pt>
                <c:pt idx="19">
                  <c:v>8.8398512375861577E-4</c:v>
                </c:pt>
                <c:pt idx="20">
                  <c:v>9.2630801839132311E-4</c:v>
                </c:pt>
                <c:pt idx="21">
                  <c:v>9.7864127864122743E-4</c:v>
                </c:pt>
                <c:pt idx="22">
                  <c:v>1.006996221249939E-3</c:v>
                </c:pt>
                <c:pt idx="23">
                  <c:v>1.0484810387612065E-3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compute!$C$5:$C$29</c:f>
              <c:numCache>
                <c:formatCode>0.0%</c:formatCode>
                <c:ptCount val="25"/>
                <c:pt idx="0">
                  <c:v>5.3404136571744032E-5</c:v>
                </c:pt>
                <c:pt idx="1">
                  <c:v>6.4206019470300807E-5</c:v>
                </c:pt>
                <c:pt idx="2">
                  <c:v>8.6927221429334019E-5</c:v>
                </c:pt>
                <c:pt idx="3">
                  <c:v>1.1565464275868543E-4</c:v>
                </c:pt>
                <c:pt idx="4">
                  <c:v>1.4889836857579549E-4</c:v>
                </c:pt>
                <c:pt idx="5">
                  <c:v>1.880086342429838E-4</c:v>
                </c:pt>
                <c:pt idx="6">
                  <c:v>2.304712083959311E-4</c:v>
                </c:pt>
                <c:pt idx="7">
                  <c:v>2.6557732781624059E-4</c:v>
                </c:pt>
                <c:pt idx="8">
                  <c:v>3.1385988197918618E-4</c:v>
                </c:pt>
                <c:pt idx="9">
                  <c:v>3.6190963694173183E-4</c:v>
                </c:pt>
                <c:pt idx="10">
                  <c:v>4.1941103944051462E-4</c:v>
                </c:pt>
                <c:pt idx="11">
                  <c:v>4.7807643794129707E-4</c:v>
                </c:pt>
                <c:pt idx="12">
                  <c:v>5.375333537234393E-4</c:v>
                </c:pt>
                <c:pt idx="13">
                  <c:v>5.750140249878281E-4</c:v>
                </c:pt>
                <c:pt idx="14">
                  <c:v>6.3456406045013026E-4</c:v>
                </c:pt>
                <c:pt idx="15">
                  <c:v>6.8661796165955477E-4</c:v>
                </c:pt>
                <c:pt idx="16">
                  <c:v>7.3089636957562149E-4</c:v>
                </c:pt>
                <c:pt idx="17">
                  <c:v>7.8341586918584578E-4</c:v>
                </c:pt>
                <c:pt idx="18">
                  <c:v>8.3658720655718994E-4</c:v>
                </c:pt>
                <c:pt idx="19">
                  <c:v>8.8398512375861577E-4</c:v>
                </c:pt>
                <c:pt idx="20">
                  <c:v>9.2630801839132311E-4</c:v>
                </c:pt>
                <c:pt idx="21">
                  <c:v>9.7864127864122743E-4</c:v>
                </c:pt>
                <c:pt idx="22">
                  <c:v>1.006996221249939E-3</c:v>
                </c:pt>
                <c:pt idx="23">
                  <c:v>1.0484810387612065E-3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529374082476991"/>
          <c:h val="0.74294915254237293"/>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compute!$N$4</c:f>
              <c:strCache>
                <c:ptCount val="1"/>
                <c:pt idx="0">
                  <c:v>average infection percentage</c:v>
                </c:pt>
              </c:strCache>
            </c:strRef>
          </c:tx>
          <c:spPr>
            <a:ln w="25400" cap="rnd">
              <a:noFill/>
              <a:round/>
            </a:ln>
            <a:effectLst/>
          </c:spPr>
          <c:marker>
            <c:symbol val="circle"/>
            <c:size val="5"/>
            <c:spPr>
              <a:solidFill>
                <a:schemeClr val="accent5"/>
              </a:solidFill>
              <a:ln w="38100">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AF72-1848-8D14-2279B6F7C74F}"/>
                </c:ext>
              </c:extLst>
            </c:dLbl>
            <c:dLbl>
              <c:idx val="1"/>
              <c:delete val="1"/>
              <c:extLst>
                <c:ext xmlns:c15="http://schemas.microsoft.com/office/drawing/2012/chart" uri="{CE6537A1-D6FC-4f65-9D91-7224C49458BB}"/>
                <c:ext xmlns:c16="http://schemas.microsoft.com/office/drawing/2014/chart" uri="{C3380CC4-5D6E-409C-BE32-E72D297353CC}">
                  <c16:uniqueId val="{00000002-AF72-1848-8D14-2279B6F7C74F}"/>
                </c:ext>
              </c:extLst>
            </c:dLbl>
            <c:dLbl>
              <c:idx val="2"/>
              <c:delete val="1"/>
              <c:extLst>
                <c:ext xmlns:c15="http://schemas.microsoft.com/office/drawing/2012/chart" uri="{CE6537A1-D6FC-4f65-9D91-7224C49458BB}"/>
                <c:ext xmlns:c16="http://schemas.microsoft.com/office/drawing/2014/chart" uri="{C3380CC4-5D6E-409C-BE32-E72D297353CC}">
                  <c16:uniqueId val="{00000003-AF72-1848-8D14-2279B6F7C74F}"/>
                </c:ext>
              </c:extLst>
            </c:dLbl>
            <c:dLbl>
              <c:idx val="3"/>
              <c:delete val="1"/>
              <c:extLst>
                <c:ext xmlns:c15="http://schemas.microsoft.com/office/drawing/2012/chart" uri="{CE6537A1-D6FC-4f65-9D91-7224C49458BB}"/>
                <c:ext xmlns:c16="http://schemas.microsoft.com/office/drawing/2014/chart" uri="{C3380CC4-5D6E-409C-BE32-E72D297353CC}">
                  <c16:uniqueId val="{00000000-1098-8A45-B605-B9194C49FAB8}"/>
                </c:ext>
              </c:extLst>
            </c:dLbl>
            <c:dLbl>
              <c:idx val="4"/>
              <c:delete val="1"/>
              <c:extLst>
                <c:ext xmlns:c15="http://schemas.microsoft.com/office/drawing/2012/chart" uri="{CE6537A1-D6FC-4f65-9D91-7224C49458BB}"/>
                <c:ext xmlns:c16="http://schemas.microsoft.com/office/drawing/2014/chart" uri="{C3380CC4-5D6E-409C-BE32-E72D297353CC}">
                  <c16:uniqueId val="{00000004-AF72-1848-8D14-2279B6F7C74F}"/>
                </c:ext>
              </c:extLst>
            </c:dLbl>
            <c:dLbl>
              <c:idx val="5"/>
              <c:delete val="1"/>
              <c:extLst>
                <c:ext xmlns:c15="http://schemas.microsoft.com/office/drawing/2012/chart" uri="{CE6537A1-D6FC-4f65-9D91-7224C49458BB}"/>
                <c:ext xmlns:c16="http://schemas.microsoft.com/office/drawing/2014/chart" uri="{C3380CC4-5D6E-409C-BE32-E72D297353CC}">
                  <c16:uniqueId val="{00000001-1098-8A45-B605-B9194C49FAB8}"/>
                </c:ext>
              </c:extLst>
            </c:dLbl>
            <c:dLbl>
              <c:idx val="6"/>
              <c:delete val="1"/>
              <c:extLst>
                <c:ext xmlns:c15="http://schemas.microsoft.com/office/drawing/2012/chart" uri="{CE6537A1-D6FC-4f65-9D91-7224C49458BB}"/>
                <c:ext xmlns:c16="http://schemas.microsoft.com/office/drawing/2014/chart" uri="{C3380CC4-5D6E-409C-BE32-E72D297353CC}">
                  <c16:uniqueId val="{0000000A-E7E6-984F-B4E4-5660F27577B3}"/>
                </c:ext>
              </c:extLst>
            </c:dLbl>
            <c:dLbl>
              <c:idx val="7"/>
              <c:delete val="1"/>
              <c:extLst>
                <c:ext xmlns:c15="http://schemas.microsoft.com/office/drawing/2012/chart" uri="{CE6537A1-D6FC-4f65-9D91-7224C49458BB}"/>
                <c:ext xmlns:c16="http://schemas.microsoft.com/office/drawing/2014/chart" uri="{C3380CC4-5D6E-409C-BE32-E72D297353CC}">
                  <c16:uniqueId val="{00000009-E7E6-984F-B4E4-5660F27577B3}"/>
                </c:ext>
              </c:extLst>
            </c:dLbl>
            <c:dLbl>
              <c:idx val="8"/>
              <c:delete val="1"/>
              <c:extLst>
                <c:ext xmlns:c15="http://schemas.microsoft.com/office/drawing/2012/chart" uri="{CE6537A1-D6FC-4f65-9D91-7224C49458BB}"/>
                <c:ext xmlns:c16="http://schemas.microsoft.com/office/drawing/2014/chart" uri="{C3380CC4-5D6E-409C-BE32-E72D297353CC}">
                  <c16:uniqueId val="{00000002-E7E6-984F-B4E4-5660F27577B3}"/>
                </c:ext>
              </c:extLst>
            </c:dLbl>
            <c:dLbl>
              <c:idx val="9"/>
              <c:delete val="1"/>
              <c:extLst>
                <c:ext xmlns:c15="http://schemas.microsoft.com/office/drawing/2012/chart" uri="{CE6537A1-D6FC-4f65-9D91-7224C49458BB}"/>
                <c:ext xmlns:c16="http://schemas.microsoft.com/office/drawing/2014/chart" uri="{C3380CC4-5D6E-409C-BE32-E72D297353CC}">
                  <c16:uniqueId val="{00000003-E7E6-984F-B4E4-5660F27577B3}"/>
                </c:ext>
              </c:extLst>
            </c:dLbl>
            <c:dLbl>
              <c:idx val="10"/>
              <c:delete val="1"/>
              <c:extLst>
                <c:ext xmlns:c15="http://schemas.microsoft.com/office/drawing/2012/chart" uri="{CE6537A1-D6FC-4f65-9D91-7224C49458BB}"/>
                <c:ext xmlns:c16="http://schemas.microsoft.com/office/drawing/2014/chart" uri="{C3380CC4-5D6E-409C-BE32-E72D297353CC}">
                  <c16:uniqueId val="{00000004-E7E6-984F-B4E4-5660F27577B3}"/>
                </c:ext>
              </c:extLst>
            </c:dLbl>
            <c:dLbl>
              <c:idx val="11"/>
              <c:delete val="1"/>
              <c:extLst>
                <c:ext xmlns:c15="http://schemas.microsoft.com/office/drawing/2012/chart" uri="{CE6537A1-D6FC-4f65-9D91-7224C49458BB}"/>
                <c:ext xmlns:c16="http://schemas.microsoft.com/office/drawing/2014/chart" uri="{C3380CC4-5D6E-409C-BE32-E72D297353CC}">
                  <c16:uniqueId val="{00000002-1098-8A45-B605-B9194C49FAB8}"/>
                </c:ext>
              </c:extLst>
            </c:dLbl>
            <c:dLbl>
              <c:idx val="12"/>
              <c:delete val="1"/>
              <c:extLst>
                <c:ext xmlns:c15="http://schemas.microsoft.com/office/drawing/2012/chart" uri="{CE6537A1-D6FC-4f65-9D91-7224C49458BB}"/>
                <c:ext xmlns:c16="http://schemas.microsoft.com/office/drawing/2014/chart" uri="{C3380CC4-5D6E-409C-BE32-E72D297353CC}">
                  <c16:uniqueId val="{00000006-E7E6-984F-B4E4-5660F27577B3}"/>
                </c:ext>
              </c:extLst>
            </c:dLbl>
            <c:dLbl>
              <c:idx val="13"/>
              <c:delete val="1"/>
              <c:extLst>
                <c:ext xmlns:c15="http://schemas.microsoft.com/office/drawing/2012/chart" uri="{CE6537A1-D6FC-4f65-9D91-7224C49458BB}"/>
                <c:ext xmlns:c16="http://schemas.microsoft.com/office/drawing/2014/chart" uri="{C3380CC4-5D6E-409C-BE32-E72D297353CC}">
                  <c16:uniqueId val="{00000007-E7E6-984F-B4E4-5660F27577B3}"/>
                </c:ext>
              </c:extLst>
            </c:dLbl>
            <c:dLbl>
              <c:idx val="14"/>
              <c:delete val="1"/>
              <c:extLst>
                <c:ext xmlns:c15="http://schemas.microsoft.com/office/drawing/2012/chart" uri="{CE6537A1-D6FC-4f65-9D91-7224C49458BB}"/>
                <c:ext xmlns:c16="http://schemas.microsoft.com/office/drawing/2014/chart" uri="{C3380CC4-5D6E-409C-BE32-E72D297353CC}">
                  <c16:uniqueId val="{00000000-AF72-1848-8D14-2279B6F7C74F}"/>
                </c:ext>
              </c:extLst>
            </c:dLbl>
            <c:dLbl>
              <c:idx val="15"/>
              <c:delete val="1"/>
              <c:extLst>
                <c:ext xmlns:c15="http://schemas.microsoft.com/office/drawing/2012/chart" uri="{CE6537A1-D6FC-4f65-9D91-7224C49458BB}"/>
                <c:ext xmlns:c16="http://schemas.microsoft.com/office/drawing/2014/chart" uri="{C3380CC4-5D6E-409C-BE32-E72D297353CC}">
                  <c16:uniqueId val="{00000003-1098-8A45-B605-B9194C49FAB8}"/>
                </c:ext>
              </c:extLst>
            </c:dLbl>
            <c:dLbl>
              <c:idx val="16"/>
              <c:delete val="1"/>
              <c:extLst>
                <c:ext xmlns:c15="http://schemas.microsoft.com/office/drawing/2012/chart" uri="{CE6537A1-D6FC-4f65-9D91-7224C49458BB}"/>
                <c:ext xmlns:c16="http://schemas.microsoft.com/office/drawing/2014/chart" uri="{C3380CC4-5D6E-409C-BE32-E72D297353CC}">
                  <c16:uniqueId val="{00000000-447A-5E43-94E1-C998BAEA1176}"/>
                </c:ext>
              </c:extLst>
            </c:dLbl>
            <c:dLbl>
              <c:idx val="17"/>
              <c:delete val="1"/>
              <c:extLst>
                <c:ext xmlns:c15="http://schemas.microsoft.com/office/drawing/2012/chart" uri="{CE6537A1-D6FC-4f65-9D91-7224C49458BB}"/>
                <c:ext xmlns:c16="http://schemas.microsoft.com/office/drawing/2014/chart" uri="{C3380CC4-5D6E-409C-BE32-E72D297353CC}">
                  <c16:uniqueId val="{00000000-A787-6A46-90CD-4BF42EF80777}"/>
                </c:ext>
              </c:extLst>
            </c:dLbl>
            <c:dLbl>
              <c:idx val="18"/>
              <c:delete val="1"/>
              <c:extLst>
                <c:ext xmlns:c15="http://schemas.microsoft.com/office/drawing/2012/chart" uri="{CE6537A1-D6FC-4f65-9D91-7224C49458BB}"/>
                <c:ext xmlns:c16="http://schemas.microsoft.com/office/drawing/2014/chart" uri="{C3380CC4-5D6E-409C-BE32-E72D297353CC}">
                  <c16:uniqueId val="{00000001-A787-6A46-90CD-4BF42EF80777}"/>
                </c:ext>
              </c:extLst>
            </c:dLbl>
            <c:dLbl>
              <c:idx val="19"/>
              <c:delete val="1"/>
              <c:extLst>
                <c:ext xmlns:c15="http://schemas.microsoft.com/office/drawing/2012/chart" uri="{CE6537A1-D6FC-4f65-9D91-7224C49458BB}"/>
                <c:ext xmlns:c16="http://schemas.microsoft.com/office/drawing/2014/chart" uri="{C3380CC4-5D6E-409C-BE32-E72D297353CC}">
                  <c16:uniqueId val="{00000001-E4ED-2D40-BB0C-D5284EA7E854}"/>
                </c:ext>
              </c:extLst>
            </c:dLbl>
            <c:dLbl>
              <c:idx val="20"/>
              <c:delete val="1"/>
              <c:extLst>
                <c:ext xmlns:c15="http://schemas.microsoft.com/office/drawing/2012/chart" uri="{CE6537A1-D6FC-4f65-9D91-7224C49458BB}"/>
                <c:ext xmlns:c16="http://schemas.microsoft.com/office/drawing/2014/chart" uri="{C3380CC4-5D6E-409C-BE32-E72D297353CC}">
                  <c16:uniqueId val="{00000003-5643-A042-888E-923D3A0AE9AA}"/>
                </c:ext>
              </c:extLst>
            </c:dLbl>
            <c:dLbl>
              <c:idx val="21"/>
              <c:delete val="1"/>
              <c:extLst>
                <c:ext xmlns:c15="http://schemas.microsoft.com/office/drawing/2012/chart" uri="{CE6537A1-D6FC-4f65-9D91-7224C49458BB}"/>
                <c:ext xmlns:c16="http://schemas.microsoft.com/office/drawing/2014/chart" uri="{C3380CC4-5D6E-409C-BE32-E72D297353CC}">
                  <c16:uniqueId val="{00000002-5643-A042-888E-923D3A0AE9AA}"/>
                </c:ext>
              </c:extLst>
            </c:dLbl>
            <c:dLbl>
              <c:idx val="22"/>
              <c:layout>
                <c:manualLayout>
                  <c:x val="4.9156248671046468E-2"/>
                  <c:y val="-4.4073428495111609E-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643-A042-888E-923D3A0AE9AA}"/>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76200" cap="rnd">
                <a:solidFill>
                  <a:schemeClr val="accent5">
                    <a:alpha val="25000"/>
                  </a:schemeClr>
                </a:solidFill>
                <a:prstDash val="sysDot"/>
              </a:ln>
              <a:effectLst/>
            </c:spPr>
            <c:trendlineType val="linear"/>
            <c:forward val="360"/>
            <c:dispRSqr val="0"/>
            <c:dispEq val="0"/>
          </c:trendline>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compute!$N$5:$N$10010</c:f>
              <c:numCache>
                <c:formatCode>0.0%</c:formatCode>
                <c:ptCount val="10006"/>
                <c:pt idx="0">
                  <c:v>3.7136663375664778E-4</c:v>
                </c:pt>
                <c:pt idx="1">
                  <c:v>4.4648176804744323E-4</c:v>
                </c:pt>
                <c:pt idx="2">
                  <c:v>6.0448256776256455E-4</c:v>
                </c:pt>
                <c:pt idx="3">
                  <c:v>8.042499723204126E-4</c:v>
                </c:pt>
                <c:pt idx="4">
                  <c:v>1.0354232735429467E-3</c:v>
                </c:pt>
                <c:pt idx="5">
                  <c:v>1.307391863216516E-3</c:v>
                </c:pt>
                <c:pt idx="6">
                  <c:v>1.6026720462906771E-3</c:v>
                </c:pt>
                <c:pt idx="7">
                  <c:v>1.8467962327357622E-3</c:v>
                </c:pt>
                <c:pt idx="8">
                  <c:v>2.182547932130395E-3</c:v>
                </c:pt>
                <c:pt idx="9">
                  <c:v>2.5166807708722088E-3</c:v>
                </c:pt>
                <c:pt idx="10">
                  <c:v>2.916539352118469E-3</c:v>
                </c:pt>
                <c:pt idx="11">
                  <c:v>3.3244922366288229E-3</c:v>
                </c:pt>
                <c:pt idx="12">
                  <c:v>3.737949247358761E-3</c:v>
                </c:pt>
                <c:pt idx="13">
                  <c:v>3.9985858124625987E-3</c:v>
                </c:pt>
                <c:pt idx="14">
                  <c:v>4.4126903674536651E-3</c:v>
                </c:pt>
                <c:pt idx="15">
                  <c:v>4.7746676094239634E-3</c:v>
                </c:pt>
                <c:pt idx="16">
                  <c:v>5.082574905590111E-3</c:v>
                </c:pt>
                <c:pt idx="17">
                  <c:v>5.4477898688660466E-3</c:v>
                </c:pt>
                <c:pt idx="18">
                  <c:v>5.8175376419698759E-3</c:v>
                </c:pt>
                <c:pt idx="19">
                  <c:v>6.1471376708837986E-3</c:v>
                </c:pt>
                <c:pt idx="20">
                  <c:v>6.4414465375662675E-3</c:v>
                </c:pt>
                <c:pt idx="21">
                  <c:v>6.8053664123199483E-3</c:v>
                </c:pt>
                <c:pt idx="22">
                  <c:v>7.0025436398332861E-3</c:v>
                </c:pt>
                <c:pt idx="23">
                  <c:v>7.2910246081656083E-3</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77"/>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70000000000000007"/>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compute!$P$4</c:f>
              <c:strCache>
                <c:ptCount val="1"/>
                <c:pt idx="0">
                  <c:v>1-in-X odds, estimating 7x cases infected</c:v>
                </c:pt>
              </c:strCache>
            </c:strRef>
          </c:tx>
          <c:spPr>
            <a:noFill/>
            <a:ln>
              <a:noFill/>
            </a:ln>
            <a:effectLst/>
          </c:spPr>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compute!$P$5:$P$10010</c:f>
              <c:numCache>
                <c:formatCode>0</c:formatCode>
                <c:ptCount val="10006"/>
                <c:pt idx="0">
                  <c:v>2675.0201768588863</c:v>
                </c:pt>
                <c:pt idx="1">
                  <c:v>2224.980524189371</c:v>
                </c:pt>
                <c:pt idx="2">
                  <c:v>1643.410896013467</c:v>
                </c:pt>
                <c:pt idx="3">
                  <c:v>1235.2045663676099</c:v>
                </c:pt>
                <c:pt idx="4">
                  <c:v>959.42718663450376</c:v>
                </c:pt>
                <c:pt idx="5">
                  <c:v>759.8435222528833</c:v>
                </c:pt>
                <c:pt idx="6">
                  <c:v>619.84810966810971</c:v>
                </c:pt>
                <c:pt idx="7">
                  <c:v>537.91166599879784</c:v>
                </c:pt>
                <c:pt idx="8">
                  <c:v>455.16216330769066</c:v>
                </c:pt>
                <c:pt idx="9">
                  <c:v>394.73152487548475</c:v>
                </c:pt>
                <c:pt idx="10">
                  <c:v>340.61369259071301</c:v>
                </c:pt>
                <c:pt idx="11">
                  <c:v>298.8165312482609</c:v>
                </c:pt>
                <c:pt idx="12">
                  <c:v>265.7642393120089</c:v>
                </c:pt>
                <c:pt idx="13">
                  <c:v>248.44114517061885</c:v>
                </c:pt>
                <c:pt idx="14">
                  <c:v>225.12643208284854</c:v>
                </c:pt>
                <c:pt idx="15">
                  <c:v>208.05914035784517</c:v>
                </c:pt>
                <c:pt idx="16">
                  <c:v>195.45471670640481</c:v>
                </c:pt>
                <c:pt idx="17">
                  <c:v>182.35160720653411</c:v>
                </c:pt>
                <c:pt idx="18">
                  <c:v>170.76180670398168</c:v>
                </c:pt>
                <c:pt idx="19">
                  <c:v>161.60582233525454</c:v>
                </c:pt>
                <c:pt idx="20">
                  <c:v>154.22207302624494</c:v>
                </c:pt>
                <c:pt idx="21">
                  <c:v>145.97498181917041</c:v>
                </c:pt>
                <c:pt idx="22">
                  <c:v>141.86462654231286</c:v>
                </c:pt>
                <c:pt idx="23">
                  <c:v>136.25152728172401</c:v>
                </c:pt>
              </c:numCache>
            </c:numRef>
          </c:val>
          <c:extLst>
            <c:ext xmlns:c16="http://schemas.microsoft.com/office/drawing/2014/chart" uri="{C3380CC4-5D6E-409C-BE32-E72D297353CC}">
              <c16:uniqueId val="{00000006-9841-3245-911E-DFF54223F946}"/>
            </c:ext>
          </c:extLst>
        </c:ser>
        <c:ser>
          <c:idx val="1"/>
          <c:order val="1"/>
          <c:tx>
            <c:strRef>
              <c:f>compute!$Q$4</c:f>
              <c:strCache>
                <c:ptCount val="1"/>
                <c:pt idx="0">
                  <c:v>1-in-X odds difference</c:v>
                </c:pt>
              </c:strCache>
            </c:strRef>
          </c:tx>
          <c:spPr>
            <a:solidFill>
              <a:schemeClr val="bg2"/>
            </a:solidFill>
            <a:ln>
              <a:noFill/>
            </a:ln>
            <a:effectLst/>
          </c:spPr>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compute!$Q$5:$Q$10010</c:f>
              <c:numCache>
                <c:formatCode>0</c:formatCode>
                <c:ptCount val="10006"/>
                <c:pt idx="0">
                  <c:v>1070.008070743555</c:v>
                </c:pt>
                <c:pt idx="1">
                  <c:v>889.99220967574865</c:v>
                </c:pt>
                <c:pt idx="2">
                  <c:v>657.36435840538684</c:v>
                </c:pt>
                <c:pt idx="3">
                  <c:v>494.08182654704387</c:v>
                </c:pt>
                <c:pt idx="4">
                  <c:v>383.77087465380134</c:v>
                </c:pt>
                <c:pt idx="5">
                  <c:v>303.93740890115328</c:v>
                </c:pt>
                <c:pt idx="6">
                  <c:v>247.93924386724382</c:v>
                </c:pt>
                <c:pt idx="7">
                  <c:v>215.16466639951909</c:v>
                </c:pt>
                <c:pt idx="8">
                  <c:v>182.06486532307633</c:v>
                </c:pt>
                <c:pt idx="9">
                  <c:v>157.8926099501939</c:v>
                </c:pt>
                <c:pt idx="10">
                  <c:v>136.24547703628519</c:v>
                </c:pt>
                <c:pt idx="11">
                  <c:v>119.52661249930435</c:v>
                </c:pt>
                <c:pt idx="12">
                  <c:v>106.30569572480357</c:v>
                </c:pt>
                <c:pt idx="13">
                  <c:v>99.376458068247558</c:v>
                </c:pt>
                <c:pt idx="14">
                  <c:v>90.050572833139455</c:v>
                </c:pt>
                <c:pt idx="15">
                  <c:v>83.223656143138072</c:v>
                </c:pt>
                <c:pt idx="16">
                  <c:v>78.181886682561952</c:v>
                </c:pt>
                <c:pt idx="17">
                  <c:v>72.940642882613645</c:v>
                </c:pt>
                <c:pt idx="18">
                  <c:v>68.304722681592665</c:v>
                </c:pt>
                <c:pt idx="19">
                  <c:v>64.642328934101812</c:v>
                </c:pt>
                <c:pt idx="20">
                  <c:v>61.688829210497971</c:v>
                </c:pt>
                <c:pt idx="21">
                  <c:v>58.389992727668158</c:v>
                </c:pt>
                <c:pt idx="22">
                  <c:v>56.745850616925168</c:v>
                </c:pt>
                <c:pt idx="23">
                  <c:v>54.500610912689609</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compute!$R$4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layout>
                <c:manualLayout>
                  <c:x val="-5.0847457627118765E-2"/>
                  <c:y val="-5.59322033898305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055-7746-9B18-46D322BD3F47}"/>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compute!$A$5:$A$10010</c:f>
              <c:numCache>
                <c:formatCode>d\-mmm</c:formatCode>
                <c:ptCount val="1000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numCache>
            </c:numRef>
          </c:cat>
          <c:val>
            <c:numRef>
              <c:f>compute!$R$5:$R$10010</c:f>
              <c:numCache>
                <c:formatCode>0</c:formatCode>
                <c:ptCount val="10006"/>
                <c:pt idx="0">
                  <c:v>3210.0242122306636</c:v>
                </c:pt>
                <c:pt idx="1">
                  <c:v>2669.9766290272455</c:v>
                </c:pt>
                <c:pt idx="2">
                  <c:v>1972.0930752161603</c:v>
                </c:pt>
                <c:pt idx="3">
                  <c:v>1482.2454796411319</c:v>
                </c:pt>
                <c:pt idx="4">
                  <c:v>1151.3126239614044</c:v>
                </c:pt>
                <c:pt idx="5">
                  <c:v>911.81222670345994</c:v>
                </c:pt>
                <c:pt idx="6">
                  <c:v>743.81773160173157</c:v>
                </c:pt>
                <c:pt idx="7">
                  <c:v>645.49399919855739</c:v>
                </c:pt>
                <c:pt idx="8">
                  <c:v>546.19459596922889</c:v>
                </c:pt>
                <c:pt idx="9">
                  <c:v>473.6778298505817</c:v>
                </c:pt>
                <c:pt idx="10">
                  <c:v>408.73643110885564</c:v>
                </c:pt>
                <c:pt idx="11">
                  <c:v>358.5798374979131</c:v>
                </c:pt>
                <c:pt idx="12">
                  <c:v>318.91708717441065</c:v>
                </c:pt>
                <c:pt idx="13">
                  <c:v>298.12937420474265</c:v>
                </c:pt>
                <c:pt idx="14">
                  <c:v>270.15171849941828</c:v>
                </c:pt>
                <c:pt idx="15">
                  <c:v>249.67096842941419</c:v>
                </c:pt>
                <c:pt idx="16">
                  <c:v>234.54566004768577</c:v>
                </c:pt>
                <c:pt idx="17">
                  <c:v>218.82192864784093</c:v>
                </c:pt>
                <c:pt idx="18">
                  <c:v>204.91416804477802</c:v>
                </c:pt>
                <c:pt idx="19">
                  <c:v>193.92698680230546</c:v>
                </c:pt>
                <c:pt idx="20">
                  <c:v>185.06648763149394</c:v>
                </c:pt>
                <c:pt idx="21">
                  <c:v>175.1699781830045</c:v>
                </c:pt>
                <c:pt idx="22">
                  <c:v>170.23755185077545</c:v>
                </c:pt>
                <c:pt idx="23">
                  <c:v>163.5018327380688</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4"/>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U$29">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8" name="Rectangle 17">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2" name="Picture 21">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3" name="Picture 22">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4"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5"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6" name="Picture 25">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dr:relSizeAnchor xmlns:cdr="http://schemas.openxmlformats.org/drawingml/2006/chartDrawing">
    <cdr:from>
      <cdr:x>0.17288</cdr:x>
      <cdr:y>0.21017</cdr:y>
    </cdr:from>
    <cdr:to>
      <cdr:x>0.50678</cdr:x>
      <cdr:y>0.57288</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1295400" y="1574800"/>
          <a:ext cx="2501900" cy="2717800"/>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U$29">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U$29">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0.24576</cdr:x>
      <cdr:y>0.31525</cdr:y>
    </cdr:from>
    <cdr:to>
      <cdr:x>0.57119</cdr:x>
      <cdr:y>0.49492</cdr:y>
    </cdr:to>
    <cdr:sp macro="" textlink="compute!$U$35">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841505" y="2362199"/>
          <a:ext cx="2438395" cy="1346201"/>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188,000 people in Florida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U$29">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1" name="Picture 20">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2" name="Picture 21">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3"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4"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5" name="Picture 24">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U$29">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0.22881</cdr:x>
      <cdr:y>0.48136</cdr:y>
    </cdr:from>
    <cdr:to>
      <cdr:x>0.45932</cdr:x>
      <cdr:y>0.56611</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714473" y="3606794"/>
          <a:ext cx="1727212" cy="63503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0.61526</cdr:x>
      <cdr:y>0.68474</cdr:y>
    </cdr:from>
    <cdr:to>
      <cdr:x>0.95255</cdr:x>
      <cdr:y>0.79491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610125" y="513078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0" name="Picture 19">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1" name="Picture 20">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2"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3"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4" name="Picture 23">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cdr:x>
      <cdr:y>0.09196</cdr:y>
    </cdr:from>
    <cdr:to>
      <cdr:x>1</cdr:x>
      <cdr:y>0.12834</cdr:y>
    </cdr:to>
    <cdr:sp macro="" textlink="compute!$U$29">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0.21797</cdr:x>
      <cdr:y>0.23233</cdr:y>
    </cdr:from>
    <cdr:to>
      <cdr:x>0.81458</cdr:x>
      <cdr:y>0.34928</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633215" y="1740883"/>
          <a:ext cx="4470399" cy="8763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0" i="0" u="none" strike="noStrike">
              <a:solidFill>
                <a:schemeClr val="accent1"/>
              </a:solidFill>
              <a:effectLst/>
              <a:latin typeface="Helvetica" pitchFamily="2" charset="0"/>
              <a:ea typeface="+mn-ea"/>
              <a:cs typeface="+mn-cs"/>
            </a:rPr>
            <a:t>Experts estimate</a:t>
          </a:r>
          <a:r>
            <a:rPr lang="en-US" sz="2000" b="0" i="0" u="none" strike="noStrike" baseline="0">
              <a:solidFill>
                <a:schemeClr val="accent1"/>
              </a:solidFill>
              <a:effectLst/>
              <a:latin typeface="Helvetica" pitchFamily="2" charset="0"/>
              <a:ea typeface="+mn-ea"/>
              <a:cs typeface="+mn-cs"/>
            </a:rPr>
            <a:t> </a:t>
          </a:r>
          <a:r>
            <a:rPr lang="en-US" sz="2000" b="0" i="0" u="none" strike="noStrike">
              <a:solidFill>
                <a:schemeClr val="accent1"/>
              </a:solidFill>
              <a:effectLst/>
              <a:latin typeface="Helvetica" pitchFamily="2" charset="0"/>
              <a:ea typeface="+mn-ea"/>
              <a:cs typeface="+mn-cs"/>
            </a:rPr>
            <a:t>the critical threshold for achieving</a:t>
          </a:r>
          <a:r>
            <a:rPr lang="en-US" sz="2000" b="0" i="0" u="none" strike="noStrike" baseline="0">
              <a:solidFill>
                <a:schemeClr val="accent1"/>
              </a:solidFill>
              <a:effectLst/>
              <a:latin typeface="Helvetica" pitchFamily="2" charset="0"/>
              <a:ea typeface="+mn-ea"/>
              <a:cs typeface="+mn-cs"/>
            </a:rPr>
            <a:t> </a:t>
          </a:r>
          <a:r>
            <a:rPr lang="en-US" sz="2000" b="0" i="0" u="none" strike="noStrike">
              <a:solidFill>
                <a:schemeClr val="accent1"/>
              </a:solidFill>
              <a:effectLst/>
              <a:latin typeface="Helvetica" pitchFamily="2" charset="0"/>
              <a:ea typeface="+mn-ea"/>
              <a:cs typeface="+mn-cs"/>
            </a:rPr>
            <a:t>herd protection for COVID-19 is between 50% and 66%.</a:t>
          </a:r>
          <a:endParaRPr lang="en-US" sz="2000">
            <a:solidFill>
              <a:schemeClr val="accent1"/>
            </a:solidFill>
            <a:latin typeface="Helvetica" pitchFamily="2" charset="0"/>
          </a:endParaRPr>
        </a:p>
      </cdr:txBody>
    </cdr:sp>
  </cdr:relSizeAnchor>
  <cdr:relSizeAnchor xmlns:cdr="http://schemas.openxmlformats.org/drawingml/2006/chartDrawing">
    <cdr:from>
      <cdr:x>0.15424</cdr:x>
      <cdr:y>0.40509</cdr:y>
    </cdr:from>
    <cdr:to>
      <cdr:x>0.60616</cdr:x>
      <cdr:y>0.52416</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1155734" y="3035309"/>
          <a:ext cx="3386237" cy="89219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a:solidFill>
                <a:schemeClr val="bg1"/>
              </a:solidFill>
              <a:latin typeface="Helvetica" pitchFamily="2" charset="0"/>
            </a:rPr>
            <a:t>How long before we</a:t>
          </a:r>
          <a:r>
            <a:rPr lang="en-US" sz="2000" baseline="0">
              <a:solidFill>
                <a:schemeClr val="bg1"/>
              </a:solidFill>
              <a:latin typeface="Helvetica" pitchFamily="2" charset="0"/>
            </a:rPr>
            <a:t> reach herd immunity and the virus can't spread any more?</a:t>
          </a:r>
          <a:endParaRPr lang="en-US" sz="20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6" name="Rectangle 15">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7" name="Picture 16">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8" name="Picture 17">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9"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0"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1" name="Picture 20">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0.36779</cdr:x>
      <cdr:y>0.42518</cdr:y>
    </cdr:from>
    <cdr:to>
      <cdr:x>0.79322</cdr:x>
      <cdr:y>0.6</cdr:y>
    </cdr:to>
    <cdr:sp macro="" textlink="compute!$U$39">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755871" y="3185853"/>
          <a:ext cx="3187747" cy="1309927"/>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Florida having been infected with SARS-CoV-2 is currently estimated to be around one in 164.</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U$29">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8" name="Picture 17">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9" name="Picture 18">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0"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1"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2" name="Picture 21">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U29">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15, 2020, evening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Florida</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editAs="oneCell">
    <xdr:from>
      <xdr:col>6</xdr:col>
      <xdr:colOff>2761720</xdr:colOff>
      <xdr:row>18</xdr:row>
      <xdr:rowOff>87933</xdr:rowOff>
    </xdr:from>
    <xdr:to>
      <xdr:col>6</xdr:col>
      <xdr:colOff>2987736</xdr:colOff>
      <xdr:row>18</xdr:row>
      <xdr:rowOff>310723</xdr:rowOff>
    </xdr:to>
    <xdr:pic>
      <xdr:nvPicPr>
        <xdr:cNvPr id="11" name="Picture 10">
          <a:extLst>
            <a:ext uri="{FF2B5EF4-FFF2-40B4-BE49-F238E27FC236}">
              <a16:creationId xmlns:a16="http://schemas.microsoft.com/office/drawing/2014/main" id="{C8519714-BD67-0549-9186-9E476B39E5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09529" y="7196897"/>
          <a:ext cx="226016" cy="222790"/>
        </a:xfrm>
        <a:prstGeom prst="rect">
          <a:avLst/>
        </a:prstGeom>
      </xdr:spPr>
    </xdr:pic>
    <xdr:clientData/>
  </xdr:twoCellAnchor>
  <xdr:twoCellAnchor editAs="oneCell">
    <xdr:from>
      <xdr:col>6</xdr:col>
      <xdr:colOff>3006436</xdr:colOff>
      <xdr:row>18</xdr:row>
      <xdr:rowOff>58747</xdr:rowOff>
    </xdr:from>
    <xdr:to>
      <xdr:col>8</xdr:col>
      <xdr:colOff>41266</xdr:colOff>
      <xdr:row>18</xdr:row>
      <xdr:rowOff>342540</xdr:rowOff>
    </xdr:to>
    <xdr:pic>
      <xdr:nvPicPr>
        <xdr:cNvPr id="12" name="Picture 11">
          <a:extLst>
            <a:ext uri="{FF2B5EF4-FFF2-40B4-BE49-F238E27FC236}">
              <a16:creationId xmlns:a16="http://schemas.microsoft.com/office/drawing/2014/main" id="{5CB78546-61B2-F147-BE9A-6488295B672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54245" y="7167711"/>
          <a:ext cx="288256" cy="283793"/>
        </a:xfrm>
        <a:prstGeom prst="rect">
          <a:avLst/>
        </a:prstGeom>
      </xdr:spPr>
    </xdr:pic>
    <xdr:clientData/>
  </xdr:twoCellAnchor>
  <xdr:twoCellAnchor>
    <xdr:from>
      <xdr:col>6</xdr:col>
      <xdr:colOff>481158</xdr:colOff>
      <xdr:row>18</xdr:row>
      <xdr:rowOff>77840</xdr:rowOff>
    </xdr:from>
    <xdr:to>
      <xdr:col>6</xdr:col>
      <xdr:colOff>2679717</xdr:colOff>
      <xdr:row>19</xdr:row>
      <xdr:rowOff>5005</xdr:rowOff>
    </xdr:to>
    <xdr:sp macro="" textlink="">
      <xdr:nvSpPr>
        <xdr:cNvPr id="13" name="TextBox 3">
          <a:extLst>
            <a:ext uri="{FF2B5EF4-FFF2-40B4-BE49-F238E27FC236}">
              <a16:creationId xmlns:a16="http://schemas.microsoft.com/office/drawing/2014/main" id="{970D30E2-4478-7040-8565-2332431848C5}"/>
            </a:ext>
          </a:extLst>
        </xdr:cNvPr>
        <xdr:cNvSpPr txBox="1"/>
      </xdr:nvSpPr>
      <xdr:spPr>
        <a:xfrm>
          <a:off x="4528967" y="7186804"/>
          <a:ext cx="2198559" cy="306647"/>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xdr:txBody>
    </xdr:sp>
    <xdr:clientData/>
  </xdr:twoCellAnchor>
  <xdr:twoCellAnchor>
    <xdr:from>
      <xdr:col>2</xdr:col>
      <xdr:colOff>2307251</xdr:colOff>
      <xdr:row>18</xdr:row>
      <xdr:rowOff>77788</xdr:rowOff>
    </xdr:from>
    <xdr:to>
      <xdr:col>6</xdr:col>
      <xdr:colOff>631605</xdr:colOff>
      <xdr:row>18</xdr:row>
      <xdr:rowOff>370903</xdr:rowOff>
    </xdr:to>
    <xdr:sp macro="" textlink="">
      <xdr:nvSpPr>
        <xdr:cNvPr id="14" name="TextBox 1">
          <a:extLst>
            <a:ext uri="{FF2B5EF4-FFF2-40B4-BE49-F238E27FC236}">
              <a16:creationId xmlns:a16="http://schemas.microsoft.com/office/drawing/2014/main" id="{FD0A8590-7A21-364E-8612-513F25D09B8F}"/>
            </a:ext>
          </a:extLst>
        </xdr:cNvPr>
        <xdr:cNvSpPr txBox="1"/>
      </xdr:nvSpPr>
      <xdr:spPr>
        <a:xfrm>
          <a:off x="2666494" y="7186752"/>
          <a:ext cx="2012920" cy="293115"/>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https://BeachCov2.info</a:t>
          </a:r>
          <a:endParaRPr lang="en-US" sz="1100" b="1">
            <a:solidFill>
              <a:schemeClr val="bg1"/>
            </a:solidFill>
          </a:endParaRPr>
        </a:p>
      </xdr:txBody>
    </xdr:sp>
    <xdr:clientData/>
  </xdr:twoCellAnchor>
  <xdr:twoCellAnchor editAs="oneCell">
    <xdr:from>
      <xdr:col>0</xdr:col>
      <xdr:colOff>212777</xdr:colOff>
      <xdr:row>18</xdr:row>
      <xdr:rowOff>81537</xdr:rowOff>
    </xdr:from>
    <xdr:to>
      <xdr:col>2</xdr:col>
      <xdr:colOff>1389530</xdr:colOff>
      <xdr:row>18</xdr:row>
      <xdr:rowOff>310680</xdr:rowOff>
    </xdr:to>
    <xdr:pic>
      <xdr:nvPicPr>
        <xdr:cNvPr id="5" name="Picture 4">
          <a:extLst>
            <a:ext uri="{FF2B5EF4-FFF2-40B4-BE49-F238E27FC236}">
              <a16:creationId xmlns:a16="http://schemas.microsoft.com/office/drawing/2014/main" id="{2DD3B736-40A5-DA4C-8AE5-3220B2DE2EA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2777" y="7190501"/>
          <a:ext cx="1535996" cy="22914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U28" totalsRowShown="0" headerRowDxfId="22" dataDxfId="21" headerRowCellStyle="Heading 3">
  <autoFilter ref="A4:U28" xr:uid="{550F0C45-D7F8-B94B-924D-6E337BF889A7}"/>
  <tableColumns count="21">
    <tableColumn id="1" xr3:uid="{5A8F4760-7ADB-5643-B32D-8C30EC7E1E18}" name="date" dataDxfId="1"/>
    <tableColumn id="2" xr3:uid="{1A056131-5760-2749-834E-BF55DAB2649A}" name="cases" dataDxfId="0"/>
    <tableColumn id="7" xr3:uid="{E5423AEA-3C8B-5E41-AC0D-429045679C6E}" name="case percentage" dataDxfId="20" dataCellStyle="Percent">
      <calculatedColumnFormula>Table2[[#This Row],[cases]]/$B$2</calculatedColumnFormula>
    </tableColumn>
    <tableColumn id="20" xr3:uid="{583731BA-1864-EF40-AEF7-A80834F00231}" name="% increase" dataDxfId="19">
      <calculatedColumnFormula>(Table2[[#This Row],[cases]]-B4)/B4</calculatedColumnFormula>
    </tableColumn>
    <tableColumn id="19" xr3:uid="{C3C6B808-3CB5-8B45-A4B9-4A6CDF5E27BE}" name="doubling time (days)" dataDxfId="7">
      <calculatedColumnFormula>(LN(2)/LN(B5/B4))</calculatedColumnFormula>
    </tableColumn>
    <tableColumn id="22" xr3:uid="{90069003-40F0-4A42-B540-85A67A611F36}" name="estimated infections" dataDxfId="6">
      <calculatedColumnFormula>Table2[[#This Row],[cases]]*100/$S$19</calculatedColumnFormula>
    </tableColumn>
    <tableColumn id="8" xr3:uid="{C899EFA6-17F8-B447-A1DB-6D7083A2F531}" name="infection count, low end of estimate range" dataDxfId="5">
      <calculatedColumnFormula>Table2[[#This Row],[cases]]*100/$S$13</calculatedColumnFormula>
    </tableColumn>
    <tableColumn id="9" xr3:uid="{9DA1C9E0-36F7-DE43-8448-4D8CE8B57839}" name="infection count, high end of estimate range" dataDxfId="4">
      <calculatedColumnFormula>Table2[[#This Row],[cases]]*100/$S$16</calculatedColumnFormula>
    </tableColumn>
    <tableColumn id="11" xr3:uid="{DF5E18EF-399D-9948-A8F2-9862C2232353}" name="infection count difference" dataDxfId="3">
      <calculatedColumnFormula>Table2[[#This Row],[infection count, high end of estimate range]]-Table2[[#This Row],[infection count, low end of estimate range]]</calculatedColumnFormula>
    </tableColumn>
    <tableColumn id="10" xr3:uid="{F5EF272D-BCCD-9A42-A437-406EF6A3644D}" name="average infection count" dataDxfId="2">
      <calculatedColumnFormula>(Table2[[#This Row],[infection count, low end of estimate range]]+Table2[[#This Row],[infection count, high end of estimate range]])/2</calculatedColumnFormula>
    </tableColumn>
    <tableColumn id="12" xr3:uid="{8AB0CE19-F28B-1B41-B08C-6F528E4C628D}" name="infection percentage, low end of estimate range" dataDxfId="18">
      <calculatedColumnFormula>Table2[[#This Row],[infection count, low end of estimate range]]/$S$6</calculatedColumnFormula>
    </tableColumn>
    <tableColumn id="13" xr3:uid="{1109EB50-6E0E-5D49-923A-162321C9390D}" name="infection percentage, high end of estimate range" dataDxfId="17">
      <calculatedColumnFormula>Table2[[#This Row],[infection count, high end of estimate range]]/$S$6</calculatedColumnFormula>
    </tableColumn>
    <tableColumn id="14" xr3:uid="{238DA9D3-166B-A04A-B1CF-89D64E5C9BCE}" name="infection percentage difference" dataDxfId="16">
      <calculatedColumnFormula>Table2[[#This Row],[infection percentage, high end of estimate range]]-Table2[[#This Row],[infection percentage, low end of estimate range]]</calculatedColumnFormula>
    </tableColumn>
    <tableColumn id="15" xr3:uid="{DE45558E-71C3-0C4E-A3A2-8B967C3E17AB}" name="average infection percentage" dataDxfId="15">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14">
      <calculatedColumnFormula>$S$6/(Table2[[#This Row],[cases]]*5)</calculatedColumnFormula>
    </tableColumn>
    <tableColumn id="4" xr3:uid="{244EEAB7-EA2F-9142-A896-C40C6D4A9BE9}" name="1-in-X odds, estimating 7x cases infected" dataDxfId="13">
      <calculatedColumnFormula>$S$6/(Table2[[#This Row],[cases]]*7)</calculatedColumnFormula>
    </tableColumn>
    <tableColumn id="5" xr3:uid="{8F986CA1-2145-0B4C-AAAE-6153D0E4F495}" name="1-in-X odds difference" dataDxfId="12">
      <calculatedColumnFormula>Table2[[#This Row],[1-in-X odds, estimating 5x cases infected]]-Table2[[#This Row],[1-in-X odds, estimating 7x cases infected]]</calculatedColumnFormula>
    </tableColumn>
    <tableColumn id="6" xr3:uid="{A840ABA5-36ED-FF4A-9BD9-42132A34A0D4}" name="average 1-in-X odds" dataDxfId="11">
      <calculatedColumnFormula>(Table2[[#This Row],[1-in-X odds, estimating 5x cases infected]]+Table2[[#This Row],[1-in-X odds, estimating 7x cases infected]])/2</calculatedColumnFormula>
    </tableColumn>
    <tableColumn id="16" xr3:uid="{3F9CC5ED-74BF-8D4B-A8C4-40AA15D26E71}" name="constants" dataDxfId="10"/>
    <tableColumn id="17" xr3:uid="{B5DA71D5-91C3-F54E-9A79-5F7DD2472B6E}" name="computed" dataDxfId="9"/>
    <tableColumn id="18" xr3:uid="{22EA3CBE-6B18-9845-9A5C-8FD79B240D43}" name="Column1" dataDxfId="8"/>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29" sqref="L29"/>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zoomScaleNormal="100" workbookViewId="0">
      <selection activeCell="L32" sqref="L32"/>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tabSelected="1"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zoomScaleNormal="100" workbookViewId="0">
      <selection activeCell="P23" sqref="P23"/>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zoomScaleNormal="100" workbookViewId="0">
      <selection activeCell="L25" sqref="L25"/>
    </sheetView>
  </sheetViews>
  <sheetFormatPr baseColWidth="10" defaultRowHeight="16" x14ac:dyDescent="0.2"/>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M13" sqref="M13"/>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compute!T9</f>
        <v>22519</v>
      </c>
      <c r="D6" s="24"/>
      <c r="E6" s="17"/>
      <c r="F6" s="18"/>
      <c r="G6" s="82">
        <f ca="1">compute!T12</f>
        <v>187658.33333333334</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compute!U41</f>
        <v>doubing in 17.2 days</v>
      </c>
      <c r="D8" s="44"/>
      <c r="E8" s="43"/>
      <c r="F8" s="46"/>
      <c r="G8" s="47" t="str">
        <f ca="1">compute!U43</f>
        <v>+4.1%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compute!T15</f>
        <v>7.2910246081656083E-3</v>
      </c>
      <c r="D14" s="18"/>
      <c r="E14" s="17"/>
      <c r="F14" s="18"/>
      <c r="G14" s="19">
        <f ca="1">compute!T18</f>
        <v>163.5018327380688</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W45"/>
  <sheetViews>
    <sheetView workbookViewId="0">
      <selection activeCell="E34" sqref="E34"/>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0" width="10.6640625" style="79" customWidth="1"/>
    <col min="11" max="12" width="15.83203125" style="28" customWidth="1"/>
    <col min="13" max="13" width="12.6640625" style="16" customWidth="1"/>
    <col min="14" max="14" width="12.83203125" style="28" customWidth="1"/>
    <col min="15" max="15" width="14" customWidth="1"/>
    <col min="16" max="16" width="15.33203125" customWidth="1"/>
    <col min="17" max="17" width="11.5" style="4" customWidth="1"/>
    <col min="18" max="18" width="8.1640625" style="4" customWidth="1"/>
    <col min="19" max="20" width="18.1640625" style="3" customWidth="1"/>
    <col min="21" max="21" width="87.83203125" customWidth="1"/>
  </cols>
  <sheetData>
    <row r="1" spans="1:23" x14ac:dyDescent="0.2">
      <c r="A1" s="9" t="s">
        <v>40</v>
      </c>
      <c r="B1" s="9" t="s">
        <v>47</v>
      </c>
      <c r="C1" s="71"/>
    </row>
    <row r="2" spans="1:23" ht="17" x14ac:dyDescent="0.2">
      <c r="A2" s="9" t="s">
        <v>41</v>
      </c>
      <c r="B2" s="61">
        <v>21477737</v>
      </c>
      <c r="C2" s="72"/>
    </row>
    <row r="3" spans="1:23" x14ac:dyDescent="0.2">
      <c r="A3" s="9" t="s">
        <v>43</v>
      </c>
      <c r="B3" s="12" t="s">
        <v>35</v>
      </c>
      <c r="C3" s="71"/>
    </row>
    <row r="4" spans="1:23" s="2" customFormat="1" ht="81" customHeight="1" thickBot="1" x14ac:dyDescent="0.25">
      <c r="A4" s="62" t="s">
        <v>0</v>
      </c>
      <c r="B4" s="63" t="s">
        <v>1</v>
      </c>
      <c r="C4" s="73" t="s">
        <v>52</v>
      </c>
      <c r="D4" s="51" t="s">
        <v>31</v>
      </c>
      <c r="E4" s="37" t="s">
        <v>39</v>
      </c>
      <c r="F4" s="80" t="s">
        <v>58</v>
      </c>
      <c r="G4" s="80" t="s">
        <v>60</v>
      </c>
      <c r="H4" s="80" t="s">
        <v>61</v>
      </c>
      <c r="I4" s="80" t="s">
        <v>6</v>
      </c>
      <c r="J4" s="80" t="s">
        <v>4</v>
      </c>
      <c r="K4" s="25" t="s">
        <v>56</v>
      </c>
      <c r="L4" s="25" t="s">
        <v>57</v>
      </c>
      <c r="M4" s="13" t="s">
        <v>8</v>
      </c>
      <c r="N4" s="25" t="s">
        <v>9</v>
      </c>
      <c r="O4" s="6" t="s">
        <v>2</v>
      </c>
      <c r="P4" s="6" t="s">
        <v>3</v>
      </c>
      <c r="Q4" s="7" t="s">
        <v>7</v>
      </c>
      <c r="R4" s="7" t="s">
        <v>5</v>
      </c>
      <c r="S4" s="10" t="s">
        <v>10</v>
      </c>
      <c r="T4" s="10" t="s">
        <v>21</v>
      </c>
      <c r="U4" s="30" t="s">
        <v>20</v>
      </c>
    </row>
    <row r="5" spans="1:23" ht="17" x14ac:dyDescent="0.2">
      <c r="A5" s="8">
        <v>43913</v>
      </c>
      <c r="B5" s="56">
        <v>1147</v>
      </c>
      <c r="C5" s="74">
        <f>Table2[[#This Row],[cases]]/$B$2</f>
        <v>5.3404136571744032E-5</v>
      </c>
      <c r="D5" s="26" t="e">
        <f>(Table2[[#This Row],[cases]]-B4)/B4</f>
        <v>#VALUE!</v>
      </c>
      <c r="E5" s="38" t="e">
        <f t="shared" ref="E5:E21" si="0">(LN(2)/LN(B5/B4))</f>
        <v>#VALUE!</v>
      </c>
      <c r="F5" s="81">
        <f>Table2[[#This Row],[cases]]*100/$S$19</f>
        <v>9558.3333333333339</v>
      </c>
      <c r="G5" s="56">
        <f>Table2[[#This Row],[cases]]*100/$S$13</f>
        <v>4248.1481481481478</v>
      </c>
      <c r="H5" s="56">
        <f>Table2[[#This Row],[cases]]*100/$S$16</f>
        <v>11704.08163265306</v>
      </c>
      <c r="I5" s="56">
        <f>Table2[[#This Row],[infection count, high end of estimate range]]-Table2[[#This Row],[infection count, low end of estimate range]]</f>
        <v>7455.9334845049125</v>
      </c>
      <c r="J5" s="56">
        <f>(Table2[[#This Row],[infection count, low end of estimate range]]+Table2[[#This Row],[infection count, high end of estimate range]])/2</f>
        <v>7976.1148904006041</v>
      </c>
      <c r="K5" s="26">
        <f>Table2[[#This Row],[infection count, low end of estimate range]]/$S$6</f>
        <v>1.9779309841386677E-4</v>
      </c>
      <c r="L5" s="26">
        <f>Table2[[#This Row],[infection count, high end of estimate range]]/$S$6</f>
        <v>5.4494016909942885E-4</v>
      </c>
      <c r="M5" s="14">
        <f>Table2[[#This Row],[infection percentage, high end of estimate range]]-Table2[[#This Row],[infection percentage, low end of estimate range]]</f>
        <v>3.4714707068556207E-4</v>
      </c>
      <c r="N5" s="26">
        <f>(Table2[[#This Row],[infection percentage, low end of estimate range]]+Table2[[#This Row],[infection percentage, high end of estimate range]])/2</f>
        <v>3.7136663375664778E-4</v>
      </c>
      <c r="O5" s="12">
        <f>$S$6/(Table2[[#This Row],[cases]]*5)</f>
        <v>3745.0282476024413</v>
      </c>
      <c r="P5" s="12">
        <f>$S$6/(Table2[[#This Row],[cases]]*7)</f>
        <v>2675.0201768588863</v>
      </c>
      <c r="Q5" s="3">
        <f>Table2[[#This Row],[1-in-X odds, estimating 5x cases infected]]-Table2[[#This Row],[1-in-X odds, estimating 7x cases infected]]</f>
        <v>1070.008070743555</v>
      </c>
      <c r="R5" s="5">
        <f>(Table2[[#This Row],[1-in-X odds, estimating 5x cases infected]]+Table2[[#This Row],[1-in-X odds, estimating 7x cases infected]])/2</f>
        <v>3210.0242122306636</v>
      </c>
      <c r="S5" s="11" t="s">
        <v>11</v>
      </c>
      <c r="T5" s="11" t="s">
        <v>26</v>
      </c>
      <c r="U5" s="3"/>
      <c r="W5" s="1" t="s">
        <v>46</v>
      </c>
    </row>
    <row r="6" spans="1:23" x14ac:dyDescent="0.2">
      <c r="A6" s="8">
        <v>43914</v>
      </c>
      <c r="B6" s="56">
        <v>1379</v>
      </c>
      <c r="C6" s="71">
        <f>Table2[[#This Row],[cases]]/$B$2</f>
        <v>6.4206019470300807E-5</v>
      </c>
      <c r="D6" s="26">
        <f>(Table2[[#This Row],[cases]]-B5)/B5</f>
        <v>0.20226678291194419</v>
      </c>
      <c r="E6" s="38">
        <f t="shared" si="0"/>
        <v>3.7628350468331795</v>
      </c>
      <c r="F6" s="81">
        <f>Table2[[#This Row],[cases]]*100/$S$19</f>
        <v>11491.666666666666</v>
      </c>
      <c r="G6" s="56">
        <f>Table2[[#This Row],[cases]]*100/$S$13</f>
        <v>5107.4074074074078</v>
      </c>
      <c r="H6" s="56">
        <f>Table2[[#This Row],[cases]]*100/$S$16</f>
        <v>14071.428571428571</v>
      </c>
      <c r="I6" s="56">
        <f>Table2[[#This Row],[infection count, high end of estimate range]]-Table2[[#This Row],[infection count, low end of estimate range]]</f>
        <v>8964.0211640211637</v>
      </c>
      <c r="J6" s="56">
        <f>(Table2[[#This Row],[infection count, low end of estimate range]]+Table2[[#This Row],[infection count, high end of estimate range]])/2</f>
        <v>9589.4179894179888</v>
      </c>
      <c r="K6" s="26">
        <f>Table2[[#This Row],[infection count, low end of estimate range]]/$S$6</f>
        <v>2.3780007211222521E-4</v>
      </c>
      <c r="L6" s="26">
        <f>Table2[[#This Row],[infection count, high end of estimate range]]/$S$6</f>
        <v>6.5516346398266127E-4</v>
      </c>
      <c r="M6" s="14">
        <f>Table2[[#This Row],[infection percentage, high end of estimate range]]-Table2[[#This Row],[infection percentage, low end of estimate range]]</f>
        <v>4.1736339187043608E-4</v>
      </c>
      <c r="N6" s="26">
        <f>(Table2[[#This Row],[infection percentage, low end of estimate range]]+Table2[[#This Row],[infection percentage, high end of estimate range]])/2</f>
        <v>4.4648176804744323E-4</v>
      </c>
      <c r="O6" s="12">
        <f>$S$6/(Table2[[#This Row],[cases]]*5)</f>
        <v>3114.9727338651196</v>
      </c>
      <c r="P6" s="12">
        <f>$S$6/(Table2[[#This Row],[cases]]*7)</f>
        <v>2224.980524189371</v>
      </c>
      <c r="Q6" s="3">
        <f>Table2[[#This Row],[1-in-X odds, estimating 5x cases infected]]-Table2[[#This Row],[1-in-X odds, estimating 7x cases infected]]</f>
        <v>889.99220967574865</v>
      </c>
      <c r="R6" s="3">
        <f>(Table2[[#This Row],[1-in-X odds, estimating 5x cases infected]]+Table2[[#This Row],[1-in-X odds, estimating 7x cases infected]])/2</f>
        <v>2669.9766290272455</v>
      </c>
      <c r="S6" s="3">
        <f>B2</f>
        <v>21477737</v>
      </c>
      <c r="T6" s="29">
        <f ca="1">OFFSET(compute!A5,COUNTA(compute!A5:A10006)-1,0)</f>
        <v>43936</v>
      </c>
      <c r="U6" s="3"/>
      <c r="W6" t="str">
        <f>"Number of Confirmed COVID-19 Cases " &amp; B1</f>
        <v>Number of Confirmed COVID-19 Cases Florida</v>
      </c>
    </row>
    <row r="7" spans="1:23" x14ac:dyDescent="0.2">
      <c r="A7" s="8">
        <v>43915</v>
      </c>
      <c r="B7" s="56">
        <v>1867</v>
      </c>
      <c r="C7" s="71">
        <f>Table2[[#This Row],[cases]]/$B$2</f>
        <v>8.6927221429334019E-5</v>
      </c>
      <c r="D7" s="26">
        <f>(Table2[[#This Row],[cases]]-B6)/B6</f>
        <v>0.3538796229151559</v>
      </c>
      <c r="E7" s="38">
        <f t="shared" si="0"/>
        <v>2.2878087643770719</v>
      </c>
      <c r="F7" s="81">
        <f>Table2[[#This Row],[cases]]*100/$S$19</f>
        <v>15558.333333333334</v>
      </c>
      <c r="G7" s="56">
        <f>Table2[[#This Row],[cases]]*100/$S$13</f>
        <v>6914.8148148148148</v>
      </c>
      <c r="H7" s="56">
        <f>Table2[[#This Row],[cases]]*100/$S$16</f>
        <v>19051.020408163266</v>
      </c>
      <c r="I7" s="56">
        <f>Table2[[#This Row],[infection count, high end of estimate range]]-Table2[[#This Row],[infection count, low end of estimate range]]</f>
        <v>12136.205593348452</v>
      </c>
      <c r="J7" s="56">
        <f>(Table2[[#This Row],[infection count, low end of estimate range]]+Table2[[#This Row],[infection count, high end of estimate range]])/2</f>
        <v>12982.91761148904</v>
      </c>
      <c r="K7" s="26">
        <f>Table2[[#This Row],[infection count, low end of estimate range]]/$S$6</f>
        <v>3.2195267196049633E-4</v>
      </c>
      <c r="L7" s="26">
        <f>Table2[[#This Row],[infection count, high end of estimate range]]/$S$6</f>
        <v>8.8701246356463282E-4</v>
      </c>
      <c r="M7" s="14">
        <f>Table2[[#This Row],[infection percentage, high end of estimate range]]-Table2[[#This Row],[infection percentage, low end of estimate range]]</f>
        <v>5.6505979160413654E-4</v>
      </c>
      <c r="N7" s="26">
        <f>(Table2[[#This Row],[infection percentage, low end of estimate range]]+Table2[[#This Row],[infection percentage, high end of estimate range]])/2</f>
        <v>6.0448256776256455E-4</v>
      </c>
      <c r="O7" s="12">
        <f>$S$6/(Table2[[#This Row],[cases]]*5)</f>
        <v>2300.7752544188538</v>
      </c>
      <c r="P7" s="12">
        <f>$S$6/(Table2[[#This Row],[cases]]*7)</f>
        <v>1643.410896013467</v>
      </c>
      <c r="Q7" s="3">
        <f>Table2[[#This Row],[1-in-X odds, estimating 5x cases infected]]-Table2[[#This Row],[1-in-X odds, estimating 7x cases infected]]</f>
        <v>657.36435840538684</v>
      </c>
      <c r="R7" s="3">
        <f>(Table2[[#This Row],[1-in-X odds, estimating 5x cases infected]]+Table2[[#This Row],[1-in-X odds, estimating 7x cases infected]])/2</f>
        <v>1972.0930752161603</v>
      </c>
      <c r="U7" s="3"/>
    </row>
    <row r="8" spans="1:23" x14ac:dyDescent="0.2">
      <c r="A8" s="8">
        <v>43916</v>
      </c>
      <c r="B8" s="56">
        <v>2484</v>
      </c>
      <c r="C8" s="71">
        <f>Table2[[#This Row],[cases]]/$B$2</f>
        <v>1.1565464275868543E-4</v>
      </c>
      <c r="D8" s="26">
        <f>(Table2[[#This Row],[cases]]-B7)/B7</f>
        <v>0.33047670058918049</v>
      </c>
      <c r="E8" s="38">
        <f t="shared" si="0"/>
        <v>2.4275188626684923</v>
      </c>
      <c r="F8" s="81">
        <f>Table2[[#This Row],[cases]]*100/$S$19</f>
        <v>20700</v>
      </c>
      <c r="G8" s="56">
        <f>Table2[[#This Row],[cases]]*100/$S$13</f>
        <v>9200</v>
      </c>
      <c r="H8" s="56">
        <f>Table2[[#This Row],[cases]]*100/$S$16</f>
        <v>25346.938775510203</v>
      </c>
      <c r="I8" s="56">
        <f>Table2[[#This Row],[infection count, high end of estimate range]]-Table2[[#This Row],[infection count, low end of estimate range]]</f>
        <v>16146.938775510203</v>
      </c>
      <c r="J8" s="56">
        <f>(Table2[[#This Row],[infection count, low end of estimate range]]+Table2[[#This Row],[infection count, high end of estimate range]])/2</f>
        <v>17273.469387755104</v>
      </c>
      <c r="K8" s="26">
        <f>Table2[[#This Row],[infection count, low end of estimate range]]/$S$6</f>
        <v>4.2835052873587196E-4</v>
      </c>
      <c r="L8" s="26">
        <f>Table2[[#This Row],[infection count, high end of estimate range]]/$S$6</f>
        <v>1.1801494159049532E-3</v>
      </c>
      <c r="M8" s="14">
        <f>Table2[[#This Row],[infection percentage, high end of estimate range]]-Table2[[#This Row],[infection percentage, low end of estimate range]]</f>
        <v>7.5179888716908117E-4</v>
      </c>
      <c r="N8" s="26">
        <f>(Table2[[#This Row],[infection percentage, low end of estimate range]]+Table2[[#This Row],[infection percentage, high end of estimate range]])/2</f>
        <v>8.042499723204126E-4</v>
      </c>
      <c r="O8" s="12">
        <f>$S$6/(Table2[[#This Row],[cases]]*5)</f>
        <v>1729.2863929146538</v>
      </c>
      <c r="P8" s="12">
        <f>$S$6/(Table2[[#This Row],[cases]]*7)</f>
        <v>1235.2045663676099</v>
      </c>
      <c r="Q8" s="3">
        <f>Table2[[#This Row],[1-in-X odds, estimating 5x cases infected]]-Table2[[#This Row],[1-in-X odds, estimating 7x cases infected]]</f>
        <v>494.08182654704387</v>
      </c>
      <c r="R8" s="3">
        <f>(Table2[[#This Row],[1-in-X odds, estimating 5x cases infected]]+Table2[[#This Row],[1-in-X odds, estimating 7x cases infected]])/2</f>
        <v>1482.2454796411319</v>
      </c>
      <c r="S8" s="34" t="s">
        <v>33</v>
      </c>
      <c r="T8" s="34" t="s">
        <v>25</v>
      </c>
      <c r="U8" s="3"/>
    </row>
    <row r="9" spans="1:23" x14ac:dyDescent="0.2">
      <c r="A9" s="8">
        <v>43917</v>
      </c>
      <c r="B9" s="56">
        <v>3198</v>
      </c>
      <c r="C9" s="71">
        <f>Table2[[#This Row],[cases]]/$B$2</f>
        <v>1.4889836857579549E-4</v>
      </c>
      <c r="D9" s="26">
        <f>(Table2[[#This Row],[cases]]-B8)/B8</f>
        <v>0.28743961352657005</v>
      </c>
      <c r="E9" s="38">
        <f t="shared" si="0"/>
        <v>2.7434483587261567</v>
      </c>
      <c r="F9" s="81">
        <f>Table2[[#This Row],[cases]]*100/$S$19</f>
        <v>26650</v>
      </c>
      <c r="G9" s="56">
        <f>Table2[[#This Row],[cases]]*100/$S$13</f>
        <v>11844.444444444445</v>
      </c>
      <c r="H9" s="56">
        <f>Table2[[#This Row],[cases]]*100/$S$16</f>
        <v>32632.653061224486</v>
      </c>
      <c r="I9" s="56">
        <f>Table2[[#This Row],[infection count, high end of estimate range]]-Table2[[#This Row],[infection count, low end of estimate range]]</f>
        <v>20788.208616780041</v>
      </c>
      <c r="J9" s="56">
        <f>(Table2[[#This Row],[infection count, low end of estimate range]]+Table2[[#This Row],[infection count, high end of estimate range]])/2</f>
        <v>22238.548752834467</v>
      </c>
      <c r="K9" s="26">
        <f>Table2[[#This Row],[infection count, low end of estimate range]]/$S$6</f>
        <v>5.5147543916961295E-4</v>
      </c>
      <c r="L9" s="26">
        <f>Table2[[#This Row],[infection count, high end of estimate range]]/$S$6</f>
        <v>1.5193711079162803E-3</v>
      </c>
      <c r="M9" s="14">
        <f>Table2[[#This Row],[infection percentage, high end of estimate range]]-Table2[[#This Row],[infection percentage, low end of estimate range]]</f>
        <v>9.6789566874666739E-4</v>
      </c>
      <c r="N9" s="26">
        <f>(Table2[[#This Row],[infection percentage, low end of estimate range]]+Table2[[#This Row],[infection percentage, high end of estimate range]])/2</f>
        <v>1.0354232735429467E-3</v>
      </c>
      <c r="O9" s="12">
        <f>$S$6/(Table2[[#This Row],[cases]]*5)</f>
        <v>1343.1980612883051</v>
      </c>
      <c r="P9" s="12">
        <f>$S$6/(Table2[[#This Row],[cases]]*7)</f>
        <v>959.42718663450376</v>
      </c>
      <c r="Q9" s="3">
        <f>Table2[[#This Row],[1-in-X odds, estimating 5x cases infected]]-Table2[[#This Row],[1-in-X odds, estimating 7x cases infected]]</f>
        <v>383.77087465380134</v>
      </c>
      <c r="R9" s="3">
        <f>(Table2[[#This Row],[1-in-X odds, estimating 5x cases infected]]+Table2[[#This Row],[1-in-X odds, estimating 7x cases infected]])/2</f>
        <v>1151.3126239614044</v>
      </c>
      <c r="S9" s="34" t="str">
        <f>B3</f>
        <v>evening</v>
      </c>
      <c r="T9" s="3">
        <f ca="1">OFFSET(compute!B4,COUNTA(compute!B4:B10006)-1,0)</f>
        <v>22519</v>
      </c>
      <c r="U9" s="3"/>
    </row>
    <row r="10" spans="1:23" x14ac:dyDescent="0.2">
      <c r="A10" s="8">
        <v>43918</v>
      </c>
      <c r="B10" s="56">
        <v>4038</v>
      </c>
      <c r="C10" s="71">
        <f>Table2[[#This Row],[cases]]/$B$2</f>
        <v>1.880086342429838E-4</v>
      </c>
      <c r="D10" s="26">
        <f>(Table2[[#This Row],[cases]]-B9)/B9</f>
        <v>0.26266416510318952</v>
      </c>
      <c r="E10" s="38">
        <f t="shared" si="0"/>
        <v>2.9720245835721353</v>
      </c>
      <c r="F10" s="81">
        <f>Table2[[#This Row],[cases]]*100/$S$19</f>
        <v>33650</v>
      </c>
      <c r="G10" s="56">
        <f>Table2[[#This Row],[cases]]*100/$S$13</f>
        <v>14955.555555555555</v>
      </c>
      <c r="H10" s="56">
        <f>Table2[[#This Row],[cases]]*100/$S$16</f>
        <v>41204.081632653055</v>
      </c>
      <c r="I10" s="56">
        <f>Table2[[#This Row],[infection count, high end of estimate range]]-Table2[[#This Row],[infection count, low end of estimate range]]</f>
        <v>26248.5260770975</v>
      </c>
      <c r="J10" s="56">
        <f>(Table2[[#This Row],[infection count, low end of estimate range]]+Table2[[#This Row],[infection count, high end of estimate range]])/2</f>
        <v>28079.818594104305</v>
      </c>
      <c r="K10" s="26">
        <f>Table2[[#This Row],[infection count, low end of estimate range]]/$S$6</f>
        <v>6.9632827497401401E-4</v>
      </c>
      <c r="L10" s="26">
        <f>Table2[[#This Row],[infection count, high end of estimate range]]/$S$6</f>
        <v>1.9184554514590181E-3</v>
      </c>
      <c r="M10" s="14">
        <f>Table2[[#This Row],[infection percentage, high end of estimate range]]-Table2[[#This Row],[infection percentage, low end of estimate range]]</f>
        <v>1.2221271764850041E-3</v>
      </c>
      <c r="N10" s="26">
        <f>(Table2[[#This Row],[infection percentage, low end of estimate range]]+Table2[[#This Row],[infection percentage, high end of estimate range]])/2</f>
        <v>1.307391863216516E-3</v>
      </c>
      <c r="O10" s="12">
        <f>$S$6/(Table2[[#This Row],[cases]]*5)</f>
        <v>1063.7809311540366</v>
      </c>
      <c r="P10" s="12">
        <f>$S$6/(Table2[[#This Row],[cases]]*7)</f>
        <v>759.8435222528833</v>
      </c>
      <c r="Q10" s="3">
        <f>Table2[[#This Row],[1-in-X odds, estimating 5x cases infected]]-Table2[[#This Row],[1-in-X odds, estimating 7x cases infected]]</f>
        <v>303.93740890115328</v>
      </c>
      <c r="R10" s="3">
        <f>(Table2[[#This Row],[1-in-X odds, estimating 5x cases infected]]+Table2[[#This Row],[1-in-X odds, estimating 7x cases infected]])/2</f>
        <v>911.81222670345994</v>
      </c>
      <c r="U10" s="3"/>
    </row>
    <row r="11" spans="1:23" x14ac:dyDescent="0.2">
      <c r="A11" s="8">
        <v>43919</v>
      </c>
      <c r="B11" s="56">
        <v>4950</v>
      </c>
      <c r="C11" s="71">
        <f>Table2[[#This Row],[cases]]/$B$2</f>
        <v>2.304712083959311E-4</v>
      </c>
      <c r="D11" s="26">
        <f>(Table2[[#This Row],[cases]]-B10)/B10</f>
        <v>0.22585438335809807</v>
      </c>
      <c r="E11" s="38">
        <f t="shared" si="0"/>
        <v>3.4038194619745781</v>
      </c>
      <c r="F11" s="81">
        <f>Table2[[#This Row],[cases]]*100/$S$19</f>
        <v>41250</v>
      </c>
      <c r="G11" s="56">
        <f>Table2[[#This Row],[cases]]*100/$S$13</f>
        <v>18333.333333333332</v>
      </c>
      <c r="H11" s="56">
        <f>Table2[[#This Row],[cases]]*100/$S$16</f>
        <v>50510.204081632648</v>
      </c>
      <c r="I11" s="56">
        <f>Table2[[#This Row],[infection count, high end of estimate range]]-Table2[[#This Row],[infection count, low end of estimate range]]</f>
        <v>32176.870748299316</v>
      </c>
      <c r="J11" s="56">
        <f>(Table2[[#This Row],[infection count, low end of estimate range]]+Table2[[#This Row],[infection count, high end of estimate range]])/2</f>
        <v>34421.768707482988</v>
      </c>
      <c r="K11" s="26">
        <f>Table2[[#This Row],[infection count, low end of estimate range]]/$S$6</f>
        <v>8.5359706813307806E-4</v>
      </c>
      <c r="L11" s="26">
        <f>Table2[[#This Row],[infection count, high end of estimate range]]/$S$6</f>
        <v>2.3517470244482763E-3</v>
      </c>
      <c r="M11" s="14">
        <f>Table2[[#This Row],[infection percentage, high end of estimate range]]-Table2[[#This Row],[infection percentage, low end of estimate range]]</f>
        <v>1.4981499563151983E-3</v>
      </c>
      <c r="N11" s="26">
        <f>(Table2[[#This Row],[infection percentage, low end of estimate range]]+Table2[[#This Row],[infection percentage, high end of estimate range]])/2</f>
        <v>1.6026720462906771E-3</v>
      </c>
      <c r="O11" s="12">
        <f>$S$6/(Table2[[#This Row],[cases]]*5)</f>
        <v>867.78735353535353</v>
      </c>
      <c r="P11" s="12">
        <f>$S$6/(Table2[[#This Row],[cases]]*7)</f>
        <v>619.84810966810971</v>
      </c>
      <c r="Q11" s="3">
        <f>Table2[[#This Row],[1-in-X odds, estimating 5x cases infected]]-Table2[[#This Row],[1-in-X odds, estimating 7x cases infected]]</f>
        <v>247.93924386724382</v>
      </c>
      <c r="R11" s="3">
        <f>(Table2[[#This Row],[1-in-X odds, estimating 5x cases infected]]+Table2[[#This Row],[1-in-X odds, estimating 7x cases infected]])/2</f>
        <v>743.81773160173157</v>
      </c>
      <c r="S11" s="3" t="s">
        <v>36</v>
      </c>
      <c r="T11" s="34" t="s">
        <v>27</v>
      </c>
      <c r="U11" s="3"/>
    </row>
    <row r="12" spans="1:23" x14ac:dyDescent="0.2">
      <c r="A12" s="8">
        <v>43920</v>
      </c>
      <c r="B12" s="56">
        <v>5704</v>
      </c>
      <c r="C12" s="71">
        <f>Table2[[#This Row],[cases]]/$B$2</f>
        <v>2.6557732781624059E-4</v>
      </c>
      <c r="D12" s="26">
        <f>(Table2[[#This Row],[cases]]-B11)/B11</f>
        <v>0.15232323232323233</v>
      </c>
      <c r="E12" s="38">
        <f t="shared" si="0"/>
        <v>4.8888888400323909</v>
      </c>
      <c r="F12" s="81">
        <f>Table2[[#This Row],[cases]]*100/$S$19</f>
        <v>47533.333333333336</v>
      </c>
      <c r="G12" s="56">
        <f>Table2[[#This Row],[cases]]*100/$S$13</f>
        <v>21125.925925925927</v>
      </c>
      <c r="H12" s="56">
        <f>Table2[[#This Row],[cases]]*100/$S$16</f>
        <v>58204.081632653055</v>
      </c>
      <c r="I12" s="56">
        <f>Table2[[#This Row],[infection count, high end of estimate range]]-Table2[[#This Row],[infection count, low end of estimate range]]</f>
        <v>37078.155706727128</v>
      </c>
      <c r="J12" s="56">
        <f>(Table2[[#This Row],[infection count, low end of estimate range]]+Table2[[#This Row],[infection count, high end of estimate range]])/2</f>
        <v>39665.003779289487</v>
      </c>
      <c r="K12" s="26">
        <f>Table2[[#This Row],[infection count, low end of estimate range]]/$S$6</f>
        <v>9.8361973265274297E-4</v>
      </c>
      <c r="L12" s="26">
        <f>Table2[[#This Row],[infection count, high end of estimate range]]/$S$6</f>
        <v>2.7099727328187815E-3</v>
      </c>
      <c r="M12" s="14">
        <f>Table2[[#This Row],[infection percentage, high end of estimate range]]-Table2[[#This Row],[infection percentage, low end of estimate range]]</f>
        <v>1.7263530001660385E-3</v>
      </c>
      <c r="N12" s="26">
        <f>(Table2[[#This Row],[infection percentage, low end of estimate range]]+Table2[[#This Row],[infection percentage, high end of estimate range]])/2</f>
        <v>1.8467962327357622E-3</v>
      </c>
      <c r="O12" s="12">
        <f>$S$6/(Table2[[#This Row],[cases]]*5)</f>
        <v>753.07633239831694</v>
      </c>
      <c r="P12" s="12">
        <f>$S$6/(Table2[[#This Row],[cases]]*7)</f>
        <v>537.91166599879784</v>
      </c>
      <c r="Q12" s="3">
        <f>Table2[[#This Row],[1-in-X odds, estimating 5x cases infected]]-Table2[[#This Row],[1-in-X odds, estimating 7x cases infected]]</f>
        <v>215.16466639951909</v>
      </c>
      <c r="R12" s="3">
        <f>(Table2[[#This Row],[1-in-X odds, estimating 5x cases infected]]+Table2[[#This Row],[1-in-X odds, estimating 7x cases infected]])/2</f>
        <v>645.49399919855739</v>
      </c>
      <c r="S12" s="34" t="s">
        <v>37</v>
      </c>
      <c r="T12" s="35">
        <f ca="1">OFFSET(compute!F4,COUNTA(compute!F:F)-1,0)</f>
        <v>187658.33333333334</v>
      </c>
      <c r="U12" s="3"/>
    </row>
    <row r="13" spans="1:23" x14ac:dyDescent="0.2">
      <c r="A13" s="8">
        <v>43921</v>
      </c>
      <c r="B13" s="56">
        <v>6741</v>
      </c>
      <c r="C13" s="71">
        <f>Table2[[#This Row],[cases]]/$B$2</f>
        <v>3.1385988197918618E-4</v>
      </c>
      <c r="D13" s="26">
        <f>(Table2[[#This Row],[cases]]-B12)/B12</f>
        <v>0.1818022440392707</v>
      </c>
      <c r="E13" s="38">
        <f t="shared" si="0"/>
        <v>4.149573131970862</v>
      </c>
      <c r="F13" s="81">
        <f>Table2[[#This Row],[cases]]*100/$S$19</f>
        <v>56175</v>
      </c>
      <c r="G13" s="56">
        <f>Table2[[#This Row],[cases]]*100/$S$13</f>
        <v>24966.666666666668</v>
      </c>
      <c r="H13" s="56">
        <f>Table2[[#This Row],[cases]]*100/$S$16</f>
        <v>68785.714285714275</v>
      </c>
      <c r="I13" s="56">
        <f>Table2[[#This Row],[infection count, high end of estimate range]]-Table2[[#This Row],[infection count, low end of estimate range]]</f>
        <v>43819.047619047604</v>
      </c>
      <c r="J13" s="56">
        <f>(Table2[[#This Row],[infection count, low end of estimate range]]+Table2[[#This Row],[infection count, high end of estimate range]])/2</f>
        <v>46876.190476190473</v>
      </c>
      <c r="K13" s="26">
        <f>Table2[[#This Row],[infection count, low end of estimate range]]/$S$6</f>
        <v>1.1624440073303192E-3</v>
      </c>
      <c r="L13" s="26">
        <f>Table2[[#This Row],[infection count, high end of estimate range]]/$S$6</f>
        <v>3.2026518569304705E-3</v>
      </c>
      <c r="M13" s="14">
        <f>Table2[[#This Row],[infection percentage, high end of estimate range]]-Table2[[#This Row],[infection percentage, low end of estimate range]]</f>
        <v>2.0402078496001511E-3</v>
      </c>
      <c r="N13" s="26">
        <f>(Table2[[#This Row],[infection percentage, low end of estimate range]]+Table2[[#This Row],[infection percentage, high end of estimate range]])/2</f>
        <v>2.182547932130395E-3</v>
      </c>
      <c r="O13" s="12">
        <f>$S$6/(Table2[[#This Row],[cases]]*5)</f>
        <v>637.22702863076699</v>
      </c>
      <c r="P13" s="12">
        <f>$S$6/(Table2[[#This Row],[cases]]*7)</f>
        <v>455.16216330769066</v>
      </c>
      <c r="Q13" s="3">
        <f>Table2[[#This Row],[1-in-X odds, estimating 5x cases infected]]-Table2[[#This Row],[1-in-X odds, estimating 7x cases infected]]</f>
        <v>182.06486532307633</v>
      </c>
      <c r="R13" s="3">
        <f>(Table2[[#This Row],[1-in-X odds, estimating 5x cases infected]]+Table2[[#This Row],[1-in-X odds, estimating 7x cases infected]])/2</f>
        <v>546.19459596922889</v>
      </c>
      <c r="S13" s="3">
        <v>27</v>
      </c>
      <c r="U13" s="3"/>
    </row>
    <row r="14" spans="1:23" x14ac:dyDescent="0.2">
      <c r="A14" s="8">
        <v>43922</v>
      </c>
      <c r="B14" s="56">
        <v>7773</v>
      </c>
      <c r="C14" s="71">
        <f>Table2[[#This Row],[cases]]/$B$2</f>
        <v>3.6190963694173183E-4</v>
      </c>
      <c r="D14" s="26">
        <f>(Table2[[#This Row],[cases]]-B13)/B13</f>
        <v>0.15309301290609703</v>
      </c>
      <c r="E14" s="38">
        <f t="shared" si="0"/>
        <v>4.8659695214796796</v>
      </c>
      <c r="F14" s="81">
        <f>Table2[[#This Row],[cases]]*100/$S$19</f>
        <v>64775</v>
      </c>
      <c r="G14" s="56">
        <f>Table2[[#This Row],[cases]]*100/$S$13</f>
        <v>28788.888888888891</v>
      </c>
      <c r="H14" s="56">
        <f>Table2[[#This Row],[cases]]*100/$S$16</f>
        <v>79316.326530612234</v>
      </c>
      <c r="I14" s="56">
        <f>Table2[[#This Row],[infection count, high end of estimate range]]-Table2[[#This Row],[infection count, low end of estimate range]]</f>
        <v>50527.437641723343</v>
      </c>
      <c r="J14" s="56">
        <f>(Table2[[#This Row],[infection count, low end of estimate range]]+Table2[[#This Row],[infection count, high end of estimate range]])/2</f>
        <v>54052.607709750562</v>
      </c>
      <c r="K14" s="26">
        <f>Table2[[#This Row],[infection count, low end of estimate range]]/$S$6</f>
        <v>1.3404060627471548E-3</v>
      </c>
      <c r="L14" s="26">
        <f>Table2[[#This Row],[infection count, high end of estimate range]]/$S$6</f>
        <v>3.6929554789972628E-3</v>
      </c>
      <c r="M14" s="14">
        <f>Table2[[#This Row],[infection percentage, high end of estimate range]]-Table2[[#This Row],[infection percentage, low end of estimate range]]</f>
        <v>2.352549416250108E-3</v>
      </c>
      <c r="N14" s="26">
        <f>(Table2[[#This Row],[infection percentage, low end of estimate range]]+Table2[[#This Row],[infection percentage, high end of estimate range]])/2</f>
        <v>2.5166807708722088E-3</v>
      </c>
      <c r="O14" s="12">
        <f>$S$6/(Table2[[#This Row],[cases]]*5)</f>
        <v>552.62413482567865</v>
      </c>
      <c r="P14" s="12">
        <f>$S$6/(Table2[[#This Row],[cases]]*7)</f>
        <v>394.73152487548475</v>
      </c>
      <c r="Q14" s="3">
        <f>Table2[[#This Row],[1-in-X odds, estimating 5x cases infected]]-Table2[[#This Row],[1-in-X odds, estimating 7x cases infected]]</f>
        <v>157.8926099501939</v>
      </c>
      <c r="R14" s="3">
        <f>(Table2[[#This Row],[1-in-X odds, estimating 5x cases infected]]+Table2[[#This Row],[1-in-X odds, estimating 7x cases infected]])/2</f>
        <v>473.6778298505817</v>
      </c>
      <c r="T14" s="34" t="s">
        <v>28</v>
      </c>
      <c r="U14" s="3"/>
    </row>
    <row r="15" spans="1:23" x14ac:dyDescent="0.2">
      <c r="A15" s="8">
        <v>43923</v>
      </c>
      <c r="B15" s="56">
        <v>9008</v>
      </c>
      <c r="C15" s="71">
        <f>Table2[[#This Row],[cases]]/$B$2</f>
        <v>4.1941103944051462E-4</v>
      </c>
      <c r="D15" s="26">
        <f>(Table2[[#This Row],[cases]]-B14)/B14</f>
        <v>0.15888331403576483</v>
      </c>
      <c r="E15" s="38">
        <f t="shared" si="0"/>
        <v>4.7006770735803105</v>
      </c>
      <c r="F15" s="81">
        <f>Table2[[#This Row],[cases]]*100/$S$19</f>
        <v>75066.666666666672</v>
      </c>
      <c r="G15" s="56">
        <f>Table2[[#This Row],[cases]]*100/$S$13</f>
        <v>33362.962962962964</v>
      </c>
      <c r="H15" s="56">
        <f>Table2[[#This Row],[cases]]*100/$S$16</f>
        <v>91918.367346938772</v>
      </c>
      <c r="I15" s="56">
        <f>Table2[[#This Row],[infection count, high end of estimate range]]-Table2[[#This Row],[infection count, low end of estimate range]]</f>
        <v>58555.404383975809</v>
      </c>
      <c r="J15" s="56">
        <f>(Table2[[#This Row],[infection count, low end of estimate range]]+Table2[[#This Row],[infection count, high end of estimate range]])/2</f>
        <v>62640.665154950868</v>
      </c>
      <c r="K15" s="26">
        <f>Table2[[#This Row],[infection count, low end of estimate range]]/$S$6</f>
        <v>1.5533742201500542E-3</v>
      </c>
      <c r="L15" s="26">
        <f>Table2[[#This Row],[infection count, high end of estimate range]]/$S$6</f>
        <v>4.2797044840868839E-3</v>
      </c>
      <c r="M15" s="14">
        <f>Table2[[#This Row],[infection percentage, high end of estimate range]]-Table2[[#This Row],[infection percentage, low end of estimate range]]</f>
        <v>2.7263302639368298E-3</v>
      </c>
      <c r="N15" s="26">
        <f>(Table2[[#This Row],[infection percentage, low end of estimate range]]+Table2[[#This Row],[infection percentage, high end of estimate range]])/2</f>
        <v>2.916539352118469E-3</v>
      </c>
      <c r="O15" s="12">
        <f>$S$6/(Table2[[#This Row],[cases]]*5)</f>
        <v>476.85916962699821</v>
      </c>
      <c r="P15" s="12">
        <f>$S$6/(Table2[[#This Row],[cases]]*7)</f>
        <v>340.61369259071301</v>
      </c>
      <c r="Q15" s="3">
        <f>Table2[[#This Row],[1-in-X odds, estimating 5x cases infected]]-Table2[[#This Row],[1-in-X odds, estimating 7x cases infected]]</f>
        <v>136.24547703628519</v>
      </c>
      <c r="R15" s="3">
        <f>(Table2[[#This Row],[1-in-X odds, estimating 5x cases infected]]+Table2[[#This Row],[1-in-X odds, estimating 7x cases infected]])/2</f>
        <v>408.73643110885564</v>
      </c>
      <c r="S15" s="34" t="s">
        <v>38</v>
      </c>
      <c r="T15" s="27">
        <f ca="1">OFFSET(compute!N4,COUNTA(compute!N:N)-1,0)</f>
        <v>7.2910246081656083E-3</v>
      </c>
      <c r="U15" s="3"/>
    </row>
    <row r="16" spans="1:23" x14ac:dyDescent="0.2">
      <c r="A16" s="8">
        <v>43924</v>
      </c>
      <c r="B16" s="56">
        <v>10268</v>
      </c>
      <c r="C16" s="71">
        <f>Table2[[#This Row],[cases]]/$B$2</f>
        <v>4.7807643794129707E-4</v>
      </c>
      <c r="D16" s="26">
        <f>(Table2[[#This Row],[cases]]-B15)/B15</f>
        <v>0.13987566607460036</v>
      </c>
      <c r="E16" s="38">
        <f t="shared" si="0"/>
        <v>5.2944657847913597</v>
      </c>
      <c r="F16" s="81">
        <f>Table2[[#This Row],[cases]]*100/$S$19</f>
        <v>85566.666666666672</v>
      </c>
      <c r="G16" s="56">
        <f>Table2[[#This Row],[cases]]*100/$S$13</f>
        <v>38029.629629629628</v>
      </c>
      <c r="H16" s="56">
        <f>Table2[[#This Row],[cases]]*100/$S$16</f>
        <v>104775.51020408163</v>
      </c>
      <c r="I16" s="56">
        <f>Table2[[#This Row],[infection count, high end of estimate range]]-Table2[[#This Row],[infection count, low end of estimate range]]</f>
        <v>66745.880574451992</v>
      </c>
      <c r="J16" s="56">
        <f>(Table2[[#This Row],[infection count, low end of estimate range]]+Table2[[#This Row],[infection count, high end of estimate range]])/2</f>
        <v>71402.569916855631</v>
      </c>
      <c r="K16" s="26">
        <f>Table2[[#This Row],[infection count, low end of estimate range]]/$S$6</f>
        <v>1.7706534738566558E-3</v>
      </c>
      <c r="L16" s="26">
        <f>Table2[[#This Row],[infection count, high end of estimate range]]/$S$6</f>
        <v>4.8783309994009901E-3</v>
      </c>
      <c r="M16" s="14">
        <f>Table2[[#This Row],[infection percentage, high end of estimate range]]-Table2[[#This Row],[infection percentage, low end of estimate range]]</f>
        <v>3.1076775255443343E-3</v>
      </c>
      <c r="N16" s="26">
        <f>(Table2[[#This Row],[infection percentage, low end of estimate range]]+Table2[[#This Row],[infection percentage, high end of estimate range]])/2</f>
        <v>3.3244922366288229E-3</v>
      </c>
      <c r="O16" s="12">
        <f>$S$6/(Table2[[#This Row],[cases]]*5)</f>
        <v>418.34314374756525</v>
      </c>
      <c r="P16" s="12">
        <f>$S$6/(Table2[[#This Row],[cases]]*7)</f>
        <v>298.8165312482609</v>
      </c>
      <c r="Q16" s="3">
        <f>Table2[[#This Row],[1-in-X odds, estimating 5x cases infected]]-Table2[[#This Row],[1-in-X odds, estimating 7x cases infected]]</f>
        <v>119.52661249930435</v>
      </c>
      <c r="R16" s="3">
        <f>(Table2[[#This Row],[1-in-X odds, estimating 5x cases infected]]+Table2[[#This Row],[1-in-X odds, estimating 7x cases infected]])/2</f>
        <v>358.5798374979131</v>
      </c>
      <c r="S16" s="3">
        <v>9.8000000000000007</v>
      </c>
      <c r="U16" s="3"/>
    </row>
    <row r="17" spans="1:21" x14ac:dyDescent="0.2">
      <c r="A17" s="8">
        <v>43925</v>
      </c>
      <c r="B17" s="56">
        <v>11545</v>
      </c>
      <c r="C17" s="71">
        <f>Table2[[#This Row],[cases]]/$B$2</f>
        <v>5.375333537234393E-4</v>
      </c>
      <c r="D17" s="26">
        <f>(Table2[[#This Row],[cases]]-B16)/B16</f>
        <v>0.12436696532917803</v>
      </c>
      <c r="E17" s="38">
        <f t="shared" si="0"/>
        <v>5.9132069389160344</v>
      </c>
      <c r="F17" s="81">
        <f>Table2[[#This Row],[cases]]*100/$S$19</f>
        <v>96208.333333333328</v>
      </c>
      <c r="G17" s="56">
        <f>Table2[[#This Row],[cases]]*100/$S$13</f>
        <v>42759.259259259263</v>
      </c>
      <c r="H17" s="56">
        <f>Table2[[#This Row],[cases]]*100/$S$16</f>
        <v>117806.12244897959</v>
      </c>
      <c r="I17" s="56">
        <f>Table2[[#This Row],[infection count, high end of estimate range]]-Table2[[#This Row],[infection count, low end of estimate range]]</f>
        <v>75046.863189720316</v>
      </c>
      <c r="J17" s="56">
        <f>(Table2[[#This Row],[infection count, low end of estimate range]]+Table2[[#This Row],[infection count, high end of estimate range]])/2</f>
        <v>80282.690854119428</v>
      </c>
      <c r="K17" s="26">
        <f>Table2[[#This Row],[infection count, low end of estimate range]]/$S$6</f>
        <v>1.9908642730497752E-3</v>
      </c>
      <c r="L17" s="26">
        <f>Table2[[#This Row],[infection count, high end of estimate range]]/$S$6</f>
        <v>5.4850342216677473E-3</v>
      </c>
      <c r="M17" s="14">
        <f>Table2[[#This Row],[infection percentage, high end of estimate range]]-Table2[[#This Row],[infection percentage, low end of estimate range]]</f>
        <v>3.494169948617972E-3</v>
      </c>
      <c r="N17" s="26">
        <f>(Table2[[#This Row],[infection percentage, low end of estimate range]]+Table2[[#This Row],[infection percentage, high end of estimate range]])/2</f>
        <v>3.737949247358761E-3</v>
      </c>
      <c r="O17" s="12">
        <f>$S$6/(Table2[[#This Row],[cases]]*5)</f>
        <v>372.06993503681247</v>
      </c>
      <c r="P17" s="12">
        <f>$S$6/(Table2[[#This Row],[cases]]*7)</f>
        <v>265.7642393120089</v>
      </c>
      <c r="Q17" s="3">
        <f>Table2[[#This Row],[1-in-X odds, estimating 5x cases infected]]-Table2[[#This Row],[1-in-X odds, estimating 7x cases infected]]</f>
        <v>106.30569572480357</v>
      </c>
      <c r="R17" s="3">
        <f>(Table2[[#This Row],[1-in-X odds, estimating 5x cases infected]]+Table2[[#This Row],[1-in-X odds, estimating 7x cases infected]])/2</f>
        <v>318.91708717441065</v>
      </c>
      <c r="T17" s="34" t="s">
        <v>29</v>
      </c>
      <c r="U17" s="3"/>
    </row>
    <row r="18" spans="1:21" x14ac:dyDescent="0.2">
      <c r="A18" s="8">
        <v>43926</v>
      </c>
      <c r="B18" s="56">
        <v>12350</v>
      </c>
      <c r="C18" s="71">
        <f>Table2[[#This Row],[cases]]/$B$2</f>
        <v>5.750140249878281E-4</v>
      </c>
      <c r="D18" s="26">
        <f>(Table2[[#This Row],[cases]]-B17)/B17</f>
        <v>6.9727154612386308E-2</v>
      </c>
      <c r="E18" s="38">
        <f t="shared" si="0"/>
        <v>10.283530436626666</v>
      </c>
      <c r="F18" s="81">
        <f>Table2[[#This Row],[cases]]*100/$S$19</f>
        <v>102916.66666666667</v>
      </c>
      <c r="G18" s="56">
        <f>Table2[[#This Row],[cases]]*100/$S$13</f>
        <v>45740.740740740737</v>
      </c>
      <c r="H18" s="56">
        <f>Table2[[#This Row],[cases]]*100/$S$16</f>
        <v>126020.4081632653</v>
      </c>
      <c r="I18" s="56">
        <f>Table2[[#This Row],[infection count, high end of estimate range]]-Table2[[#This Row],[infection count, low end of estimate range]]</f>
        <v>80279.667422524566</v>
      </c>
      <c r="J18" s="56">
        <f>(Table2[[#This Row],[infection count, low end of estimate range]]+Table2[[#This Row],[infection count, high end of estimate range]])/2</f>
        <v>85880.574452003013</v>
      </c>
      <c r="K18" s="26">
        <f>Table2[[#This Row],[infection count, low end of estimate range]]/$S$6</f>
        <v>2.1296815740289928E-3</v>
      </c>
      <c r="L18" s="26">
        <f>Table2[[#This Row],[infection count, high end of estimate range]]/$S$6</f>
        <v>5.8674900508962043E-3</v>
      </c>
      <c r="M18" s="14">
        <f>Table2[[#This Row],[infection percentage, high end of estimate range]]-Table2[[#This Row],[infection percentage, low end of estimate range]]</f>
        <v>3.7378084768672115E-3</v>
      </c>
      <c r="N18" s="26">
        <f>(Table2[[#This Row],[infection percentage, low end of estimate range]]+Table2[[#This Row],[infection percentage, high end of estimate range]])/2</f>
        <v>3.9985858124625987E-3</v>
      </c>
      <c r="O18" s="12">
        <f>$S$6/(Table2[[#This Row],[cases]]*5)</f>
        <v>347.81760323886641</v>
      </c>
      <c r="P18" s="12">
        <f>$S$6/(Table2[[#This Row],[cases]]*7)</f>
        <v>248.44114517061885</v>
      </c>
      <c r="Q18" s="3">
        <f>Table2[[#This Row],[1-in-X odds, estimating 5x cases infected]]-Table2[[#This Row],[1-in-X odds, estimating 7x cases infected]]</f>
        <v>99.376458068247558</v>
      </c>
      <c r="R18" s="3">
        <f>(Table2[[#This Row],[1-in-X odds, estimating 5x cases infected]]+Table2[[#This Row],[1-in-X odds, estimating 7x cases infected]])/2</f>
        <v>298.12937420474265</v>
      </c>
      <c r="S18" s="34" t="s">
        <v>59</v>
      </c>
      <c r="T18" s="3">
        <f ca="1">OFFSET(compute!R4,COUNTA(compute!R:R)-1,0)</f>
        <v>163.5018327380688</v>
      </c>
      <c r="U18" s="3"/>
    </row>
    <row r="19" spans="1:21" x14ac:dyDescent="0.2">
      <c r="A19" s="8">
        <v>43927</v>
      </c>
      <c r="B19" s="56">
        <v>13629</v>
      </c>
      <c r="C19" s="71">
        <f>Table2[[#This Row],[cases]]/$B$2</f>
        <v>6.3456406045013026E-4</v>
      </c>
      <c r="D19" s="26">
        <f>(Table2[[#This Row],[cases]]-B18)/B18</f>
        <v>0.10356275303643725</v>
      </c>
      <c r="E19" s="38">
        <f t="shared" si="0"/>
        <v>7.0338985663313718</v>
      </c>
      <c r="F19" s="81">
        <f>Table2[[#This Row],[cases]]*100/$S$19</f>
        <v>113575</v>
      </c>
      <c r="G19" s="35">
        <f>Table2[[#This Row],[cases]]*100/$S$13</f>
        <v>50477.777777777781</v>
      </c>
      <c r="H19" s="35">
        <f>Table2[[#This Row],[cases]]*100/$S$16</f>
        <v>139071.42857142855</v>
      </c>
      <c r="I19" s="35">
        <f>Table2[[#This Row],[infection count, high end of estimate range]]-Table2[[#This Row],[infection count, low end of estimate range]]</f>
        <v>88593.65079365077</v>
      </c>
      <c r="J19" s="35">
        <f>(Table2[[#This Row],[infection count, low end of estimate range]]+Table2[[#This Row],[infection count, high end of estimate range]])/2</f>
        <v>94774.603174603166</v>
      </c>
      <c r="K19" s="27">
        <f>Table2[[#This Row],[infection count, low end of estimate range]]/$S$6</f>
        <v>2.3502372609264088E-3</v>
      </c>
      <c r="L19" s="26">
        <f>Table2[[#This Row],[infection count, high end of estimate range]]/$S$6</f>
        <v>6.4751434739809205E-3</v>
      </c>
      <c r="M19" s="15">
        <f>Table2[[#This Row],[infection percentage, high end of estimate range]]-Table2[[#This Row],[infection percentage, low end of estimate range]]</f>
        <v>4.1249062130545118E-3</v>
      </c>
      <c r="N19" s="27">
        <f>(Table2[[#This Row],[infection percentage, low end of estimate range]]+Table2[[#This Row],[infection percentage, high end of estimate range]])/2</f>
        <v>4.4126903674536651E-3</v>
      </c>
      <c r="O19" s="3">
        <f>$S$6/(Table2[[#This Row],[cases]]*5)</f>
        <v>315.17700491598799</v>
      </c>
      <c r="P19" s="3">
        <f>$S$6/(Table2[[#This Row],[cases]]*7)</f>
        <v>225.12643208284854</v>
      </c>
      <c r="Q19" s="3">
        <f>Table2[[#This Row],[1-in-X odds, estimating 5x cases infected]]-Table2[[#This Row],[1-in-X odds, estimating 7x cases infected]]</f>
        <v>90.050572833139455</v>
      </c>
      <c r="R19" s="3">
        <f>(Table2[[#This Row],[1-in-X odds, estimating 5x cases infected]]+Table2[[#This Row],[1-in-X odds, estimating 7x cases infected]])/2</f>
        <v>270.15171849941828</v>
      </c>
      <c r="S19" s="3">
        <v>12</v>
      </c>
      <c r="U19" s="32" t="s">
        <v>23</v>
      </c>
    </row>
    <row r="20" spans="1:21" x14ac:dyDescent="0.2">
      <c r="A20" s="8">
        <v>43928</v>
      </c>
      <c r="B20" s="56">
        <v>14747</v>
      </c>
      <c r="C20" s="71">
        <f>Table2[[#This Row],[cases]]/$B$2</f>
        <v>6.8661796165955477E-4</v>
      </c>
      <c r="D20" s="26">
        <f>(Table2[[#This Row],[cases]]-B19)/B19</f>
        <v>8.2030963386895583E-2</v>
      </c>
      <c r="E20" s="38">
        <f t="shared" si="0"/>
        <v>8.7918438211140977</v>
      </c>
      <c r="F20" s="81">
        <f>Table2[[#This Row],[cases]]*100/$S$19</f>
        <v>122891.66666666667</v>
      </c>
      <c r="G20" s="35">
        <f>Table2[[#This Row],[cases]]*100/$S$13</f>
        <v>54618.518518518518</v>
      </c>
      <c r="H20" s="35">
        <f>Table2[[#This Row],[cases]]*100/$S$16</f>
        <v>150479.59183673467</v>
      </c>
      <c r="I20" s="35">
        <f>Table2[[#This Row],[infection count, high end of estimate range]]-Table2[[#This Row],[infection count, low end of estimate range]]</f>
        <v>95861.073318216164</v>
      </c>
      <c r="J20" s="35">
        <f>(Table2[[#This Row],[infection count, low end of estimate range]]+Table2[[#This Row],[infection count, high end of estimate range]])/2</f>
        <v>102549.05517762659</v>
      </c>
      <c r="K20" s="27">
        <f>Table2[[#This Row],[infection count, low end of estimate range]]/$S$6</f>
        <v>2.5430294876279806E-3</v>
      </c>
      <c r="L20" s="26">
        <f>Table2[[#This Row],[infection count, high end of estimate range]]/$S$6</f>
        <v>7.0063057312199457E-3</v>
      </c>
      <c r="M20" s="15">
        <f>Table2[[#This Row],[infection percentage, high end of estimate range]]-Table2[[#This Row],[infection percentage, low end of estimate range]]</f>
        <v>4.4632762435919647E-3</v>
      </c>
      <c r="N20" s="27">
        <f>(Table2[[#This Row],[infection percentage, low end of estimate range]]+Table2[[#This Row],[infection percentage, high end of estimate range]])/2</f>
        <v>4.7746676094239634E-3</v>
      </c>
      <c r="O20" s="3">
        <f>$S$6/(Table2[[#This Row],[cases]]*5)</f>
        <v>291.28279650098324</v>
      </c>
      <c r="P20" s="3">
        <f>$S$6/(Table2[[#This Row],[cases]]*7)</f>
        <v>208.05914035784517</v>
      </c>
      <c r="Q20" s="3">
        <f>Table2[[#This Row],[1-in-X odds, estimating 5x cases infected]]-Table2[[#This Row],[1-in-X odds, estimating 7x cases infected]]</f>
        <v>83.223656143138072</v>
      </c>
      <c r="R20" s="3">
        <f>(Table2[[#This Row],[1-in-X odds, estimating 5x cases infected]]+Table2[[#This Row],[1-in-X odds, estimating 7x cases infected]])/2</f>
        <v>249.67096842941419</v>
      </c>
      <c r="T20" s="34" t="s">
        <v>30</v>
      </c>
      <c r="U20" s="66" t="s">
        <v>22</v>
      </c>
    </row>
    <row r="21" spans="1:21" x14ac:dyDescent="0.2">
      <c r="A21" s="8">
        <v>43929</v>
      </c>
      <c r="B21" s="56">
        <v>15698</v>
      </c>
      <c r="C21" s="71">
        <f>Table2[[#This Row],[cases]]/$B$2</f>
        <v>7.3089636957562149E-4</v>
      </c>
      <c r="D21" s="26">
        <f>(Table2[[#This Row],[cases]]-B20)/B20</f>
        <v>6.4487692412016004E-2</v>
      </c>
      <c r="E21" s="38">
        <f t="shared" si="0"/>
        <v>11.091482948530885</v>
      </c>
      <c r="F21" s="81">
        <f>Table2[[#This Row],[cases]]*100/$S$19</f>
        <v>130816.66666666667</v>
      </c>
      <c r="G21" s="35">
        <f>Table2[[#This Row],[cases]]*100/$S$13</f>
        <v>58140.740740740737</v>
      </c>
      <c r="H21" s="35">
        <f>Table2[[#This Row],[cases]]*100/$S$16</f>
        <v>160183.67346938775</v>
      </c>
      <c r="I21" s="35">
        <f>Table2[[#This Row],[infection count, high end of estimate range]]-Table2[[#This Row],[infection count, low end of estimate range]]</f>
        <v>102042.93272864702</v>
      </c>
      <c r="J21" s="35">
        <f>(Table2[[#This Row],[infection count, low end of estimate range]]+Table2[[#This Row],[infection count, high end of estimate range]])/2</f>
        <v>109162.20710506424</v>
      </c>
      <c r="K21" s="27">
        <f>Table2[[#This Row],[infection count, low end of estimate range]]/$S$6</f>
        <v>2.7070235910208202E-3</v>
      </c>
      <c r="L21" s="27">
        <f>Table2[[#This Row],[infection count, high end of estimate range]]/$S$6</f>
        <v>7.4581262201594027E-3</v>
      </c>
      <c r="M21" s="15">
        <f>Table2[[#This Row],[infection percentage, high end of estimate range]]-Table2[[#This Row],[infection percentage, low end of estimate range]]</f>
        <v>4.7511026291385825E-3</v>
      </c>
      <c r="N21" s="27">
        <f>(Table2[[#This Row],[infection percentage, low end of estimate range]]+Table2[[#This Row],[infection percentage, high end of estimate range]])/2</f>
        <v>5.082574905590111E-3</v>
      </c>
      <c r="O21" s="3">
        <f>$S$6/(Table2[[#This Row],[cases]]*5)</f>
        <v>273.63660338896676</v>
      </c>
      <c r="P21" s="3">
        <f>$S$6/(Table2[[#This Row],[cases]]*7)</f>
        <v>195.45471670640481</v>
      </c>
      <c r="Q21" s="3">
        <f>Table2[[#This Row],[1-in-X odds, estimating 5x cases infected]]-Table2[[#This Row],[1-in-X odds, estimating 7x cases infected]]</f>
        <v>78.181886682561952</v>
      </c>
      <c r="R21" s="3">
        <f>(Table2[[#This Row],[1-in-X odds, estimating 5x cases infected]]+Table2[[#This Row],[1-in-X odds, estimating 7x cases infected]])/2</f>
        <v>234.54566004768577</v>
      </c>
      <c r="T21" s="3">
        <f ca="1">OFFSET(compute!E4,COUNTA(compute!E:E)-1,0)</f>
        <v>17.169592171387023</v>
      </c>
      <c r="U21" s="31"/>
    </row>
    <row r="22" spans="1:21" x14ac:dyDescent="0.2">
      <c r="A22" s="8">
        <v>43930</v>
      </c>
      <c r="B22" s="56">
        <v>16826</v>
      </c>
      <c r="C22" s="71">
        <f>Table2[[#This Row],[cases]]/$B$2</f>
        <v>7.8341586918584578E-4</v>
      </c>
      <c r="D22" s="26">
        <f>(Table2[[#This Row],[cases]]-B21)/B21</f>
        <v>7.1856287425149698E-2</v>
      </c>
      <c r="E22" s="38">
        <f t="shared" ref="E22" si="1">(LN(2)/LN(B22/B21))</f>
        <v>9.988863935997184</v>
      </c>
      <c r="F22" s="81">
        <f>Table2[[#This Row],[cases]]*100/$S$19</f>
        <v>140216.66666666666</v>
      </c>
      <c r="G22" s="35">
        <f>Table2[[#This Row],[cases]]*100/$S$13</f>
        <v>62318.518518518518</v>
      </c>
      <c r="H22" s="35">
        <f>Table2[[#This Row],[cases]]*100/$S$16</f>
        <v>171693.87755102038</v>
      </c>
      <c r="I22" s="35">
        <f>Table2[[#This Row],[infection count, high end of estimate range]]-Table2[[#This Row],[infection count, low end of estimate range]]</f>
        <v>109375.35903250187</v>
      </c>
      <c r="J22" s="35">
        <f>(Table2[[#This Row],[infection count, low end of estimate range]]+Table2[[#This Row],[infection count, high end of estimate range]])/2</f>
        <v>117006.19803476945</v>
      </c>
      <c r="K22" s="27">
        <f>Table2[[#This Row],[infection count, low end of estimate range]]/$S$6</f>
        <v>2.9015402562438731E-3</v>
      </c>
      <c r="L22" s="27">
        <f>Table2[[#This Row],[infection count, high end of estimate range]]/$S$6</f>
        <v>7.9940394814882205E-3</v>
      </c>
      <c r="M22" s="15">
        <f>Table2[[#This Row],[infection percentage, high end of estimate range]]-Table2[[#This Row],[infection percentage, low end of estimate range]]</f>
        <v>5.0924992252443478E-3</v>
      </c>
      <c r="N22" s="27">
        <f>(Table2[[#This Row],[infection percentage, low end of estimate range]]+Table2[[#This Row],[infection percentage, high end of estimate range]])/2</f>
        <v>5.4477898688660466E-3</v>
      </c>
      <c r="O22" s="3">
        <f>$S$6/(Table2[[#This Row],[cases]]*5)</f>
        <v>255.29225008914776</v>
      </c>
      <c r="P22" s="3">
        <f>$S$6/(Table2[[#This Row],[cases]]*7)</f>
        <v>182.35160720653411</v>
      </c>
      <c r="Q22" s="3">
        <f>Table2[[#This Row],[1-in-X odds, estimating 5x cases infected]]-Table2[[#This Row],[1-in-X odds, estimating 7x cases infected]]</f>
        <v>72.940642882613645</v>
      </c>
      <c r="R22" s="3">
        <f>(Table2[[#This Row],[1-in-X odds, estimating 5x cases infected]]+Table2[[#This Row],[1-in-X odds, estimating 7x cases infected]])/2</f>
        <v>218.82192864784093</v>
      </c>
      <c r="U22" s="31"/>
    </row>
    <row r="23" spans="1:21" x14ac:dyDescent="0.2">
      <c r="A23" s="8">
        <v>43931</v>
      </c>
      <c r="B23" s="56">
        <v>17968</v>
      </c>
      <c r="C23" s="71">
        <f>Table2[[#This Row],[cases]]/$B$2</f>
        <v>8.3658720655718994E-4</v>
      </c>
      <c r="D23" s="26">
        <f>(Table2[[#This Row],[cases]]-B22)/B22</f>
        <v>6.7871151788898132E-2</v>
      </c>
      <c r="E23" s="38">
        <f t="shared" ref="E23" si="2">(LN(2)/LN(B23/B22))</f>
        <v>10.555472954784234</v>
      </c>
      <c r="F23" s="81">
        <f>Table2[[#This Row],[cases]]*100/$S$19</f>
        <v>149733.33333333334</v>
      </c>
      <c r="G23" s="35">
        <f>Table2[[#This Row],[cases]]*100/$S$13</f>
        <v>66548.148148148146</v>
      </c>
      <c r="H23" s="35">
        <f>Table2[[#This Row],[cases]]*100/$S$16</f>
        <v>183346.93877551018</v>
      </c>
      <c r="I23" s="35">
        <f>Table2[[#This Row],[infection count, high end of estimate range]]-Table2[[#This Row],[infection count, low end of estimate range]]</f>
        <v>116798.79062736203</v>
      </c>
      <c r="J23" s="35">
        <f>(Table2[[#This Row],[infection count, low end of estimate range]]+Table2[[#This Row],[infection count, high end of estimate range]])/2</f>
        <v>124947.54346182916</v>
      </c>
      <c r="K23" s="27">
        <f>Table2[[#This Row],[infection count, low end of estimate range]]/$S$6</f>
        <v>3.0984711353969994E-3</v>
      </c>
      <c r="L23" s="27">
        <f>Table2[[#This Row],[infection count, high end of estimate range]]/$S$6</f>
        <v>8.5366041485427525E-3</v>
      </c>
      <c r="M23" s="15">
        <f>Table2[[#This Row],[infection percentage, high end of estimate range]]-Table2[[#This Row],[infection percentage, low end of estimate range]]</f>
        <v>5.4381330131457531E-3</v>
      </c>
      <c r="N23" s="27">
        <f>(Table2[[#This Row],[infection percentage, low end of estimate range]]+Table2[[#This Row],[infection percentage, high end of estimate range]])/2</f>
        <v>5.8175376419698759E-3</v>
      </c>
      <c r="O23" s="3">
        <f>$S$6/(Table2[[#This Row],[cases]]*5)</f>
        <v>239.06652938557434</v>
      </c>
      <c r="P23" s="3">
        <f>$S$6/(Table2[[#This Row],[cases]]*7)</f>
        <v>170.76180670398168</v>
      </c>
      <c r="Q23" s="3">
        <f>Table2[[#This Row],[1-in-X odds, estimating 5x cases infected]]-Table2[[#This Row],[1-in-X odds, estimating 7x cases infected]]</f>
        <v>68.304722681592665</v>
      </c>
      <c r="R23" s="3">
        <f>(Table2[[#This Row],[1-in-X odds, estimating 5x cases infected]]+Table2[[#This Row],[1-in-X odds, estimating 7x cases infected]])/2</f>
        <v>204.91416804477802</v>
      </c>
      <c r="U23" s="31" t="s">
        <v>48</v>
      </c>
    </row>
    <row r="24" spans="1:21" x14ac:dyDescent="0.2">
      <c r="A24" s="8">
        <v>43932</v>
      </c>
      <c r="B24" s="56">
        <v>18986</v>
      </c>
      <c r="C24" s="71">
        <f>Table2[[#This Row],[cases]]/$B$2</f>
        <v>8.8398512375861577E-4</v>
      </c>
      <c r="D24" s="26">
        <f>(Table2[[#This Row],[cases]]-B23)/B23</f>
        <v>5.6656277827248441E-2</v>
      </c>
      <c r="E24" s="38">
        <f t="shared" ref="E24" si="3">(LN(2)/LN(B24/B23))</f>
        <v>12.577642507955398</v>
      </c>
      <c r="F24" s="81">
        <f>Table2[[#This Row],[cases]]*100/$S$19</f>
        <v>158216.66666666666</v>
      </c>
      <c r="G24" s="35">
        <f>Table2[[#This Row],[cases]]*100/$S$13</f>
        <v>70318.518518518526</v>
      </c>
      <c r="H24" s="35">
        <f>Table2[[#This Row],[cases]]*100/$S$16</f>
        <v>193734.69387755101</v>
      </c>
      <c r="I24" s="35">
        <f>Table2[[#This Row],[infection count, high end of estimate range]]-Table2[[#This Row],[infection count, low end of estimate range]]</f>
        <v>123416.17535903248</v>
      </c>
      <c r="J24" s="35">
        <f>(Table2[[#This Row],[infection count, low end of estimate range]]+Table2[[#This Row],[infection count, high end of estimate range]])/2</f>
        <v>132026.60619803477</v>
      </c>
      <c r="K24" s="27">
        <f>Table2[[#This Row],[infection count, low end of estimate range]]/$S$6</f>
        <v>3.2740189768837623E-3</v>
      </c>
      <c r="L24" s="27">
        <f>Table2[[#This Row],[infection count, high end of estimate range]]/$S$6</f>
        <v>9.020256364883834E-3</v>
      </c>
      <c r="M24" s="15">
        <f>Table2[[#This Row],[infection percentage, high end of estimate range]]-Table2[[#This Row],[infection percentage, low end of estimate range]]</f>
        <v>5.7462373880000717E-3</v>
      </c>
      <c r="N24" s="27">
        <f>(Table2[[#This Row],[infection percentage, low end of estimate range]]+Table2[[#This Row],[infection percentage, high end of estimate range]])/2</f>
        <v>6.1471376708837986E-3</v>
      </c>
      <c r="O24" s="3">
        <f>$S$6/(Table2[[#This Row],[cases]]*5)</f>
        <v>226.24815126935636</v>
      </c>
      <c r="P24" s="3">
        <f>$S$6/(Table2[[#This Row],[cases]]*7)</f>
        <v>161.60582233525454</v>
      </c>
      <c r="Q24" s="3">
        <f>Table2[[#This Row],[1-in-X odds, estimating 5x cases infected]]-Table2[[#This Row],[1-in-X odds, estimating 7x cases infected]]</f>
        <v>64.642328934101812</v>
      </c>
      <c r="R24" s="3">
        <f>(Table2[[#This Row],[1-in-X odds, estimating 5x cases infected]]+Table2[[#This Row],[1-in-X odds, estimating 7x cases infected]])/2</f>
        <v>193.92698680230546</v>
      </c>
      <c r="U24" s="31"/>
    </row>
    <row r="25" spans="1:21" x14ac:dyDescent="0.2">
      <c r="A25" s="8">
        <v>43933</v>
      </c>
      <c r="B25" s="56">
        <v>19895</v>
      </c>
      <c r="C25" s="71">
        <f>Table2[[#This Row],[cases]]/$B$2</f>
        <v>9.2630801839132311E-4</v>
      </c>
      <c r="D25" s="26">
        <f>(Table2[[#This Row],[cases]]-B24)/B24</f>
        <v>4.7877383335089015E-2</v>
      </c>
      <c r="E25" s="38">
        <f t="shared" ref="E25" si="4">(LN(2)/LN(B25/B24))</f>
        <v>14.821421707304372</v>
      </c>
      <c r="F25" s="81">
        <f>Table2[[#This Row],[cases]]*100/$S$19</f>
        <v>165791.66666666666</v>
      </c>
      <c r="G25" s="35">
        <f>Table2[[#This Row],[cases]]*100/$S$13</f>
        <v>73685.185185185182</v>
      </c>
      <c r="H25" s="35">
        <f>Table2[[#This Row],[cases]]*100/$S$16</f>
        <v>203010.20408163263</v>
      </c>
      <c r="I25" s="35">
        <f>Table2[[#This Row],[infection count, high end of estimate range]]-Table2[[#This Row],[infection count, low end of estimate range]]</f>
        <v>129325.01889644745</v>
      </c>
      <c r="J25" s="35">
        <f>(Table2[[#This Row],[infection count, low end of estimate range]]+Table2[[#This Row],[infection count, high end of estimate range]])/2</f>
        <v>138347.69463340892</v>
      </c>
      <c r="K25" s="27">
        <f>Table2[[#This Row],[infection count, low end of estimate range]]/$S$6</f>
        <v>3.4307704384863814E-3</v>
      </c>
      <c r="L25" s="27">
        <f>Table2[[#This Row],[infection count, high end of estimate range]]/$S$6</f>
        <v>9.4521226366461528E-3</v>
      </c>
      <c r="M25" s="15">
        <f>Table2[[#This Row],[infection percentage, high end of estimate range]]-Table2[[#This Row],[infection percentage, low end of estimate range]]</f>
        <v>6.0213521981597714E-3</v>
      </c>
      <c r="N25" s="27">
        <f>(Table2[[#This Row],[infection percentage, low end of estimate range]]+Table2[[#This Row],[infection percentage, high end of estimate range]])/2</f>
        <v>6.4414465375662675E-3</v>
      </c>
      <c r="O25" s="3">
        <f>$S$6/(Table2[[#This Row],[cases]]*5)</f>
        <v>215.91090223674291</v>
      </c>
      <c r="P25" s="3">
        <f>$S$6/(Table2[[#This Row],[cases]]*7)</f>
        <v>154.22207302624494</v>
      </c>
      <c r="Q25" s="3">
        <f>Table2[[#This Row],[1-in-X odds, estimating 5x cases infected]]-Table2[[#This Row],[1-in-X odds, estimating 7x cases infected]]</f>
        <v>61.688829210497971</v>
      </c>
      <c r="R25" s="3">
        <f>(Table2[[#This Row],[1-in-X odds, estimating 5x cases infected]]+Table2[[#This Row],[1-in-X odds, estimating 7x cases infected]])/2</f>
        <v>185.06648763149394</v>
      </c>
      <c r="U25" s="31"/>
    </row>
    <row r="26" spans="1:21" x14ac:dyDescent="0.2">
      <c r="A26" s="8">
        <v>43934</v>
      </c>
      <c r="B26" s="56">
        <v>21019</v>
      </c>
      <c r="C26" s="71">
        <f>Table2[[#This Row],[cases]]/$B$2</f>
        <v>9.7864127864122743E-4</v>
      </c>
      <c r="D26" s="26">
        <f>(Table2[[#This Row],[cases]]-B25)/B25</f>
        <v>5.6496607187735609E-2</v>
      </c>
      <c r="E26" s="38">
        <f t="shared" ref="E26" si="5">(LN(2)/LN(B26/B25))</f>
        <v>12.612227663194551</v>
      </c>
      <c r="F26" s="81">
        <f>Table2[[#This Row],[cases]]*100/$S$19</f>
        <v>175158.33333333334</v>
      </c>
      <c r="G26" s="35">
        <f>Table2[[#This Row],[cases]]*100/$S$13</f>
        <v>77848.148148148146</v>
      </c>
      <c r="H26" s="35">
        <f>Table2[[#This Row],[cases]]*100/$S$16</f>
        <v>214479.59183673467</v>
      </c>
      <c r="I26" s="35">
        <f>Table2[[#This Row],[infection count, high end of estimate range]]-Table2[[#This Row],[infection count, low end of estimate range]]</f>
        <v>136631.44368858653</v>
      </c>
      <c r="J26" s="35">
        <f>(Table2[[#This Row],[infection count, low end of estimate range]]+Table2[[#This Row],[infection count, high end of estimate range]])/2</f>
        <v>146163.86999244141</v>
      </c>
      <c r="K26" s="27">
        <f>Table2[[#This Row],[infection count, low end of estimate range]]/$S$6</f>
        <v>3.624597328300842E-3</v>
      </c>
      <c r="L26" s="27">
        <f>Table2[[#This Row],[infection count, high end of estimate range]]/$S$6</f>
        <v>9.9861354963390551E-3</v>
      </c>
      <c r="M26" s="15">
        <f>Table2[[#This Row],[infection percentage, high end of estimate range]]-Table2[[#This Row],[infection percentage, low end of estimate range]]</f>
        <v>6.3615381680382135E-3</v>
      </c>
      <c r="N26" s="27">
        <f>(Table2[[#This Row],[infection percentage, low end of estimate range]]+Table2[[#This Row],[infection percentage, high end of estimate range]])/2</f>
        <v>6.8053664123199483E-3</v>
      </c>
      <c r="O26" s="3">
        <f>$S$6/(Table2[[#This Row],[cases]]*5)</f>
        <v>204.36497454683857</v>
      </c>
      <c r="P26" s="3">
        <f>$S$6/(Table2[[#This Row],[cases]]*7)</f>
        <v>145.97498181917041</v>
      </c>
      <c r="Q26" s="3">
        <f>Table2[[#This Row],[1-in-X odds, estimating 5x cases infected]]-Table2[[#This Row],[1-in-X odds, estimating 7x cases infected]]</f>
        <v>58.389992727668158</v>
      </c>
      <c r="R26" s="3">
        <f>(Table2[[#This Row],[1-in-X odds, estimating 5x cases infected]]+Table2[[#This Row],[1-in-X odds, estimating 7x cases infected]])/2</f>
        <v>175.1699781830045</v>
      </c>
      <c r="U26" s="31"/>
    </row>
    <row r="27" spans="1:21" x14ac:dyDescent="0.2">
      <c r="A27" s="8">
        <v>43935</v>
      </c>
      <c r="B27" s="56">
        <v>21628</v>
      </c>
      <c r="C27" s="71">
        <f>Table2[[#This Row],[cases]]/$B$2</f>
        <v>1.006996221249939E-3</v>
      </c>
      <c r="D27" s="26">
        <f>(Table2[[#This Row],[cases]]-B26)/B26</f>
        <v>2.8973785622531993E-2</v>
      </c>
      <c r="E27" s="38">
        <f t="shared" ref="E27" si="6">(LN(2)/LN(B27/B26))</f>
        <v>24.268176005353027</v>
      </c>
      <c r="F27" s="81">
        <f>Table2[[#This Row],[cases]]*100/$S$19</f>
        <v>180233.33333333334</v>
      </c>
      <c r="G27" s="35">
        <f>Table2[[#This Row],[cases]]*100/$S$13</f>
        <v>80103.703703703708</v>
      </c>
      <c r="H27" s="35">
        <f>Table2[[#This Row],[cases]]*100/$S$16</f>
        <v>220693.87755102038</v>
      </c>
      <c r="I27" s="35">
        <f>Table2[[#This Row],[infection count, high end of estimate range]]-Table2[[#This Row],[infection count, low end of estimate range]]</f>
        <v>140590.17384731668</v>
      </c>
      <c r="J27" s="35">
        <f>(Table2[[#This Row],[infection count, low end of estimate range]]+Table2[[#This Row],[infection count, high end of estimate range]])/2</f>
        <v>150398.79062736203</v>
      </c>
      <c r="K27" s="27">
        <f>Table2[[#This Row],[infection count, low end of estimate range]]/$S$6</f>
        <v>3.7296156342590332E-3</v>
      </c>
      <c r="L27" s="27">
        <f>Table2[[#This Row],[infection count, high end of estimate range]]/$S$6</f>
        <v>1.0275471645407539E-2</v>
      </c>
      <c r="M27" s="15">
        <f>Table2[[#This Row],[infection percentage, high end of estimate range]]-Table2[[#This Row],[infection percentage, low end of estimate range]]</f>
        <v>6.5458560111485067E-3</v>
      </c>
      <c r="N27" s="27">
        <f>(Table2[[#This Row],[infection percentage, low end of estimate range]]+Table2[[#This Row],[infection percentage, high end of estimate range]])/2</f>
        <v>7.0025436398332861E-3</v>
      </c>
      <c r="O27" s="3">
        <f>$S$6/(Table2[[#This Row],[cases]]*5)</f>
        <v>198.61047715923803</v>
      </c>
      <c r="P27" s="3">
        <f>$S$6/(Table2[[#This Row],[cases]]*7)</f>
        <v>141.86462654231286</v>
      </c>
      <c r="Q27" s="3">
        <f>Table2[[#This Row],[1-in-X odds, estimating 5x cases infected]]-Table2[[#This Row],[1-in-X odds, estimating 7x cases infected]]</f>
        <v>56.745850616925168</v>
      </c>
      <c r="R27" s="3">
        <f>(Table2[[#This Row],[1-in-X odds, estimating 5x cases infected]]+Table2[[#This Row],[1-in-X odds, estimating 7x cases infected]])/2</f>
        <v>170.23755185077545</v>
      </c>
      <c r="U27" s="31"/>
    </row>
    <row r="28" spans="1:21" x14ac:dyDescent="0.2">
      <c r="A28" s="8">
        <v>43936</v>
      </c>
      <c r="B28" s="56">
        <v>22519</v>
      </c>
      <c r="C28" s="71">
        <f>Table2[[#This Row],[cases]]/$B$2</f>
        <v>1.0484810387612065E-3</v>
      </c>
      <c r="D28" s="26">
        <f>(Table2[[#This Row],[cases]]-B27)/B27</f>
        <v>4.1196597003883853E-2</v>
      </c>
      <c r="E28" s="38">
        <f t="shared" ref="E28" si="7">(LN(2)/LN(B28/B27))</f>
        <v>17.169592171387023</v>
      </c>
      <c r="F28" s="81">
        <f>Table2[[#This Row],[cases]]*100/$S$19</f>
        <v>187658.33333333334</v>
      </c>
      <c r="G28" s="35">
        <f>Table2[[#This Row],[cases]]*100/$S$13</f>
        <v>83403.703703703708</v>
      </c>
      <c r="H28" s="35">
        <f>Table2[[#This Row],[cases]]*100/$S$16</f>
        <v>229785.71428571426</v>
      </c>
      <c r="I28" s="35">
        <f>Table2[[#This Row],[infection count, high end of estimate range]]-Table2[[#This Row],[infection count, low end of estimate range]]</f>
        <v>146382.01058201055</v>
      </c>
      <c r="J28" s="35">
        <f>(Table2[[#This Row],[infection count, low end of estimate range]]+Table2[[#This Row],[infection count, high end of estimate range]])/2</f>
        <v>156594.70899470898</v>
      </c>
      <c r="K28" s="27">
        <f>Table2[[#This Row],[infection count, low end of estimate range]]/$S$6</f>
        <v>3.8832631065229876E-3</v>
      </c>
      <c r="L28" s="27">
        <f>Table2[[#This Row],[infection count, high end of estimate range]]/$S$6</f>
        <v>1.0698786109808229E-2</v>
      </c>
      <c r="M28" s="15">
        <f>Table2[[#This Row],[infection percentage, high end of estimate range]]-Table2[[#This Row],[infection percentage, low end of estimate range]]</f>
        <v>6.8155230032852405E-3</v>
      </c>
      <c r="N28" s="27">
        <f>(Table2[[#This Row],[infection percentage, low end of estimate range]]+Table2[[#This Row],[infection percentage, high end of estimate range]])/2</f>
        <v>7.2910246081656083E-3</v>
      </c>
      <c r="O28" s="3">
        <f>$S$6/(Table2[[#This Row],[cases]]*5)</f>
        <v>190.75213819441362</v>
      </c>
      <c r="P28" s="3">
        <f>$S$6/(Table2[[#This Row],[cases]]*7)</f>
        <v>136.25152728172401</v>
      </c>
      <c r="Q28" s="3">
        <f>Table2[[#This Row],[1-in-X odds, estimating 5x cases infected]]-Table2[[#This Row],[1-in-X odds, estimating 7x cases infected]]</f>
        <v>54.500610912689609</v>
      </c>
      <c r="R28" s="3">
        <f>(Table2[[#This Row],[1-in-X odds, estimating 5x cases infected]]+Table2[[#This Row],[1-in-X odds, estimating 7x cases infected]])/2</f>
        <v>163.5018327380688</v>
      </c>
      <c r="U28" s="31"/>
    </row>
    <row r="29" spans="1:21" x14ac:dyDescent="0.2">
      <c r="U29" s="55" t="str">
        <f ca="1">"updated " &amp; TEXT($T6,"MMMM d, yyyy") &amp; ", " &amp; S9</f>
        <v>updated April 15, 2020, evening</v>
      </c>
    </row>
    <row r="30" spans="1:21" x14ac:dyDescent="0.2">
      <c r="T30" s="34" t="s">
        <v>32</v>
      </c>
      <c r="U30" s="36"/>
    </row>
    <row r="31" spans="1:21" x14ac:dyDescent="0.2">
      <c r="T31" s="27">
        <f ca="1">OFFSET(compute!D4,COUNTA(compute!D:D)-1,0)</f>
        <v>4.1196597003883853E-2</v>
      </c>
    </row>
    <row r="32" spans="1:21" x14ac:dyDescent="0.2">
      <c r="U32" s="33" t="s">
        <v>24</v>
      </c>
    </row>
    <row r="33" spans="21:21" x14ac:dyDescent="0.2">
      <c r="U33" s="1" t="str">
        <f ca="1">"There have been " &amp;TEXT( T9,"0") &amp; " confirmed cases of COVID-19 disease in " &amp; B1 &amp; " since the start of the outbreak."</f>
        <v>There have been 22519 confirmed cases of COVID-19 disease in Florida since the start of the outbreak.</v>
      </c>
    </row>
    <row r="35" spans="21:21" x14ac:dyDescent="0.2">
      <c r="U35" s="1" t="str">
        <f ca="1">"Around " &amp;TEXT(ROUND(T12,-3),"#,##0") &amp;" people in " &amp; B1 &amp; " may have already been infected with the SARS-CoV-2 virus."</f>
        <v>Around 188,000 people in Florida may have already been infected with the SARS-CoV-2 virus.</v>
      </c>
    </row>
    <row r="37" spans="21:21" x14ac:dyDescent="0.2">
      <c r="U37" s="1" t="str">
        <f ca="1">"Around " &amp; TEXT(T15,"0.0%") &amp; " of the total population of " &amp; B1 &amp; " may have already been infected with the SARS-CoV-2 virus, based on an estimated population of " &amp; TEXT(S6,"0,000") &amp; "."</f>
        <v>Around 0.7% of the total population of Florida may have already been infected with the SARS-CoV-2 virus, based on an estimated population of 21,477,737.</v>
      </c>
    </row>
    <row r="39" spans="21:21" x14ac:dyDescent="0.2">
      <c r="U39" s="1" t="str">
        <f ca="1">"The odds of any given person in " &amp; B1 &amp; " having been infected with SARS-CoV-2 is currently estimated to be around one in " &amp; TEXT(T18,"#,##0")  &amp; "."</f>
        <v>The odds of any given person in Florida having been infected with SARS-CoV-2 is currently estimated to be around one in 164.</v>
      </c>
    </row>
    <row r="41" spans="21:21" x14ac:dyDescent="0.2">
      <c r="U41" s="1" t="str">
        <f ca="1">"doubing in " &amp; TEXT(T21,"0.0") &amp; " days"</f>
        <v>doubing in 17.2 days</v>
      </c>
    </row>
    <row r="43" spans="21:21" x14ac:dyDescent="0.2">
      <c r="U43" s="1" t="str">
        <f ca="1">TEXT(T31, "+0.0%;-0.0%") &amp; " per day"</f>
        <v>+4.1% per day</v>
      </c>
    </row>
    <row r="45" spans="21:21" x14ac:dyDescent="0.2">
      <c r="U45" t="str">
        <f ca="1">"The current rate of increase is " &amp; U43</f>
        <v>The current rate of increase is +4.1% per day</v>
      </c>
    </row>
  </sheetData>
  <phoneticPr fontId="3" type="noConversion"/>
  <pageMargins left="0.7" right="0.7" top="0.75" bottom="0.75" header="0.3" footer="0.3"/>
  <pageSetup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27"/>
  <sheetViews>
    <sheetView workbookViewId="0">
      <selection activeCell="B27" sqref="A1:B27"/>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27"/>
  <sheetViews>
    <sheetView workbookViewId="0">
      <selection activeCell="B28" sqref="B28"/>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583</v>
      </c>
      <c r="C27" s="26">
        <f t="shared" ref="C27" si="10">(B27-B26)/B26</f>
        <v>3.9215686274509803E-2</v>
      </c>
      <c r="D27" s="38">
        <f t="shared" ref="D27" si="11">(LN(2)/LN(B27/B26))</f>
        <v>18.019604849842146</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28"/>
  <sheetViews>
    <sheetView workbookViewId="0">
      <selection activeCell="B29" sqref="B29"/>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28"/>
  <sheetViews>
    <sheetView workbookViewId="0">
      <selection sqref="A1:B28"/>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20</vt:i4>
      </vt:variant>
    </vt:vector>
  </HeadingPairs>
  <TitlesOfParts>
    <vt:vector size="20" baseType="lpstr">
      <vt:lpstr>Cases</vt:lpstr>
      <vt:lpstr>% Increase</vt:lpstr>
      <vt:lpstr>Doubling Time</vt:lpstr>
      <vt:lpstr>Number of Infections</vt:lpstr>
      <vt:lpstr>Case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2020-04-16T00:12:51Z</dcterms:modified>
</cp:coreProperties>
</file>