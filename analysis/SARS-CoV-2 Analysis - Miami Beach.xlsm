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Dropbox rap@endymion.com/Dropbox/BeachAnalytics/analysis/"/>
    </mc:Choice>
  </mc:AlternateContent>
  <xr:revisionPtr revIDLastSave="0" documentId="13_ncr:1_{4AF1ED80-2A3F-DF4B-BC52-013194D16A93}" xr6:coauthVersionLast="45" xr6:coauthVersionMax="45" xr10:uidLastSave="{00000000-0000-0000-0000-000000000000}"/>
  <bookViews>
    <workbookView xWindow="0" yWindow="460" windowWidth="28800" windowHeight="17540" firstSheet="4" activeTab="9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r:id="rId11"/>
    <sheet name="Miami Beach evening" sheetId="10" r:id="rId12"/>
    <sheet name="Miami morning" sheetId="11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" i="5" l="1"/>
  <c r="M7" i="5"/>
  <c r="C58" i="1"/>
  <c r="D58" i="1"/>
  <c r="E58" i="1"/>
  <c r="F58" i="1"/>
  <c r="G58" i="1"/>
  <c r="H58" i="1"/>
  <c r="I58" i="1" s="1"/>
  <c r="C59" i="1"/>
  <c r="D59" i="1"/>
  <c r="E59" i="1"/>
  <c r="F59" i="1"/>
  <c r="G59" i="1"/>
  <c r="H59" i="1"/>
  <c r="C60" i="1"/>
  <c r="D60" i="1"/>
  <c r="E60" i="1"/>
  <c r="F60" i="1"/>
  <c r="G60" i="1"/>
  <c r="H60" i="1"/>
  <c r="C58" i="12"/>
  <c r="D58" i="12"/>
  <c r="C59" i="12"/>
  <c r="D59" i="12"/>
  <c r="C60" i="12"/>
  <c r="D60" i="12"/>
  <c r="C60" i="10"/>
  <c r="D60" i="10"/>
  <c r="C58" i="10"/>
  <c r="D58" i="10"/>
  <c r="C59" i="10"/>
  <c r="D59" i="10"/>
  <c r="J59" i="1" l="1"/>
  <c r="I60" i="1"/>
  <c r="J58" i="1"/>
  <c r="I59" i="1"/>
  <c r="J60" i="1"/>
  <c r="C57" i="12"/>
  <c r="D57" i="12"/>
  <c r="C57" i="1"/>
  <c r="D57" i="1"/>
  <c r="E57" i="1"/>
  <c r="F57" i="1"/>
  <c r="G57" i="1"/>
  <c r="J57" i="1" s="1"/>
  <c r="H57" i="1"/>
  <c r="C57" i="10"/>
  <c r="D57" i="10"/>
  <c r="I57" i="1" l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67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61" i="1" s="1"/>
  <c r="U9" i="1"/>
  <c r="C6" i="6" s="1"/>
  <c r="X6" i="1"/>
  <c r="T9" i="1"/>
  <c r="T6" i="1"/>
  <c r="K58" i="1" l="1"/>
  <c r="L58" i="1"/>
  <c r="P58" i="1"/>
  <c r="K59" i="1"/>
  <c r="M58" i="1"/>
  <c r="Q58" i="1"/>
  <c r="L59" i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N33" i="1" s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65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O58" i="1" l="1"/>
  <c r="O59" i="1"/>
  <c r="N60" i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73" i="1" s="1"/>
  <c r="C8" i="6" s="1"/>
  <c r="U63" i="1"/>
  <c r="V75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77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69" i="1" l="1"/>
  <c r="U18" i="1"/>
  <c r="V71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<sst xmlns="http://schemas.openxmlformats.org/spreadsheetml/2006/main" count="165" uniqueCount="65">
  <si>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</si>
  <si>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</si>
  <si>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</si>
  <si>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</si>
  <si>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</si>
  <si>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</si>
  <si>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</si>
  <si>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</si>
  <si>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</si>
  <si>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</si>
  <si>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</si>
  <si>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</si>
  <si>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</si>
  <si>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</si>
  <si>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</si>
  <si>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</si>
  <si>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</si>
  <si>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</si>
  <si>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</si>
  <si>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</si>
  <si>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</si>
  <si>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</si>
  <si>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</si>
  <si>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</si>
  <si>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</si>
  <si>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</si>
  <si>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</si>
  <si>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</si>
  <si>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</si>
  <si>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</si>
  <si>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</si>
  <si>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</si>
  <si>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</si>
  <si>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</si>
  <si>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</si>
  <si>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</si>
  <si>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</si>
  <si>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</si>
  <si>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</si>
  <si>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</si>
  <si>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</si>
  <si>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</si>
  <si>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</si>
  <si>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</si>
  <si>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</si>
  <si>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</si>
  <si>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</si>
  <si>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</si>
  <si>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</si>
  <si>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</si>
  <si>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</si>
  <si>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</si>
  <si>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</si>
  <si>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</si>
  <si>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</si>
  <si>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</si>
  <si>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</si>
  <si>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</si>
  <si>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</si>
  <si>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</si>
  <si>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</si>
  <si>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</si>
  <si>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</si>
  <si>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4 - 10</t>
  </si>
  <si>
    <t>May 11 - 17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</si>
</sst>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3507353529961292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compute!$A$6:$A$10042</c:f>
              <c:numCache>
                <c:formatCode>d\-mmm</c:formatCode>
                <c:ptCount val="10037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</c:numCache>
            </c:numRef>
          </c:cat>
          <c:val>
            <c:numRef>
              <c:f>compute!$D$6:$D$10042</c:f>
              <c:numCache>
                <c:formatCode>0.0%</c:formatCode>
                <c:ptCount val="10037"/>
                <c:pt idx="0">
                  <c:v>0.28947368421052633</c:v>
                </c:pt>
                <c:pt idx="1">
                  <c:v>0.30612244897959184</c:v>
                </c:pt>
                <c:pt idx="2">
                  <c:v>0.34765625</c:v>
                </c:pt>
                <c:pt idx="3">
                  <c:v>0.34492753623188405</c:v>
                </c:pt>
                <c:pt idx="4">
                  <c:v>0.29956896551724138</c:v>
                </c:pt>
                <c:pt idx="5">
                  <c:v>0.34660033167495852</c:v>
                </c:pt>
                <c:pt idx="6">
                  <c:v>0.14655172413793102</c:v>
                </c:pt>
                <c:pt idx="7">
                  <c:v>0.26638023630504831</c:v>
                </c:pt>
                <c:pt idx="8">
                  <c:v>0.16284987277353691</c:v>
                </c:pt>
                <c:pt idx="9">
                  <c:v>0.22319474835886213</c:v>
                </c:pt>
                <c:pt idx="10">
                  <c:v>0.16815742397137745</c:v>
                </c:pt>
                <c:pt idx="11">
                  <c:v>0.16947422154160285</c:v>
                </c:pt>
                <c:pt idx="12">
                  <c:v>7.4203404626800529E-2</c:v>
                </c:pt>
                <c:pt idx="13">
                  <c:v>0.13856156034132466</c:v>
                </c:pt>
                <c:pt idx="14">
                  <c:v>0.10635260528194147</c:v>
                </c:pt>
                <c:pt idx="15">
                  <c:v>7.0000000000000007E-2</c:v>
                </c:pt>
                <c:pt idx="16">
                  <c:v>8.1398854386493816E-2</c:v>
                </c:pt>
                <c:pt idx="17">
                  <c:v>6.3841650404237518E-2</c:v>
                </c:pt>
                <c:pt idx="18">
                  <c:v>7.20649895178197E-2</c:v>
                </c:pt>
                <c:pt idx="19">
                  <c:v>4.4487900268882913E-2</c:v>
                </c:pt>
                <c:pt idx="20">
                  <c:v>5.0081909665340513E-2</c:v>
                </c:pt>
                <c:pt idx="21">
                  <c:v>3.5881435257410298E-2</c:v>
                </c:pt>
                <c:pt idx="22">
                  <c:v>4.4965576592082619E-2</c:v>
                </c:pt>
                <c:pt idx="23">
                  <c:v>3.3148033765698991E-2</c:v>
                </c:pt>
                <c:pt idx="24">
                  <c:v>6.1179752889597448E-2</c:v>
                </c:pt>
                <c:pt idx="25">
                  <c:v>2.7793427230046949E-2</c:v>
                </c:pt>
                <c:pt idx="26">
                  <c:v>3.1427005298739263E-2</c:v>
                </c:pt>
                <c:pt idx="27">
                  <c:v>3.6669619131975202E-2</c:v>
                </c:pt>
                <c:pt idx="28">
                  <c:v>3.6226930963773066E-2</c:v>
                </c:pt>
                <c:pt idx="29">
                  <c:v>2.6879947229551452E-2</c:v>
                </c:pt>
                <c:pt idx="30">
                  <c:v>2.9869921310422355E-2</c:v>
                </c:pt>
                <c:pt idx="31">
                  <c:v>3.8203648838297209E-2</c:v>
                </c:pt>
                <c:pt idx="32">
                  <c:v>7.8101531991589066E-3</c:v>
                </c:pt>
                <c:pt idx="33">
                  <c:v>4.3368107302533529E-2</c:v>
                </c:pt>
                <c:pt idx="34">
                  <c:v>2.2568204542208255E-2</c:v>
                </c:pt>
                <c:pt idx="35">
                  <c:v>2.8635284257577873E-2</c:v>
                </c:pt>
                <c:pt idx="36">
                  <c:v>7.3329712112982079E-3</c:v>
                </c:pt>
                <c:pt idx="37">
                  <c:v>9.7061202480452947E-3</c:v>
                </c:pt>
                <c:pt idx="38">
                  <c:v>2.6034712950600801E-2</c:v>
                </c:pt>
                <c:pt idx="39">
                  <c:v>1.9648666232921275E-2</c:v>
                </c:pt>
                <c:pt idx="40">
                  <c:v>1.1740684022460439E-2</c:v>
                </c:pt>
                <c:pt idx="41">
                  <c:v>3.0020181634712411E-2</c:v>
                </c:pt>
                <c:pt idx="42">
                  <c:v>1.3348028410482488E-2</c:v>
                </c:pt>
                <c:pt idx="43">
                  <c:v>1.3413897280966768E-2</c:v>
                </c:pt>
                <c:pt idx="44">
                  <c:v>1.7409968995945622E-2</c:v>
                </c:pt>
                <c:pt idx="45">
                  <c:v>7.266760431317393E-3</c:v>
                </c:pt>
                <c:pt idx="46">
                  <c:v>1.407959041191529E-2</c:v>
                </c:pt>
                <c:pt idx="47">
                  <c:v>1.2392426850258176E-2</c:v>
                </c:pt>
                <c:pt idx="48">
                  <c:v>5.6670066870678909E-3</c:v>
                </c:pt>
                <c:pt idx="49">
                  <c:v>1.6003606446523159E-2</c:v>
                </c:pt>
                <c:pt idx="50">
                  <c:v>6.2118691070438157E-3</c:v>
                </c:pt>
                <c:pt idx="51">
                  <c:v>8.8193142983133063E-3</c:v>
                </c:pt>
                <c:pt idx="52">
                  <c:v>1.3768986995956725E-2</c:v>
                </c:pt>
                <c:pt idx="53">
                  <c:v>1.8001509108548024E-2</c:v>
                </c:pt>
                <c:pt idx="54">
                  <c:v>1.5353663701821263E-2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68"/>
          <c:min val="43941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7744641665554512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compute!$A$6:$A$10042</c:f>
              <c:numCache>
                <c:formatCode>d\-mmm</c:formatCode>
                <c:ptCount val="10037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</c:numCache>
            </c:numRef>
          </c:cat>
          <c:val>
            <c:numRef>
              <c:f>compute!$E$6:$E$10042</c:f>
              <c:numCache>
                <c:formatCode>0.0</c:formatCode>
                <c:ptCount val="10037"/>
                <c:pt idx="0">
                  <c:v>2.7264126877891832</c:v>
                </c:pt>
                <c:pt idx="1">
                  <c:v>2.5954465348422167</c:v>
                </c:pt>
                <c:pt idx="2">
                  <c:v>2.3231364203342348</c:v>
                </c:pt>
                <c:pt idx="3">
                  <c:v>2.3390256608477276</c:v>
                </c:pt>
                <c:pt idx="4">
                  <c:v>2.6452703321760542</c:v>
                </c:pt>
                <c:pt idx="5">
                  <c:v>2.329255523549266</c:v>
                </c:pt>
                <c:pt idx="6">
                  <c:v>5.0683867188519347</c:v>
                </c:pt>
                <c:pt idx="7">
                  <c:v>2.9350418410450274</c:v>
                </c:pt>
                <c:pt idx="8">
                  <c:v>4.594218989141579</c:v>
                </c:pt>
                <c:pt idx="9">
                  <c:v>3.4405155090192001</c:v>
                </c:pt>
                <c:pt idx="10">
                  <c:v>4.4596129019590443</c:v>
                </c:pt>
                <c:pt idx="11">
                  <c:v>4.4275202769727011</c:v>
                </c:pt>
                <c:pt idx="12">
                  <c:v>9.6836169490150699</c:v>
                </c:pt>
                <c:pt idx="13">
                  <c:v>5.3415294338518668</c:v>
                </c:pt>
                <c:pt idx="14">
                  <c:v>6.8581809240681908</c:v>
                </c:pt>
                <c:pt idx="15">
                  <c:v>10.244768351058712</c:v>
                </c:pt>
                <c:pt idx="16">
                  <c:v>8.857495313952132</c:v>
                </c:pt>
                <c:pt idx="17">
                  <c:v>11.20028704389693</c:v>
                </c:pt>
                <c:pt idx="18">
                  <c:v>9.96091676104197</c:v>
                </c:pt>
                <c:pt idx="19">
                  <c:v>15.924637026490627</c:v>
                </c:pt>
                <c:pt idx="20">
                  <c:v>14.184021538998522</c:v>
                </c:pt>
                <c:pt idx="21">
                  <c:v>19.662247910950395</c:v>
                </c:pt>
                <c:pt idx="22">
                  <c:v>15.759095716636351</c:v>
                </c:pt>
                <c:pt idx="23">
                  <c:v>21.255347458768309</c:v>
                </c:pt>
                <c:pt idx="24">
                  <c:v>11.672826375517154</c:v>
                </c:pt>
                <c:pt idx="25">
                  <c:v>25.284238323265988</c:v>
                </c:pt>
                <c:pt idx="26">
                  <c:v>22.400568352945822</c:v>
                </c:pt>
                <c:pt idx="27">
                  <c:v>19.246985379249875</c:v>
                </c:pt>
                <c:pt idx="28">
                  <c:v>19.477995929350573</c:v>
                </c:pt>
                <c:pt idx="29">
                  <c:v>26.131817554080403</c:v>
                </c:pt>
                <c:pt idx="30">
                  <c:v>23.55039768449053</c:v>
                </c:pt>
                <c:pt idx="31">
                  <c:v>18.487889118218384</c:v>
                </c:pt>
                <c:pt idx="32">
                  <c:v>89.095622829796753</c:v>
                </c:pt>
                <c:pt idx="33">
                  <c:v>16.326999709277924</c:v>
                </c:pt>
                <c:pt idx="34">
                  <c:v>31.058723813341835</c:v>
                </c:pt>
                <c:pt idx="35">
                  <c:v>24.550994839858753</c:v>
                </c:pt>
                <c:pt idx="36">
                  <c:v>94.870889301226129</c:v>
                </c:pt>
                <c:pt idx="37">
                  <c:v>71.759429333057724</c:v>
                </c:pt>
                <c:pt idx="38">
                  <c:v>26.969049960532978</c:v>
                </c:pt>
                <c:pt idx="39">
                  <c:v>35.622509801798749</c:v>
                </c:pt>
                <c:pt idx="40">
                  <c:v>59.383957056845482</c:v>
                </c:pt>
                <c:pt idx="41">
                  <c:v>23.434238408786449</c:v>
                </c:pt>
                <c:pt idx="42">
                  <c:v>52.274613886566158</c:v>
                </c:pt>
                <c:pt idx="43">
                  <c:v>52.019614008401071</c:v>
                </c:pt>
                <c:pt idx="44">
                  <c:v>40.158811241103884</c:v>
                </c:pt>
                <c:pt idx="45">
                  <c:v>95.732151243481965</c:v>
                </c:pt>
                <c:pt idx="46">
                  <c:v>49.576401282989799</c:v>
                </c:pt>
                <c:pt idx="47">
                  <c:v>56.278988829986361</c:v>
                </c:pt>
                <c:pt idx="48">
                  <c:v>122.65899865694688</c:v>
                </c:pt>
                <c:pt idx="49">
                  <c:v>43.657592657146672</c:v>
                </c:pt>
                <c:pt idx="50">
                  <c:v>111.93053433065666</c:v>
                </c:pt>
                <c:pt idx="51">
                  <c:v>78.94029233636499</c:v>
                </c:pt>
                <c:pt idx="52">
                  <c:v>50.686972970738736</c:v>
                </c:pt>
                <c:pt idx="53">
                  <c:v>38.850491503432927</c:v>
                </c:pt>
                <c:pt idx="54">
                  <c:v>45.491086389368192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44668357133325"/>
          <c:y val="0.14576271186440679"/>
          <c:w val="0.81490404377418924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compute!$G$5:$G$10042</c:f>
              <c:numCache>
                <c:formatCode>#,##0</c:formatCode>
                <c:ptCount val="10038"/>
                <c:pt idx="0">
                  <c:v>389.74358974358972</c:v>
                </c:pt>
                <c:pt idx="1">
                  <c:v>502.56410256410254</c:v>
                </c:pt>
                <c:pt idx="2">
                  <c:v>656.41025641025647</c:v>
                </c:pt>
                <c:pt idx="3">
                  <c:v>884.61538461538464</c:v>
                </c:pt>
                <c:pt idx="4">
                  <c:v>1189.7435897435898</c:v>
                </c:pt>
                <c:pt idx="5">
                  <c:v>1546.1538461538462</c:v>
                </c:pt>
                <c:pt idx="6">
                  <c:v>2082.0512820512822</c:v>
                </c:pt>
                <c:pt idx="7">
                  <c:v>2387.1794871794873</c:v>
                </c:pt>
                <c:pt idx="8">
                  <c:v>3023.0769230769229</c:v>
                </c:pt>
                <c:pt idx="9">
                  <c:v>3515.3846153846152</c:v>
                </c:pt>
                <c:pt idx="10">
                  <c:v>4300</c:v>
                </c:pt>
                <c:pt idx="11">
                  <c:v>5023.0769230769229</c:v>
                </c:pt>
                <c:pt idx="12">
                  <c:v>5874.3589743589746</c:v>
                </c:pt>
                <c:pt idx="13">
                  <c:v>6310.2564102564102</c:v>
                </c:pt>
                <c:pt idx="14">
                  <c:v>7184.6153846153848</c:v>
                </c:pt>
                <c:pt idx="15">
                  <c:v>7948.7179487179483</c:v>
                </c:pt>
                <c:pt idx="16">
                  <c:v>8505.1282051282051</c:v>
                </c:pt>
                <c:pt idx="17">
                  <c:v>9197.4358974358965</c:v>
                </c:pt>
                <c:pt idx="18">
                  <c:v>9784.6153846153848</c:v>
                </c:pt>
                <c:pt idx="19">
                  <c:v>10489.74358974359</c:v>
                </c:pt>
                <c:pt idx="20">
                  <c:v>10956.410256410256</c:v>
                </c:pt>
                <c:pt idx="21">
                  <c:v>11505.128205128205</c:v>
                </c:pt>
                <c:pt idx="22">
                  <c:v>11917.948717948719</c:v>
                </c:pt>
                <c:pt idx="23">
                  <c:v>12453.846153846154</c:v>
                </c:pt>
                <c:pt idx="24">
                  <c:v>12866.666666666666</c:v>
                </c:pt>
                <c:pt idx="25">
                  <c:v>13653.846153846154</c:v>
                </c:pt>
                <c:pt idx="26">
                  <c:v>14033.333333333334</c:v>
                </c:pt>
                <c:pt idx="27">
                  <c:v>14474.358974358975</c:v>
                </c:pt>
                <c:pt idx="28">
                  <c:v>15005.128205128205</c:v>
                </c:pt>
                <c:pt idx="29">
                  <c:v>15548.717948717949</c:v>
                </c:pt>
                <c:pt idx="30">
                  <c:v>15966.666666666666</c:v>
                </c:pt>
                <c:pt idx="31">
                  <c:v>16443.589743589742</c:v>
                </c:pt>
                <c:pt idx="32">
                  <c:v>17071.794871794871</c:v>
                </c:pt>
                <c:pt idx="33">
                  <c:v>17205.128205128207</c:v>
                </c:pt>
                <c:pt idx="34">
                  <c:v>17951.282051282051</c:v>
                </c:pt>
                <c:pt idx="35">
                  <c:v>18356.410256410258</c:v>
                </c:pt>
                <c:pt idx="36">
                  <c:v>18882.051282051281</c:v>
                </c:pt>
                <c:pt idx="37">
                  <c:v>19020.51282051282</c:v>
                </c:pt>
                <c:pt idx="38">
                  <c:v>19205.128205128207</c:v>
                </c:pt>
                <c:pt idx="39">
                  <c:v>19705.128205128207</c:v>
                </c:pt>
                <c:pt idx="40">
                  <c:v>20092.307692307691</c:v>
                </c:pt>
                <c:pt idx="41">
                  <c:v>20328.205128205129</c:v>
                </c:pt>
                <c:pt idx="42">
                  <c:v>20938.461538461539</c:v>
                </c:pt>
                <c:pt idx="43">
                  <c:v>21217.948717948719</c:v>
                </c:pt>
                <c:pt idx="44">
                  <c:v>21502.564102564102</c:v>
                </c:pt>
                <c:pt idx="45">
                  <c:v>21876.923076923078</c:v>
                </c:pt>
                <c:pt idx="46">
                  <c:v>22035.897435897437</c:v>
                </c:pt>
                <c:pt idx="47">
                  <c:v>22346.153846153848</c:v>
                </c:pt>
                <c:pt idx="48">
                  <c:v>22623.076923076922</c:v>
                </c:pt>
                <c:pt idx="49">
                  <c:v>22751.282051282051</c:v>
                </c:pt>
                <c:pt idx="50">
                  <c:v>23115.384615384617</c:v>
                </c:pt>
                <c:pt idx="51">
                  <c:v>23258.974358974359</c:v>
                </c:pt>
                <c:pt idx="52">
                  <c:v>23464.102564102563</c:v>
                </c:pt>
                <c:pt idx="53">
                  <c:v>23787.179487179488</c:v>
                </c:pt>
                <c:pt idx="54">
                  <c:v>24215.384615384617</c:v>
                </c:pt>
                <c:pt idx="55">
                  <c:v>24587.179487179488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compute!$I$5:$I$10042</c:f>
              <c:numCache>
                <c:formatCode>#,##0</c:formatCode>
                <c:ptCount val="10038"/>
                <c:pt idx="0">
                  <c:v>173.21937321937321</c:v>
                </c:pt>
                <c:pt idx="1">
                  <c:v>223.36182336182344</c:v>
                </c:pt>
                <c:pt idx="2">
                  <c:v>291.73789173789169</c:v>
                </c:pt>
                <c:pt idx="3">
                  <c:v>393.16239316239319</c:v>
                </c:pt>
                <c:pt idx="4">
                  <c:v>528.77492877492864</c:v>
                </c:pt>
                <c:pt idx="5">
                  <c:v>687.1794871794873</c:v>
                </c:pt>
                <c:pt idx="6">
                  <c:v>925.35612535612518</c:v>
                </c:pt>
                <c:pt idx="7">
                  <c:v>1060.968660968661</c:v>
                </c:pt>
                <c:pt idx="8">
                  <c:v>1343.5897435897441</c:v>
                </c:pt>
                <c:pt idx="9">
                  <c:v>1562.3931623931621</c:v>
                </c:pt>
                <c:pt idx="10">
                  <c:v>1911.1111111111113</c:v>
                </c:pt>
                <c:pt idx="11">
                  <c:v>2232.4786324786328</c:v>
                </c:pt>
                <c:pt idx="12">
                  <c:v>2610.8262108262097</c:v>
                </c:pt>
                <c:pt idx="13">
                  <c:v>2804.5584045584055</c:v>
                </c:pt>
                <c:pt idx="14">
                  <c:v>3193.1623931623926</c:v>
                </c:pt>
                <c:pt idx="15">
                  <c:v>3532.7635327635335</c:v>
                </c:pt>
                <c:pt idx="16">
                  <c:v>3780.0569800569792</c:v>
                </c:pt>
                <c:pt idx="17">
                  <c:v>4087.7492877492878</c:v>
                </c:pt>
                <c:pt idx="18">
                  <c:v>4348.7179487179492</c:v>
                </c:pt>
                <c:pt idx="19">
                  <c:v>4662.1082621082624</c:v>
                </c:pt>
                <c:pt idx="20">
                  <c:v>4869.5156695156693</c:v>
                </c:pt>
                <c:pt idx="21">
                  <c:v>5113.3903133903132</c:v>
                </c:pt>
                <c:pt idx="22">
                  <c:v>5296.8660968660952</c:v>
                </c:pt>
                <c:pt idx="23">
                  <c:v>5535.0427350427362</c:v>
                </c:pt>
                <c:pt idx="24">
                  <c:v>5718.5185185185201</c:v>
                </c:pt>
                <c:pt idx="25">
                  <c:v>6068.3760683760684</c:v>
                </c:pt>
                <c:pt idx="26">
                  <c:v>6237.0370370370347</c:v>
                </c:pt>
                <c:pt idx="27">
                  <c:v>6433.0484330484342</c:v>
                </c:pt>
                <c:pt idx="28">
                  <c:v>6668.9458689458679</c:v>
                </c:pt>
                <c:pt idx="29">
                  <c:v>6910.5413105413099</c:v>
                </c:pt>
                <c:pt idx="30">
                  <c:v>7096.2962962962974</c:v>
                </c:pt>
                <c:pt idx="31">
                  <c:v>7308.2621082621081</c:v>
                </c:pt>
                <c:pt idx="32">
                  <c:v>7587.464387464388</c:v>
                </c:pt>
                <c:pt idx="33">
                  <c:v>7646.7236467236435</c:v>
                </c:pt>
                <c:pt idx="34">
                  <c:v>7978.3475783475806</c:v>
                </c:pt>
                <c:pt idx="35">
                  <c:v>8158.4045584045562</c:v>
                </c:pt>
                <c:pt idx="36">
                  <c:v>8392.0227920227917</c:v>
                </c:pt>
                <c:pt idx="37">
                  <c:v>8453.5612535612527</c:v>
                </c:pt>
                <c:pt idx="38">
                  <c:v>8535.612535612534</c:v>
                </c:pt>
                <c:pt idx="39">
                  <c:v>8757.8347578347566</c:v>
                </c:pt>
                <c:pt idx="40">
                  <c:v>8929.9145299145312</c:v>
                </c:pt>
                <c:pt idx="41">
                  <c:v>9034.7578347578346</c:v>
                </c:pt>
                <c:pt idx="42">
                  <c:v>9305.9829059829062</c:v>
                </c:pt>
                <c:pt idx="43">
                  <c:v>9430.1994301994309</c:v>
                </c:pt>
                <c:pt idx="44">
                  <c:v>9556.6951566951575</c:v>
                </c:pt>
                <c:pt idx="45">
                  <c:v>9723.076923076922</c:v>
                </c:pt>
                <c:pt idx="46">
                  <c:v>9793.732193732194</c:v>
                </c:pt>
                <c:pt idx="47">
                  <c:v>9931.6239316239298</c:v>
                </c:pt>
                <c:pt idx="48">
                  <c:v>10054.700854700855</c:v>
                </c:pt>
                <c:pt idx="49">
                  <c:v>10111.680911680913</c:v>
                </c:pt>
                <c:pt idx="50">
                  <c:v>10273.504273504273</c:v>
                </c:pt>
                <c:pt idx="51">
                  <c:v>10337.32193732194</c:v>
                </c:pt>
                <c:pt idx="52">
                  <c:v>10428.490028490029</c:v>
                </c:pt>
                <c:pt idx="53">
                  <c:v>10572.079772079775</c:v>
                </c:pt>
                <c:pt idx="54">
                  <c:v>10762.393162393164</c:v>
                </c:pt>
                <c:pt idx="55">
                  <c:v>10927.635327635329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compute!$F$5:$F$10042</c:f>
              <c:numCache>
                <c:formatCode>#,##0</c:formatCode>
                <c:ptCount val="10038"/>
                <c:pt idx="0">
                  <c:v>460.60606060606062</c:v>
                </c:pt>
                <c:pt idx="1">
                  <c:v>593.93939393939399</c:v>
                </c:pt>
                <c:pt idx="2">
                  <c:v>775.75757575757575</c:v>
                </c:pt>
                <c:pt idx="3">
                  <c:v>1045.4545454545455</c:v>
                </c:pt>
                <c:pt idx="4">
                  <c:v>1406.060606060606</c:v>
                </c:pt>
                <c:pt idx="5">
                  <c:v>1827.2727272727273</c:v>
                </c:pt>
                <c:pt idx="6">
                  <c:v>2460.6060606060605</c:v>
                </c:pt>
                <c:pt idx="7">
                  <c:v>2821.212121212121</c:v>
                </c:pt>
                <c:pt idx="8">
                  <c:v>3572.7272727272725</c:v>
                </c:pt>
                <c:pt idx="9">
                  <c:v>4154.545454545455</c:v>
                </c:pt>
                <c:pt idx="10">
                  <c:v>5081.818181818182</c:v>
                </c:pt>
                <c:pt idx="11">
                  <c:v>5936.363636363636</c:v>
                </c:pt>
                <c:pt idx="12">
                  <c:v>6942.424242424242</c:v>
                </c:pt>
                <c:pt idx="13">
                  <c:v>7457.575757575758</c:v>
                </c:pt>
                <c:pt idx="14">
                  <c:v>8490.9090909090901</c:v>
                </c:pt>
                <c:pt idx="15">
                  <c:v>9393.939393939394</c:v>
                </c:pt>
                <c:pt idx="16">
                  <c:v>10051.515151515152</c:v>
                </c:pt>
                <c:pt idx="17">
                  <c:v>10869.69696969697</c:v>
                </c:pt>
                <c:pt idx="18">
                  <c:v>11563.636363636364</c:v>
                </c:pt>
                <c:pt idx="19">
                  <c:v>12396.969696969696</c:v>
                </c:pt>
                <c:pt idx="20">
                  <c:v>12948.484848484848</c:v>
                </c:pt>
                <c:pt idx="21">
                  <c:v>13596.969696969696</c:v>
                </c:pt>
                <c:pt idx="22">
                  <c:v>14084.848484848484</c:v>
                </c:pt>
                <c:pt idx="23">
                  <c:v>14718.181818181818</c:v>
                </c:pt>
                <c:pt idx="24">
                  <c:v>15206.060606060606</c:v>
                </c:pt>
                <c:pt idx="25">
                  <c:v>16136.363636363636</c:v>
                </c:pt>
                <c:pt idx="26">
                  <c:v>16584.848484848484</c:v>
                </c:pt>
                <c:pt idx="27">
                  <c:v>17106.060606060608</c:v>
                </c:pt>
                <c:pt idx="28">
                  <c:v>17733.333333333332</c:v>
                </c:pt>
                <c:pt idx="29">
                  <c:v>18375.757575757576</c:v>
                </c:pt>
                <c:pt idx="30">
                  <c:v>18869.696969696968</c:v>
                </c:pt>
                <c:pt idx="31">
                  <c:v>19433.333333333332</c:v>
                </c:pt>
                <c:pt idx="32">
                  <c:v>20175.757575757576</c:v>
                </c:pt>
                <c:pt idx="33">
                  <c:v>20333.333333333332</c:v>
                </c:pt>
                <c:pt idx="34">
                  <c:v>21215.151515151516</c:v>
                </c:pt>
                <c:pt idx="35">
                  <c:v>21693.939393939392</c:v>
                </c:pt>
                <c:pt idx="36">
                  <c:v>22315.151515151516</c:v>
                </c:pt>
                <c:pt idx="37">
                  <c:v>22478.78787878788</c:v>
                </c:pt>
                <c:pt idx="38">
                  <c:v>22696.969696969696</c:v>
                </c:pt>
                <c:pt idx="39">
                  <c:v>23287.878787878788</c:v>
                </c:pt>
                <c:pt idx="40">
                  <c:v>23745.454545454544</c:v>
                </c:pt>
                <c:pt idx="41">
                  <c:v>24024.242424242424</c:v>
                </c:pt>
                <c:pt idx="42">
                  <c:v>24745.454545454544</c:v>
                </c:pt>
                <c:pt idx="43">
                  <c:v>25075.757575757576</c:v>
                </c:pt>
                <c:pt idx="44">
                  <c:v>25412.121212121212</c:v>
                </c:pt>
                <c:pt idx="45">
                  <c:v>25854.545454545456</c:v>
                </c:pt>
                <c:pt idx="46">
                  <c:v>26042.424242424244</c:v>
                </c:pt>
                <c:pt idx="47">
                  <c:v>26409.090909090908</c:v>
                </c:pt>
                <c:pt idx="48">
                  <c:v>26736.363636363636</c:v>
                </c:pt>
                <c:pt idx="49">
                  <c:v>26887.878787878788</c:v>
                </c:pt>
                <c:pt idx="50">
                  <c:v>27318.18181818182</c:v>
                </c:pt>
                <c:pt idx="51">
                  <c:v>27487.878787878788</c:v>
                </c:pt>
                <c:pt idx="52">
                  <c:v>27730.303030303032</c:v>
                </c:pt>
                <c:pt idx="53">
                  <c:v>28112.121212121212</c:v>
                </c:pt>
                <c:pt idx="54">
                  <c:v>28618.18181818182</c:v>
                </c:pt>
                <c:pt idx="55">
                  <c:v>29057.575757575756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3507273455225"/>
          <c:y val="0.14745762711864407"/>
          <c:w val="0.84580221540104106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compute!$L$5:$L$60</c:f>
              <c:numCache>
                <c:formatCode>0.0%</c:formatCode>
                <c:ptCount val="56"/>
                <c:pt idx="0">
                  <c:v>8.2763219981480632E-4</c:v>
                </c:pt>
                <c:pt idx="1">
                  <c:v>1.0672099418664609E-3</c:v>
                </c:pt>
                <c:pt idx="2">
                  <c:v>1.3939068628459898E-3</c:v>
                </c:pt>
                <c:pt idx="3">
                  <c:v>1.878507295632291E-3</c:v>
                </c:pt>
                <c:pt idx="4">
                  <c:v>2.5264561889083567E-3</c:v>
                </c:pt>
                <c:pt idx="5">
                  <c:v>3.2833040558442649E-3</c:v>
                </c:pt>
                <c:pt idx="6">
                  <c:v>4.421298330589624E-3</c:v>
                </c:pt>
                <c:pt idx="7">
                  <c:v>5.0692472238656897E-3</c:v>
                </c:pt>
                <c:pt idx="8">
                  <c:v>6.4195944972477411E-3</c:v>
                </c:pt>
                <c:pt idx="9">
                  <c:v>7.465024644382234E-3</c:v>
                </c:pt>
                <c:pt idx="10">
                  <c:v>9.1311789413778318E-3</c:v>
                </c:pt>
                <c:pt idx="11">
                  <c:v>1.0666654469981615E-2</c:v>
                </c:pt>
                <c:pt idx="12">
                  <c:v>1.2474377432735011E-2</c:v>
                </c:pt>
                <c:pt idx="13">
                  <c:v>1.3400018708843674E-2</c:v>
                </c:pt>
                <c:pt idx="14">
                  <c:v>1.5256746209743998E-2</c:v>
                </c:pt>
                <c:pt idx="15">
                  <c:v>1.6879340917275654E-2</c:v>
                </c:pt>
                <c:pt idx="16">
                  <c:v>1.8060894781484954E-2</c:v>
                </c:pt>
                <c:pt idx="17">
                  <c:v>1.9531030925892832E-2</c:v>
                </c:pt>
                <c:pt idx="18">
                  <c:v>2.0777924174298034E-2</c:v>
                </c:pt>
                <c:pt idx="19">
                  <c:v>2.2275285062120877E-2</c:v>
                </c:pt>
                <c:pt idx="20">
                  <c:v>2.3266265722425444E-2</c:v>
                </c:pt>
                <c:pt idx="21">
                  <c:v>2.4431484740585766E-2</c:v>
                </c:pt>
                <c:pt idx="22">
                  <c:v>2.5308121478547503E-2</c:v>
                </c:pt>
                <c:pt idx="23">
                  <c:v>2.6446115753292861E-2</c:v>
                </c:pt>
                <c:pt idx="24">
                  <c:v>2.7322752491254595E-2</c:v>
                </c:pt>
                <c:pt idx="25">
                  <c:v>2.8994351736933186E-2</c:v>
                </c:pt>
                <c:pt idx="26">
                  <c:v>2.9800204142016024E-2</c:v>
                </c:pt>
                <c:pt idx="27">
                  <c:v>3.0736735315490673E-2</c:v>
                </c:pt>
                <c:pt idx="28">
                  <c:v>3.1863839692870044E-2</c:v>
                </c:pt>
                <c:pt idx="29">
                  <c:v>3.3018168813664379E-2</c:v>
                </c:pt>
                <c:pt idx="30">
                  <c:v>3.39056954489921E-2</c:v>
                </c:pt>
                <c:pt idx="31">
                  <c:v>3.4918455904028638E-2</c:v>
                </c:pt>
                <c:pt idx="32">
                  <c:v>3.6252468331361719E-2</c:v>
                </c:pt>
                <c:pt idx="33">
                  <c:v>3.6535605662877314E-2</c:v>
                </c:pt>
                <c:pt idx="34">
                  <c:v>3.8120085729628023E-2</c:v>
                </c:pt>
                <c:pt idx="35">
                  <c:v>3.8980387621540789E-2</c:v>
                </c:pt>
                <c:pt idx="36">
                  <c:v>4.009660210155417E-2</c:v>
                </c:pt>
                <c:pt idx="37">
                  <c:v>4.0390629330435752E-2</c:v>
                </c:pt>
                <c:pt idx="38">
                  <c:v>4.0782665635611184E-2</c:v>
                </c:pt>
                <c:pt idx="39">
                  <c:v>4.1844430628794657E-2</c:v>
                </c:pt>
                <c:pt idx="40">
                  <c:v>4.2666617879926462E-2</c:v>
                </c:pt>
                <c:pt idx="41">
                  <c:v>4.3167553158761744E-2</c:v>
                </c:pt>
                <c:pt idx="42">
                  <c:v>4.4463450945313877E-2</c:v>
                </c:pt>
                <c:pt idx="43">
                  <c:v>4.5056950351760022E-2</c:v>
                </c:pt>
                <c:pt idx="44">
                  <c:v>4.5661339655572147E-2</c:v>
                </c:pt>
                <c:pt idx="45">
                  <c:v>4.6456302163289005E-2</c:v>
                </c:pt>
                <c:pt idx="46">
                  <c:v>4.6793888981634515E-2</c:v>
                </c:pt>
                <c:pt idx="47">
                  <c:v>4.7452727772276569E-2</c:v>
                </c:pt>
                <c:pt idx="48">
                  <c:v>4.8040782230039714E-2</c:v>
                </c:pt>
                <c:pt idx="49">
                  <c:v>4.8313029664189322E-2</c:v>
                </c:pt>
                <c:pt idx="50">
                  <c:v>4.9086212377174213E-2</c:v>
                </c:pt>
                <c:pt idx="51">
                  <c:v>4.9391129503421768E-2</c:v>
                </c:pt>
                <c:pt idx="52">
                  <c:v>4.9826725398061135E-2</c:v>
                </c:pt>
                <c:pt idx="53">
                  <c:v>5.0512788932118156E-2</c:v>
                </c:pt>
                <c:pt idx="54">
                  <c:v>5.1422095362177844E-2</c:v>
                </c:pt>
                <c:pt idx="55">
                  <c:v>5.2211612921211702E-2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compute!$N$5:$N$60</c:f>
              <c:numCache>
                <c:formatCode>0.00%</c:formatCode>
                <c:ptCount val="56"/>
                <c:pt idx="0">
                  <c:v>3.6783653325102512E-4</c:v>
                </c:pt>
                <c:pt idx="1">
                  <c:v>4.7431552971842722E-4</c:v>
                </c:pt>
                <c:pt idx="2">
                  <c:v>6.1951416126488409E-4</c:v>
                </c:pt>
                <c:pt idx="3">
                  <c:v>8.3489213139212922E-4</c:v>
                </c:pt>
                <c:pt idx="4">
                  <c:v>1.1228694172926027E-3</c:v>
                </c:pt>
                <c:pt idx="5">
                  <c:v>1.4592462470418956E-3</c:v>
                </c:pt>
                <c:pt idx="6">
                  <c:v>1.9650214802620549E-3</c:v>
                </c:pt>
                <c:pt idx="7">
                  <c:v>2.2529987661625284E-3</c:v>
                </c:pt>
                <c:pt idx="8">
                  <c:v>2.8531531098878868E-3</c:v>
                </c:pt>
                <c:pt idx="9">
                  <c:v>3.3177887308365479E-3</c:v>
                </c:pt>
                <c:pt idx="10">
                  <c:v>4.0583017517234806E-3</c:v>
                </c:pt>
                <c:pt idx="11">
                  <c:v>4.740735319991831E-3</c:v>
                </c:pt>
                <c:pt idx="12">
                  <c:v>5.5441677478822223E-3</c:v>
                </c:pt>
                <c:pt idx="13">
                  <c:v>5.9555638705971921E-3</c:v>
                </c:pt>
                <c:pt idx="14">
                  <c:v>6.7807760932195524E-3</c:v>
                </c:pt>
                <c:pt idx="15">
                  <c:v>7.5019292965669629E-3</c:v>
                </c:pt>
                <c:pt idx="16">
                  <c:v>8.0270643473266436E-3</c:v>
                </c:pt>
                <c:pt idx="17">
                  <c:v>8.6804581892857002E-3</c:v>
                </c:pt>
                <c:pt idx="18">
                  <c:v>9.2346329663546833E-3</c:v>
                </c:pt>
                <c:pt idx="19">
                  <c:v>9.9001266942759444E-3</c:v>
                </c:pt>
                <c:pt idx="20">
                  <c:v>1.0340562543300198E-2</c:v>
                </c:pt>
                <c:pt idx="21">
                  <c:v>1.0858437662482564E-2</c:v>
                </c:pt>
                <c:pt idx="22">
                  <c:v>1.1248053990465551E-2</c:v>
                </c:pt>
                <c:pt idx="23">
                  <c:v>1.175382922368572E-2</c:v>
                </c:pt>
                <c:pt idx="24">
                  <c:v>1.214344555166871E-2</c:v>
                </c:pt>
                <c:pt idx="25">
                  <c:v>1.2886378549748081E-2</c:v>
                </c:pt>
                <c:pt idx="26">
                  <c:v>1.3244535174229338E-2</c:v>
                </c:pt>
                <c:pt idx="27">
                  <c:v>1.3660771251329192E-2</c:v>
                </c:pt>
                <c:pt idx="28">
                  <c:v>1.4161706530164464E-2</c:v>
                </c:pt>
                <c:pt idx="29">
                  <c:v>1.4674741694961947E-2</c:v>
                </c:pt>
                <c:pt idx="30">
                  <c:v>1.5069197977329828E-2</c:v>
                </c:pt>
                <c:pt idx="31">
                  <c:v>1.5519313735123844E-2</c:v>
                </c:pt>
                <c:pt idx="32">
                  <c:v>1.6112208147271871E-2</c:v>
                </c:pt>
                <c:pt idx="33">
                  <c:v>1.6238046961278799E-2</c:v>
                </c:pt>
                <c:pt idx="34">
                  <c:v>1.6942260324279125E-2</c:v>
                </c:pt>
                <c:pt idx="35">
                  <c:v>1.7324616720684784E-2</c:v>
                </c:pt>
                <c:pt idx="36">
                  <c:v>1.782071204513519E-2</c:v>
                </c:pt>
                <c:pt idx="37">
                  <c:v>1.7951390813526993E-2</c:v>
                </c:pt>
                <c:pt idx="38">
                  <c:v>1.8125629171382746E-2</c:v>
                </c:pt>
                <c:pt idx="39">
                  <c:v>1.8597524723908729E-2</c:v>
                </c:pt>
                <c:pt idx="40">
                  <c:v>1.8962941279967324E-2</c:v>
                </c:pt>
                <c:pt idx="41">
                  <c:v>1.9185579181671887E-2</c:v>
                </c:pt>
                <c:pt idx="42">
                  <c:v>1.9761533753472831E-2</c:v>
                </c:pt>
                <c:pt idx="43">
                  <c:v>2.00253112674489E-2</c:v>
                </c:pt>
                <c:pt idx="44">
                  <c:v>2.0293928735809846E-2</c:v>
                </c:pt>
                <c:pt idx="45">
                  <c:v>2.0647245405906213E-2</c:v>
                </c:pt>
                <c:pt idx="46">
                  <c:v>2.079728399183757E-2</c:v>
                </c:pt>
                <c:pt idx="47">
                  <c:v>2.1090101232122911E-2</c:v>
                </c:pt>
                <c:pt idx="48">
                  <c:v>2.1351458768906539E-2</c:v>
                </c:pt>
                <c:pt idx="49">
                  <c:v>2.1472457628528591E-2</c:v>
                </c:pt>
                <c:pt idx="50">
                  <c:v>2.1816094389855198E-2</c:v>
                </c:pt>
                <c:pt idx="51">
                  <c:v>2.1951613112631899E-2</c:v>
                </c:pt>
                <c:pt idx="52">
                  <c:v>2.2145211288027176E-2</c:v>
                </c:pt>
                <c:pt idx="53">
                  <c:v>2.2450128414274732E-2</c:v>
                </c:pt>
                <c:pt idx="54">
                  <c:v>2.2854264605412372E-2</c:v>
                </c:pt>
                <c:pt idx="55">
                  <c:v>2.3205161298316311E-2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compute!$K$5:$K$60</c:f>
              <c:numCache>
                <c:formatCode>0.0%</c:formatCode>
                <c:ptCount val="56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compute!$Q$5:$Q$10042</c:f>
              <c:numCache>
                <c:formatCode>0</c:formatCode>
                <c:ptCount val="10038"/>
                <c:pt idx="0">
                  <c:v>442.58834586466168</c:v>
                </c:pt>
                <c:pt idx="1">
                  <c:v>343.23177842565599</c:v>
                </c:pt>
                <c:pt idx="2">
                  <c:v>262.78683035714283</c:v>
                </c:pt>
                <c:pt idx="3">
                  <c:v>194.99544513457556</c:v>
                </c:pt>
                <c:pt idx="4">
                  <c:v>144.98583743842366</c:v>
                </c:pt>
                <c:pt idx="5">
                  <c:v>111.56455816157309</c:v>
                </c:pt>
                <c:pt idx="6">
                  <c:v>82.849049964813517</c:v>
                </c:pt>
                <c:pt idx="7">
                  <c:v>72.259321773822307</c:v>
                </c:pt>
                <c:pt idx="8">
                  <c:v>57.059735853628986</c:v>
                </c:pt>
                <c:pt idx="9">
                  <c:v>49.068875690319892</c:v>
                </c:pt>
                <c:pt idx="10">
                  <c:v>40.115342022318764</c:v>
                </c:pt>
                <c:pt idx="11">
                  <c:v>34.340698607161087</c:v>
                </c:pt>
                <c:pt idx="12">
                  <c:v>29.364220240693395</c:v>
                </c:pt>
                <c:pt idx="13">
                  <c:v>27.335810065594707</c:v>
                </c:pt>
                <c:pt idx="14">
                  <c:v>24.009075150402772</c:v>
                </c:pt>
                <c:pt idx="15">
                  <c:v>21.701105990783411</c:v>
                </c:pt>
                <c:pt idx="16">
                  <c:v>20.281407468021879</c:v>
                </c:pt>
                <c:pt idx="17">
                  <c:v>18.754789119439245</c:v>
                </c:pt>
                <c:pt idx="18">
                  <c:v>17.629305181191974</c:v>
                </c:pt>
                <c:pt idx="19">
                  <c:v>16.444250445228203</c:v>
                </c:pt>
                <c:pt idx="20">
                  <c:v>15.743840058841229</c:v>
                </c:pt>
                <c:pt idx="21">
                  <c:v>14.992963800184661</c:v>
                </c:pt>
                <c:pt idx="22">
                  <c:v>14.473629210720432</c:v>
                </c:pt>
                <c:pt idx="23">
                  <c:v>13.850819141739462</c:v>
                </c:pt>
                <c:pt idx="24">
                  <c:v>13.40642259295109</c:v>
                </c:pt>
                <c:pt idx="25">
                  <c:v>12.633507712944333</c:v>
                </c:pt>
                <c:pt idx="26">
                  <c:v>12.29187439638746</c:v>
                </c:pt>
                <c:pt idx="27">
                  <c:v>11.91734784259142</c:v>
                </c:pt>
                <c:pt idx="28">
                  <c:v>11.495801191289914</c:v>
                </c:pt>
                <c:pt idx="29">
                  <c:v>11.093903128533736</c:v>
                </c:pt>
                <c:pt idx="30">
                  <c:v>10.803505471563927</c:v>
                </c:pt>
                <c:pt idx="31">
                  <c:v>10.490165066494397</c:v>
                </c:pt>
                <c:pt idx="32">
                  <c:v>10.104149680298674</c:v>
                </c:pt>
                <c:pt idx="33">
                  <c:v>10.025846284862679</c:v>
                </c:pt>
                <c:pt idx="34">
                  <c:v>9.6091170649090945</c:v>
                </c:pt>
                <c:pt idx="35">
                  <c:v>9.3970426835352097</c:v>
                </c:pt>
                <c:pt idx="36">
                  <c:v>9.13544657406689</c:v>
                </c:pt>
                <c:pt idx="37">
                  <c:v>9.0689442668412745</c:v>
                </c:pt>
                <c:pt idx="38">
                  <c:v>8.9817661644096898</c:v>
                </c:pt>
                <c:pt idx="39">
                  <c:v>8.7538618830746344</c:v>
                </c:pt>
                <c:pt idx="40">
                  <c:v>8.5851746517902718</c:v>
                </c:pt>
                <c:pt idx="41">
                  <c:v>8.4855485080005764</c:v>
                </c:pt>
                <c:pt idx="42">
                  <c:v>8.2382351912109435</c:v>
                </c:pt>
                <c:pt idx="43">
                  <c:v>8.1297194648252056</c:v>
                </c:pt>
                <c:pt idx="44">
                  <c:v>8.0221116827365329</c:v>
                </c:pt>
                <c:pt idx="45">
                  <c:v>7.8848369164824863</c:v>
                </c:pt>
                <c:pt idx="46">
                  <c:v>7.8279530569500313</c:v>
                </c:pt>
                <c:pt idx="47">
                  <c:v>7.7192689123842309</c:v>
                </c:pt>
                <c:pt idx="48">
                  <c:v>7.6247793915253963</c:v>
                </c:pt>
                <c:pt idx="49">
                  <c:v>7.5818132053903495</c:v>
                </c:pt>
                <c:pt idx="50">
                  <c:v>7.462388083353142</c:v>
                </c:pt>
                <c:pt idx="51">
                  <c:v>7.416318881206986</c:v>
                </c:pt>
                <c:pt idx="52">
                  <c:v>7.351483834709712</c:v>
                </c:pt>
                <c:pt idx="53">
                  <c:v>7.2516361508492588</c:v>
                </c:pt>
                <c:pt idx="54">
                  <c:v>7.1234041265807466</c:v>
                </c:pt>
                <c:pt idx="55">
                  <c:v>7.0156876182530574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compute!$R$5:$R$10042</c:f>
              <c:numCache>
                <c:formatCode>0</c:formatCode>
                <c:ptCount val="10038"/>
                <c:pt idx="0">
                  <c:v>177.03533834586466</c:v>
                </c:pt>
                <c:pt idx="1">
                  <c:v>137.2927113702624</c:v>
                </c:pt>
                <c:pt idx="2">
                  <c:v>105.11473214285718</c:v>
                </c:pt>
                <c:pt idx="3">
                  <c:v>77.998178053830259</c:v>
                </c:pt>
                <c:pt idx="4">
                  <c:v>57.994334975369441</c:v>
                </c:pt>
                <c:pt idx="5">
                  <c:v>44.625823264629233</c:v>
                </c:pt>
                <c:pt idx="6">
                  <c:v>33.139619985925393</c:v>
                </c:pt>
                <c:pt idx="7">
                  <c:v>28.903728709528934</c:v>
                </c:pt>
                <c:pt idx="8">
                  <c:v>22.823894341451584</c:v>
                </c:pt>
                <c:pt idx="9">
                  <c:v>19.627550276127955</c:v>
                </c:pt>
                <c:pt idx="10">
                  <c:v>16.046136808927507</c:v>
                </c:pt>
                <c:pt idx="11">
                  <c:v>13.736279442864436</c:v>
                </c:pt>
                <c:pt idx="12">
                  <c:v>11.745688096277359</c:v>
                </c:pt>
                <c:pt idx="13">
                  <c:v>10.934324026237881</c:v>
                </c:pt>
                <c:pt idx="14">
                  <c:v>9.6036300601611089</c:v>
                </c:pt>
                <c:pt idx="15">
                  <c:v>8.6804423963133637</c:v>
                </c:pt>
                <c:pt idx="16">
                  <c:v>8.1125629872087508</c:v>
                </c:pt>
                <c:pt idx="17">
                  <c:v>7.5019156477756965</c:v>
                </c:pt>
                <c:pt idx="18">
                  <c:v>7.0517220724767888</c:v>
                </c:pt>
                <c:pt idx="19">
                  <c:v>6.5777001780912805</c:v>
                </c:pt>
                <c:pt idx="20">
                  <c:v>6.297536023536491</c:v>
                </c:pt>
                <c:pt idx="21">
                  <c:v>5.9971855200738631</c:v>
                </c:pt>
                <c:pt idx="22">
                  <c:v>5.7894516842881742</c:v>
                </c:pt>
                <c:pt idx="23">
                  <c:v>5.5403276566957853</c:v>
                </c:pt>
                <c:pt idx="24">
                  <c:v>5.3625690371804371</c:v>
                </c:pt>
                <c:pt idx="25">
                  <c:v>5.0534030851777345</c:v>
                </c:pt>
                <c:pt idx="26">
                  <c:v>4.9167497585549853</c:v>
                </c:pt>
                <c:pt idx="27">
                  <c:v>4.7669391370365677</c:v>
                </c:pt>
                <c:pt idx="28">
                  <c:v>4.5983204765159655</c:v>
                </c:pt>
                <c:pt idx="29">
                  <c:v>4.4375612514134932</c:v>
                </c:pt>
                <c:pt idx="30">
                  <c:v>4.3214021886255711</c:v>
                </c:pt>
                <c:pt idx="31">
                  <c:v>4.1960660265977605</c:v>
                </c:pt>
                <c:pt idx="32">
                  <c:v>4.0416598721194692</c:v>
                </c:pt>
                <c:pt idx="33">
                  <c:v>4.0103385139450705</c:v>
                </c:pt>
                <c:pt idx="34">
                  <c:v>3.8436468259636385</c:v>
                </c:pt>
                <c:pt idx="35">
                  <c:v>3.7588170734140842</c:v>
                </c:pt>
                <c:pt idx="36">
                  <c:v>3.6541786296267542</c:v>
                </c:pt>
                <c:pt idx="37">
                  <c:v>3.6275777067365098</c:v>
                </c:pt>
                <c:pt idx="38">
                  <c:v>3.5927064657638752</c:v>
                </c:pt>
                <c:pt idx="39">
                  <c:v>3.5015447532298545</c:v>
                </c:pt>
                <c:pt idx="40">
                  <c:v>3.4340698607161091</c:v>
                </c:pt>
                <c:pt idx="41">
                  <c:v>3.3942194032002302</c:v>
                </c:pt>
                <c:pt idx="42">
                  <c:v>3.2952940764843781</c:v>
                </c:pt>
                <c:pt idx="43">
                  <c:v>3.2518877859300819</c:v>
                </c:pt>
                <c:pt idx="44">
                  <c:v>3.2088446730946139</c:v>
                </c:pt>
                <c:pt idx="45">
                  <c:v>3.1539347665929949</c:v>
                </c:pt>
                <c:pt idx="46">
                  <c:v>3.1311812227800129</c:v>
                </c:pt>
                <c:pt idx="47">
                  <c:v>3.0877075649536918</c:v>
                </c:pt>
                <c:pt idx="48">
                  <c:v>3.0499117566101583</c:v>
                </c:pt>
                <c:pt idx="49">
                  <c:v>3.0327252821561403</c:v>
                </c:pt>
                <c:pt idx="50">
                  <c:v>2.9849552333412568</c:v>
                </c:pt>
                <c:pt idx="51">
                  <c:v>2.9665275524827939</c:v>
                </c:pt>
                <c:pt idx="52">
                  <c:v>2.9405935338838836</c:v>
                </c:pt>
                <c:pt idx="53">
                  <c:v>2.9006544603397026</c:v>
                </c:pt>
                <c:pt idx="54">
                  <c:v>2.8493616506322983</c:v>
                </c:pt>
                <c:pt idx="55">
                  <c:v>2.8062750473012237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layout>
                <c:manualLayout>
                  <c:x val="-0.11623931623931637"/>
                  <c:y val="-5.7627118644067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compute!$S$5:$S$10042</c:f>
              <c:numCache>
                <c:formatCode>0</c:formatCode>
                <c:ptCount val="10038"/>
                <c:pt idx="0">
                  <c:v>531.10601503759403</c:v>
                </c:pt>
                <c:pt idx="1">
                  <c:v>411.87813411078719</c:v>
                </c:pt>
                <c:pt idx="2">
                  <c:v>315.34419642857142</c:v>
                </c:pt>
                <c:pt idx="3">
                  <c:v>233.99453416149069</c:v>
                </c:pt>
                <c:pt idx="4">
                  <c:v>173.98300492610838</c:v>
                </c:pt>
                <c:pt idx="5">
                  <c:v>133.87746979388771</c:v>
                </c:pt>
                <c:pt idx="6">
                  <c:v>99.41885995777622</c:v>
                </c:pt>
                <c:pt idx="7">
                  <c:v>86.711186128586775</c:v>
                </c:pt>
                <c:pt idx="8">
                  <c:v>68.471683024354775</c:v>
                </c:pt>
                <c:pt idx="9">
                  <c:v>58.882650828383873</c:v>
                </c:pt>
                <c:pt idx="10">
                  <c:v>48.138410426782514</c:v>
                </c:pt>
                <c:pt idx="11">
                  <c:v>41.208838328593302</c:v>
                </c:pt>
                <c:pt idx="12">
                  <c:v>35.237064288832073</c:v>
                </c:pt>
                <c:pt idx="13">
                  <c:v>32.802972078713651</c:v>
                </c:pt>
                <c:pt idx="14">
                  <c:v>28.810890180483327</c:v>
                </c:pt>
                <c:pt idx="15">
                  <c:v>26.041327188940095</c:v>
                </c:pt>
                <c:pt idx="16">
                  <c:v>24.337688961626256</c:v>
                </c:pt>
                <c:pt idx="17">
                  <c:v>22.505746943327093</c:v>
                </c:pt>
                <c:pt idx="18">
                  <c:v>21.15516621743037</c:v>
                </c:pt>
                <c:pt idx="19">
                  <c:v>19.733100534273845</c:v>
                </c:pt>
                <c:pt idx="20">
                  <c:v>18.892608070609477</c:v>
                </c:pt>
                <c:pt idx="21">
                  <c:v>17.991556560221593</c:v>
                </c:pt>
                <c:pt idx="22">
                  <c:v>17.368355052864519</c:v>
                </c:pt>
                <c:pt idx="23">
                  <c:v>16.620982970087354</c:v>
                </c:pt>
                <c:pt idx="24">
                  <c:v>16.08770711154131</c:v>
                </c:pt>
                <c:pt idx="25">
                  <c:v>15.1602092555332</c:v>
                </c:pt>
                <c:pt idx="26">
                  <c:v>14.750249275664952</c:v>
                </c:pt>
                <c:pt idx="27">
                  <c:v>14.300817411109705</c:v>
                </c:pt>
                <c:pt idx="28">
                  <c:v>13.794961429547897</c:v>
                </c:pt>
                <c:pt idx="29">
                  <c:v>13.312683754240481</c:v>
                </c:pt>
                <c:pt idx="30">
                  <c:v>12.964206565876712</c:v>
                </c:pt>
                <c:pt idx="31">
                  <c:v>12.588198079793276</c:v>
                </c:pt>
                <c:pt idx="32">
                  <c:v>12.124979616358409</c:v>
                </c:pt>
                <c:pt idx="33">
                  <c:v>12.031015541835213</c:v>
                </c:pt>
                <c:pt idx="34">
                  <c:v>11.530940477890914</c:v>
                </c:pt>
                <c:pt idx="35">
                  <c:v>11.276451220242251</c:v>
                </c:pt>
                <c:pt idx="36">
                  <c:v>10.962535888880268</c:v>
                </c:pt>
                <c:pt idx="37">
                  <c:v>10.882733120209529</c:v>
                </c:pt>
                <c:pt idx="38">
                  <c:v>10.778119397291627</c:v>
                </c:pt>
                <c:pt idx="39">
                  <c:v>10.504634259689562</c:v>
                </c:pt>
                <c:pt idx="40">
                  <c:v>10.302209582148325</c:v>
                </c:pt>
                <c:pt idx="41">
                  <c:v>10.182658209600692</c:v>
                </c:pt>
                <c:pt idx="42">
                  <c:v>9.8858822294531326</c:v>
                </c:pt>
                <c:pt idx="43">
                  <c:v>9.7556633577902474</c:v>
                </c:pt>
                <c:pt idx="44">
                  <c:v>9.6265340192838398</c:v>
                </c:pt>
                <c:pt idx="45">
                  <c:v>9.4618042997789829</c:v>
                </c:pt>
                <c:pt idx="46">
                  <c:v>9.3935436683400368</c:v>
                </c:pt>
                <c:pt idx="47">
                  <c:v>9.2631226948610763</c:v>
                </c:pt>
                <c:pt idx="48">
                  <c:v>9.1497352698304759</c:v>
                </c:pt>
                <c:pt idx="49">
                  <c:v>9.0981758464684201</c:v>
                </c:pt>
                <c:pt idx="50">
                  <c:v>8.9548657000237704</c:v>
                </c:pt>
                <c:pt idx="51">
                  <c:v>8.8995826574483825</c:v>
                </c:pt>
                <c:pt idx="52">
                  <c:v>8.8217806016516533</c:v>
                </c:pt>
                <c:pt idx="53">
                  <c:v>8.7019633810191106</c:v>
                </c:pt>
                <c:pt idx="54">
                  <c:v>8.5480849518968967</c:v>
                </c:pt>
                <c:pt idx="55">
                  <c:v>8.4188251419036693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compute!$C$5:$C$61</c:f>
              <c:numCache>
                <c:formatCode>0.0%</c:formatCode>
                <c:ptCount val="57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compute!$C$5:$C$61</c:f>
              <c:numCache>
                <c:formatCode>0.0%</c:formatCode>
                <c:ptCount val="57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compute!$K$5:$K$60</c:f>
              <c:numCache>
                <c:formatCode>0.0%</c:formatCode>
                <c:ptCount val="56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4 - 10</c:v>
                </c:pt>
                <c:pt idx="1">
                  <c:v>May 11 - 17</c:v>
                </c:pt>
              </c:strCache>
            </c:strRef>
          </c:cat>
          <c:val>
            <c:numRef>
              <c:f>'Two-Weeks'!$M$7:$M$8</c:f>
              <c:numCache>
                <c:formatCode>General</c:formatCode>
                <c:ptCount val="2"/>
                <c:pt idx="0">
                  <c:v>895</c:v>
                </c:pt>
                <c:pt idx="1">
                  <c:v>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1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1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1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17,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0.2773</cdr:x>
      <cdr:y>0.2845</cdr:y>
    </cdr:from>
    <cdr:to>
      <cdr:x>0.78069</cdr:x>
      <cdr:y>0.4322</cdr:y>
    </cdr:to>
    <cdr:sp macro="" textlink="compute!$V$7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60214" y="2131770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having been infected with SARS-CoV-2 is currently estimated to be around one in 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0.71309</cdr:x>
      <cdr:y>0.79667</cdr:y>
    </cdr:from>
    <cdr:to>
      <cdr:x>0.83978</cdr:x>
      <cdr:y>0.82881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302299" y="6016456"/>
          <a:ext cx="942022" cy="2427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1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1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1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61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61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60" totalsRowShown="0" headerRowDxfId="23" dataDxfId="22" headerRowCellStyle="Heading 3">
  <autoFilter ref="A4:V60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6" sqref="O2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K30" sqref="K30"/>
    </sheetView>
  </sheetViews>
  <sheetFormatPr baseColWidth="10" defaultRowHeight="16" x14ac:dyDescent="0.2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zoomScaleNormal="100" workbookViewId="0">
      <selection activeCell="L17" sqref="L17"/>
    </sheetView>
  </sheetViews>
  <sheetFormatPr baseColWidth="10" defaultRowHeight="16" x14ac:dyDescent="0.2"/>
  <cols>
    <col min="12" max="12" width="16.1640625" customWidth="1"/>
  </cols>
  <sheetData>
    <row r="7" spans="12:13" x14ac:dyDescent="0.2">
      <c r="L7" s="33" t="s">
        <v>63</v>
      </c>
      <c r="M7">
        <f>compute!B53-compute!B46</f>
        <v>895</v>
      </c>
    </row>
    <row r="8" spans="12:13" x14ac:dyDescent="0.2">
      <c r="L8" s="33" t="s">
        <v>64</v>
      </c>
      <c r="M8">
        <f>compute!B60-compute!B53</f>
        <v>766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compute!U9</f>
        <v>9589</v>
      </c>
      <c r="D6" s="24"/>
      <c r="E6" s="17"/>
      <c r="F6" s="18"/>
      <c r="G6" s="82">
        <f ca="1">compute!U12</f>
        <v>29057.575757575756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compute!V73</f>
        <v>doubing in 45.5 days</v>
      </c>
      <c r="D8" s="44"/>
      <c r="E8" s="43"/>
      <c r="F8" s="46"/>
      <c r="G8" s="47" t="str">
        <f ca="1">compute!V75</f>
        <v>+1.5%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compute!U15</f>
        <v>6.1704633452341097E-2</v>
      </c>
      <c r="D14" s="18"/>
      <c r="E14" s="17"/>
      <c r="F14" s="18"/>
      <c r="G14" s="19">
        <f ca="1">compute!U18</f>
        <v>8.4188251419036693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77"/>
  <sheetViews>
    <sheetView tabSelected="1" workbookViewId="0">
      <selection sqref="A1:B60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 x14ac:dyDescent="0.2">
      <c r="A1" s="9" t="s">
        <v>40</v>
      </c>
      <c r="B1" s="9" t="s">
        <v>44</v>
      </c>
      <c r="C1" s="71"/>
    </row>
    <row r="2" spans="1:24" ht="17" x14ac:dyDescent="0.2">
      <c r="A2" s="9" t="s">
        <v>41</v>
      </c>
      <c r="B2" s="57">
        <v>470914</v>
      </c>
      <c r="C2" s="72"/>
    </row>
    <row r="3" spans="1:24" x14ac:dyDescent="0.2">
      <c r="A3" s="9" t="s">
        <v>43</v>
      </c>
      <c r="B3" s="12" t="s">
        <v>35</v>
      </c>
      <c r="C3" s="71"/>
    </row>
    <row r="4" spans="1:24" s="2" customFormat="1" ht="81" customHeight="1" thickBot="1" x14ac:dyDescent="0.25">
      <c r="A4" s="62" t="s">
        <v>0</v>
      </c>
      <c r="B4" s="6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 x14ac:dyDescent="0.2">
      <c r="A5" s="8">
        <v>43913</v>
      </c>
      <c r="B5" s="9">
        <v>152</v>
      </c>
      <c r="C5" s="74">
        <f>Table2[[#This Row],[cases]]/$B$2</f>
        <v>3.227765579277745E-4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460.60606060606062</v>
      </c>
      <c r="G5" s="56">
        <f>Table2[[#This Row],[cases]]*100/$T$13</f>
        <v>389.74358974358972</v>
      </c>
      <c r="H5" s="56">
        <f>Table2[[#This Row],[cases]]*100/$T$16</f>
        <v>562.96296296296293</v>
      </c>
      <c r="I5" s="56">
        <f>Table2[[#This Row],[infection count, high end of estimate range]]-Table2[[#This Row],[infection count, low end of estimate range]]</f>
        <v>173.21937321937321</v>
      </c>
      <c r="J5" s="56">
        <f>(Table2[[#This Row],[infection count, low end of estimate range]]+Table2[[#This Row],[infection count, high end of estimate range]])/2</f>
        <v>476.35327635327633</v>
      </c>
      <c r="K5" s="26">
        <f>Table2[[#This Row],[estimated infections]]/$T$6</f>
        <v>9.7811078159931665E-4</v>
      </c>
      <c r="L5" s="26">
        <f>Table2[[#This Row],[infection count, low end of estimate range]]/$T$6</f>
        <v>8.2763219981480632E-4</v>
      </c>
      <c r="M5" s="26">
        <f>Table2[[#This Row],[infection count, high end of estimate range]]/$T$6</f>
        <v>1.1954687330658314E-3</v>
      </c>
      <c r="N5" s="14">
        <f>Table2[[#This Row],[infection percentage, high end of estimate range]]-Table2[[#This Row],[infection percentage, low end of estimate range]]</f>
        <v>3.6783653325102512E-4</v>
      </c>
      <c r="O5" s="26">
        <f>(Table2[[#This Row],[infection percentage, low end of estimate range]]+Table2[[#This Row],[infection percentage, high end of estimate range]])/2</f>
        <v>1.0115504664403188E-3</v>
      </c>
      <c r="P5" s="12">
        <f>$T$6/(Table2[[#This Row],[cases]]*5)</f>
        <v>619.62368421052633</v>
      </c>
      <c r="Q5" s="12">
        <f>$T$6/(Table2[[#This Row],[cases]]*7)</f>
        <v>442.58834586466168</v>
      </c>
      <c r="R5" s="3">
        <f>Table2[[#This Row],[1-in-X odds, estimating 5x cases infected]]-Table2[[#This Row],[1-in-X odds, estimating 7x cases infected]]</f>
        <v>177.03533834586466</v>
      </c>
      <c r="S5" s="5">
        <f>(Table2[[#This Row],[1-in-X odds, estimating 5x cases infected]]+Table2[[#This Row],[1-in-X odds, estimating 7x cases infected]])/2</f>
        <v>531.10601503759403</v>
      </c>
      <c r="T5" s="11" t="s">
        <v>11</v>
      </c>
      <c r="U5" s="11" t="s">
        <v>26</v>
      </c>
      <c r="V5" s="3"/>
      <c r="X5" s="1" t="s">
        <v>46</v>
      </c>
    </row>
    <row r="6" spans="1:24" x14ac:dyDescent="0.2">
      <c r="A6" s="8">
        <v>43914</v>
      </c>
      <c r="B6" s="9">
        <v>196</v>
      </c>
      <c r="C6" s="71">
        <f>Table2[[#This Row],[cases]]/$B$2</f>
        <v>4.1621187732791972E-4</v>
      </c>
      <c r="D6" s="26">
        <f>(Table2[[#This Row],[cases]]-B5)/B5</f>
        <v>0.28947368421052633</v>
      </c>
      <c r="E6" s="38">
        <f t="shared" si="0"/>
        <v>2.7264126877891832</v>
      </c>
      <c r="F6" s="81">
        <f>Table2[[#This Row],[cases]]*100/$T$19</f>
        <v>593.93939393939399</v>
      </c>
      <c r="G6" s="56">
        <f>Table2[[#This Row],[cases]]*100/$T$13</f>
        <v>502.56410256410254</v>
      </c>
      <c r="H6" s="56">
        <f>Table2[[#This Row],[cases]]*100/$T$16</f>
        <v>725.92592592592598</v>
      </c>
      <c r="I6" s="56">
        <f>Table2[[#This Row],[infection count, high end of estimate range]]-Table2[[#This Row],[infection count, low end of estimate range]]</f>
        <v>223.36182336182344</v>
      </c>
      <c r="J6" s="56">
        <f>(Table2[[#This Row],[infection count, low end of estimate range]]+Table2[[#This Row],[infection count, high end of estimate range]])/2</f>
        <v>614.24501424501432</v>
      </c>
      <c r="K6" s="26">
        <f>Table2[[#This Row],[estimated infections]]/$T$6</f>
        <v>1.2612481131149085E-3</v>
      </c>
      <c r="L6" s="26">
        <f>Table2[[#This Row],[infection count, low end of estimate range]]/$T$6</f>
        <v>1.0672099418664609E-3</v>
      </c>
      <c r="M6" s="26">
        <f>Table2[[#This Row],[infection count, high end of estimate range]]/$T$6</f>
        <v>1.5415254715848881E-3</v>
      </c>
      <c r="N6" s="14">
        <f>Table2[[#This Row],[infection percentage, high end of estimate range]]-Table2[[#This Row],[infection percentage, low end of estimate range]]</f>
        <v>4.7431552971842722E-4</v>
      </c>
      <c r="O6" s="26">
        <f>(Table2[[#This Row],[infection percentage, low end of estimate range]]+Table2[[#This Row],[infection percentage, high end of estimate range]])/2</f>
        <v>1.3043677067256744E-3</v>
      </c>
      <c r="P6" s="12">
        <f>$T$6/(Table2[[#This Row],[cases]]*5)</f>
        <v>480.52448979591838</v>
      </c>
      <c r="Q6" s="12">
        <f>$T$6/(Table2[[#This Row],[cases]]*7)</f>
        <v>343.23177842565599</v>
      </c>
      <c r="R6" s="3">
        <f>Table2[[#This Row],[1-in-X odds, estimating 5x cases infected]]-Table2[[#This Row],[1-in-X odds, estimating 7x cases infected]]</f>
        <v>137.2927113702624</v>
      </c>
      <c r="S6" s="3">
        <f>(Table2[[#This Row],[1-in-X odds, estimating 5x cases infected]]+Table2[[#This Row],[1-in-X odds, estimating 7x cases infected]])/2</f>
        <v>411.87813411078719</v>
      </c>
      <c r="T6" s="3">
        <f>B2</f>
        <v>470914</v>
      </c>
      <c r="U6" s="29">
        <f ca="1">OFFSET(compute!A5,COUNTA(compute!A5:A10038)-1,0)</f>
        <v>43968</v>
      </c>
      <c r="V6" s="3"/>
      <c r="X6" t="str">
        <f>"Number of Confirmed COVID-19 Cases " &amp; B1</f>
        <v>Number of Confirmed COVID-19 Cases Miami</v>
      </c>
    </row>
    <row r="7" spans="1:24" x14ac:dyDescent="0.2">
      <c r="A7" s="8">
        <v>43915</v>
      </c>
      <c r="B7" s="9">
        <v>256</v>
      </c>
      <c r="C7" s="71">
        <f>Table2[[#This Row],[cases]]/$B$2</f>
        <v>5.4362367650993598E-4</v>
      </c>
      <c r="D7" s="26">
        <f>(Table2[[#This Row],[cases]]-B6)/B6</f>
        <v>0.30612244897959184</v>
      </c>
      <c r="E7" s="38">
        <f t="shared" si="0"/>
        <v>2.5954465348422167</v>
      </c>
      <c r="F7" s="81">
        <f>Table2[[#This Row],[cases]]*100/$T$19</f>
        <v>775.75757575757575</v>
      </c>
      <c r="G7" s="56">
        <f>Table2[[#This Row],[cases]]*100/$T$13</f>
        <v>656.41025641025647</v>
      </c>
      <c r="H7" s="56">
        <f>Table2[[#This Row],[cases]]*100/$T$16</f>
        <v>948.14814814814815</v>
      </c>
      <c r="I7" s="56">
        <f>Table2[[#This Row],[infection count, high end of estimate range]]-Table2[[#This Row],[infection count, low end of estimate range]]</f>
        <v>291.73789173789169</v>
      </c>
      <c r="J7" s="56">
        <f>(Table2[[#This Row],[infection count, low end of estimate range]]+Table2[[#This Row],[infection count, high end of estimate range]])/2</f>
        <v>802.27920227920231</v>
      </c>
      <c r="K7" s="26">
        <f>Table2[[#This Row],[estimated infections]]/$T$6</f>
        <v>1.6473444742725334E-3</v>
      </c>
      <c r="L7" s="26">
        <f>Table2[[#This Row],[infection count, low end of estimate range]]/$T$6</f>
        <v>1.3939068628459898E-3</v>
      </c>
      <c r="M7" s="26">
        <f>Table2[[#This Row],[infection count, high end of estimate range]]/$T$6</f>
        <v>2.0134210241108739E-3</v>
      </c>
      <c r="N7" s="14">
        <f>Table2[[#This Row],[infection percentage, high end of estimate range]]-Table2[[#This Row],[infection percentage, low end of estimate range]]</f>
        <v>6.1951416126488409E-4</v>
      </c>
      <c r="O7" s="26">
        <f>(Table2[[#This Row],[infection percentage, low end of estimate range]]+Table2[[#This Row],[infection percentage, high end of estimate range]])/2</f>
        <v>1.7036639434784319E-3</v>
      </c>
      <c r="P7" s="12">
        <f>$T$6/(Table2[[#This Row],[cases]]*5)</f>
        <v>367.90156250000001</v>
      </c>
      <c r="Q7" s="12">
        <f>$T$6/(Table2[[#This Row],[cases]]*7)</f>
        <v>262.78683035714283</v>
      </c>
      <c r="R7" s="3">
        <f>Table2[[#This Row],[1-in-X odds, estimating 5x cases infected]]-Table2[[#This Row],[1-in-X odds, estimating 7x cases infected]]</f>
        <v>105.11473214285718</v>
      </c>
      <c r="S7" s="3">
        <f>(Table2[[#This Row],[1-in-X odds, estimating 5x cases infected]]+Table2[[#This Row],[1-in-X odds, estimating 7x cases infected]])/2</f>
        <v>315.34419642857142</v>
      </c>
      <c r="V7" s="3"/>
    </row>
    <row r="8" spans="1:24" x14ac:dyDescent="0.2">
      <c r="A8" s="8">
        <v>43916</v>
      </c>
      <c r="B8" s="9">
        <v>345</v>
      </c>
      <c r="C8" s="71">
        <f>Table2[[#This Row],[cases]]/$B$2</f>
        <v>7.3261784529659343E-4</v>
      </c>
      <c r="D8" s="26">
        <f>(Table2[[#This Row],[cases]]-B7)/B7</f>
        <v>0.34765625</v>
      </c>
      <c r="E8" s="38">
        <f t="shared" si="0"/>
        <v>2.3231364203342348</v>
      </c>
      <c r="F8" s="81">
        <f>Table2[[#This Row],[cases]]*100/$T$19</f>
        <v>1045.4545454545455</v>
      </c>
      <c r="G8" s="56">
        <f>Table2[[#This Row],[cases]]*100/$T$13</f>
        <v>884.61538461538464</v>
      </c>
      <c r="H8" s="56">
        <f>Table2[[#This Row],[cases]]*100/$T$16</f>
        <v>1277.7777777777778</v>
      </c>
      <c r="I8" s="56">
        <f>Table2[[#This Row],[infection count, high end of estimate range]]-Table2[[#This Row],[infection count, low end of estimate range]]</f>
        <v>393.16239316239319</v>
      </c>
      <c r="J8" s="56">
        <f>(Table2[[#This Row],[infection count, low end of estimate range]]+Table2[[#This Row],[infection count, high end of estimate range]])/2</f>
        <v>1081.1965811965813</v>
      </c>
      <c r="K8" s="26">
        <f>Table2[[#This Row],[estimated infections]]/$T$6</f>
        <v>2.220054076656344E-3</v>
      </c>
      <c r="L8" s="26">
        <f>Table2[[#This Row],[infection count, low end of estimate range]]/$T$6</f>
        <v>1.878507295632291E-3</v>
      </c>
      <c r="M8" s="26">
        <f>Table2[[#This Row],[infection count, high end of estimate range]]/$T$6</f>
        <v>2.7133994270244202E-3</v>
      </c>
      <c r="N8" s="14">
        <f>Table2[[#This Row],[infection percentage, high end of estimate range]]-Table2[[#This Row],[infection percentage, low end of estimate range]]</f>
        <v>8.3489213139212922E-4</v>
      </c>
      <c r="O8" s="26">
        <f>(Table2[[#This Row],[infection percentage, low end of estimate range]]+Table2[[#This Row],[infection percentage, high end of estimate range]])/2</f>
        <v>2.2959533613283556E-3</v>
      </c>
      <c r="P8" s="12">
        <f>$T$6/(Table2[[#This Row],[cases]]*5)</f>
        <v>272.99362318840582</v>
      </c>
      <c r="Q8" s="12">
        <f>$T$6/(Table2[[#This Row],[cases]]*7)</f>
        <v>194.99544513457556</v>
      </c>
      <c r="R8" s="3">
        <f>Table2[[#This Row],[1-in-X odds, estimating 5x cases infected]]-Table2[[#This Row],[1-in-X odds, estimating 7x cases infected]]</f>
        <v>77.998178053830259</v>
      </c>
      <c r="S8" s="3">
        <f>(Table2[[#This Row],[1-in-X odds, estimating 5x cases infected]]+Table2[[#This Row],[1-in-X odds, estimating 7x cases infected]])/2</f>
        <v>233.99453416149069</v>
      </c>
      <c r="T8" s="34" t="s">
        <v>33</v>
      </c>
      <c r="U8" s="34" t="s">
        <v>25</v>
      </c>
      <c r="V8" s="3"/>
    </row>
    <row r="9" spans="1:24" x14ac:dyDescent="0.2">
      <c r="A9" s="8">
        <v>43917</v>
      </c>
      <c r="B9" s="9">
        <v>464</v>
      </c>
      <c r="C9" s="71">
        <f>Table2[[#This Row],[cases]]/$B$2</f>
        <v>9.8531791367425896E-4</v>
      </c>
      <c r="D9" s="26">
        <f>(Table2[[#This Row],[cases]]-B8)/B8</f>
        <v>0.34492753623188405</v>
      </c>
      <c r="E9" s="38">
        <f t="shared" si="0"/>
        <v>2.3390256608477276</v>
      </c>
      <c r="F9" s="81">
        <f>Table2[[#This Row],[cases]]*100/$T$19</f>
        <v>1406.060606060606</v>
      </c>
      <c r="G9" s="56">
        <f>Table2[[#This Row],[cases]]*100/$T$13</f>
        <v>1189.7435897435898</v>
      </c>
      <c r="H9" s="56">
        <f>Table2[[#This Row],[cases]]*100/$T$16</f>
        <v>1718.5185185185185</v>
      </c>
      <c r="I9" s="56">
        <f>Table2[[#This Row],[infection count, high end of estimate range]]-Table2[[#This Row],[infection count, low end of estimate range]]</f>
        <v>528.77492877492864</v>
      </c>
      <c r="J9" s="56">
        <f>(Table2[[#This Row],[infection count, low end of estimate range]]+Table2[[#This Row],[infection count, high end of estimate range]])/2</f>
        <v>1454.131054131054</v>
      </c>
      <c r="K9" s="26">
        <f>Table2[[#This Row],[estimated infections]]/$T$6</f>
        <v>2.9858118596189664E-3</v>
      </c>
      <c r="L9" s="26">
        <f>Table2[[#This Row],[infection count, low end of estimate range]]/$T$6</f>
        <v>2.5264561889083567E-3</v>
      </c>
      <c r="M9" s="26">
        <f>Table2[[#This Row],[infection count, high end of estimate range]]/$T$6</f>
        <v>3.6493256062009594E-3</v>
      </c>
      <c r="N9" s="14">
        <f>Table2[[#This Row],[infection percentage, high end of estimate range]]-Table2[[#This Row],[infection percentage, low end of estimate range]]</f>
        <v>1.1228694172926027E-3</v>
      </c>
      <c r="O9" s="26">
        <f>(Table2[[#This Row],[infection percentage, low end of estimate range]]+Table2[[#This Row],[infection percentage, high end of estimate range]])/2</f>
        <v>3.087890897554658E-3</v>
      </c>
      <c r="P9" s="12">
        <f>$T$6/(Table2[[#This Row],[cases]]*5)</f>
        <v>202.9801724137931</v>
      </c>
      <c r="Q9" s="12">
        <f>$T$6/(Table2[[#This Row],[cases]]*7)</f>
        <v>144.98583743842366</v>
      </c>
      <c r="R9" s="3">
        <f>Table2[[#This Row],[1-in-X odds, estimating 5x cases infected]]-Table2[[#This Row],[1-in-X odds, estimating 7x cases infected]]</f>
        <v>57.994334975369441</v>
      </c>
      <c r="S9" s="3">
        <f>(Table2[[#This Row],[1-in-X odds, estimating 5x cases infected]]+Table2[[#This Row],[1-in-X odds, estimating 7x cases infected]])/2</f>
        <v>173.98300492610838</v>
      </c>
      <c r="T9" s="34" t="str">
        <f>B3</f>
        <v>evening</v>
      </c>
      <c r="U9" s="3">
        <f ca="1">OFFSET(compute!B4,COUNTA(compute!B4:B10038)-1,0)</f>
        <v>9589</v>
      </c>
      <c r="V9" s="3"/>
    </row>
    <row r="10" spans="1:24" x14ac:dyDescent="0.2">
      <c r="A10" s="8">
        <v>43918</v>
      </c>
      <c r="B10" s="9">
        <v>603</v>
      </c>
      <c r="C10" s="71">
        <f>Table2[[#This Row],[cases]]/$B$2</f>
        <v>1.2804885817792632E-3</v>
      </c>
      <c r="D10" s="26">
        <f>(Table2[[#This Row],[cases]]-B9)/B9</f>
        <v>0.29956896551724138</v>
      </c>
      <c r="E10" s="38">
        <f t="shared" si="0"/>
        <v>2.6452703321760542</v>
      </c>
      <c r="F10" s="81">
        <f>Table2[[#This Row],[cases]]*100/$T$19</f>
        <v>1827.2727272727273</v>
      </c>
      <c r="G10" s="56">
        <f>Table2[[#This Row],[cases]]*100/$T$13</f>
        <v>1546.1538461538462</v>
      </c>
      <c r="H10" s="56">
        <f>Table2[[#This Row],[cases]]*100/$T$16</f>
        <v>2233.3333333333335</v>
      </c>
      <c r="I10" s="56">
        <f>Table2[[#This Row],[infection count, high end of estimate range]]-Table2[[#This Row],[infection count, low end of estimate range]]</f>
        <v>687.1794871794873</v>
      </c>
      <c r="J10" s="56">
        <f>(Table2[[#This Row],[infection count, low end of estimate range]]+Table2[[#This Row],[infection count, high end of estimate range]])/2</f>
        <v>1889.7435897435898</v>
      </c>
      <c r="K10" s="26">
        <f>Table2[[#This Row],[estimated infections]]/$T$6</f>
        <v>3.8802684296341313E-3</v>
      </c>
      <c r="L10" s="26">
        <f>Table2[[#This Row],[infection count, low end of estimate range]]/$T$6</f>
        <v>3.2833040558442649E-3</v>
      </c>
      <c r="M10" s="26">
        <f>Table2[[#This Row],[infection count, high end of estimate range]]/$T$6</f>
        <v>4.7425503028861605E-3</v>
      </c>
      <c r="N10" s="14">
        <f>Table2[[#This Row],[infection percentage, high end of estimate range]]-Table2[[#This Row],[infection percentage, low end of estimate range]]</f>
        <v>1.4592462470418956E-3</v>
      </c>
      <c r="O10" s="26">
        <f>(Table2[[#This Row],[infection percentage, low end of estimate range]]+Table2[[#This Row],[infection percentage, high end of estimate range]])/2</f>
        <v>4.0129271793652131E-3</v>
      </c>
      <c r="P10" s="12">
        <f>$T$6/(Table2[[#This Row],[cases]]*5)</f>
        <v>156.19038142620232</v>
      </c>
      <c r="Q10" s="12">
        <f>$T$6/(Table2[[#This Row],[cases]]*7)</f>
        <v>111.56455816157309</v>
      </c>
      <c r="R10" s="3">
        <f>Table2[[#This Row],[1-in-X odds, estimating 5x cases infected]]-Table2[[#This Row],[1-in-X odds, estimating 7x cases infected]]</f>
        <v>44.625823264629233</v>
      </c>
      <c r="S10" s="3">
        <f>(Table2[[#This Row],[1-in-X odds, estimating 5x cases infected]]+Table2[[#This Row],[1-in-X odds, estimating 7x cases infected]])/2</f>
        <v>133.87746979388771</v>
      </c>
      <c r="V10" s="3"/>
    </row>
    <row r="11" spans="1:24" x14ac:dyDescent="0.2">
      <c r="A11" s="8">
        <v>43919</v>
      </c>
      <c r="B11" s="9">
        <v>812</v>
      </c>
      <c r="C11" s="71">
        <f>Table2[[#This Row],[cases]]/$B$2</f>
        <v>1.7243063489299532E-3</v>
      </c>
      <c r="D11" s="26">
        <f>(Table2[[#This Row],[cases]]-B10)/B10</f>
        <v>0.34660033167495852</v>
      </c>
      <c r="E11" s="38">
        <f t="shared" si="0"/>
        <v>2.329255523549266</v>
      </c>
      <c r="F11" s="81">
        <f>Table2[[#This Row],[cases]]*100/$T$19</f>
        <v>2460.6060606060605</v>
      </c>
      <c r="G11" s="56">
        <f>Table2[[#This Row],[cases]]*100/$T$13</f>
        <v>2082.0512820512822</v>
      </c>
      <c r="H11" s="56">
        <f>Table2[[#This Row],[cases]]*100/$T$16</f>
        <v>3007.4074074074074</v>
      </c>
      <c r="I11" s="56">
        <f>Table2[[#This Row],[infection count, high end of estimate range]]-Table2[[#This Row],[infection count, low end of estimate range]]</f>
        <v>925.35612535612518</v>
      </c>
      <c r="J11" s="56">
        <f>(Table2[[#This Row],[infection count, low end of estimate range]]+Table2[[#This Row],[infection count, high end of estimate range]])/2</f>
        <v>2544.729344729345</v>
      </c>
      <c r="K11" s="26">
        <f>Table2[[#This Row],[estimated infections]]/$T$6</f>
        <v>5.2251707543331917E-3</v>
      </c>
      <c r="L11" s="26">
        <f>Table2[[#This Row],[infection count, low end of estimate range]]/$T$6</f>
        <v>4.421298330589624E-3</v>
      </c>
      <c r="M11" s="26">
        <f>Table2[[#This Row],[infection count, high end of estimate range]]/$T$6</f>
        <v>6.3863198108516789E-3</v>
      </c>
      <c r="N11" s="14">
        <f>Table2[[#This Row],[infection percentage, high end of estimate range]]-Table2[[#This Row],[infection percentage, low end of estimate range]]</f>
        <v>1.9650214802620549E-3</v>
      </c>
      <c r="O11" s="26">
        <f>(Table2[[#This Row],[infection percentage, low end of estimate range]]+Table2[[#This Row],[infection percentage, high end of estimate range]])/2</f>
        <v>5.4038090707206514E-3</v>
      </c>
      <c r="P11" s="12">
        <f>$T$6/(Table2[[#This Row],[cases]]*5)</f>
        <v>115.98866995073891</v>
      </c>
      <c r="Q11" s="12">
        <f>$T$6/(Table2[[#This Row],[cases]]*7)</f>
        <v>82.849049964813517</v>
      </c>
      <c r="R11" s="3">
        <f>Table2[[#This Row],[1-in-X odds, estimating 5x cases infected]]-Table2[[#This Row],[1-in-X odds, estimating 7x cases infected]]</f>
        <v>33.139619985925393</v>
      </c>
      <c r="S11" s="3">
        <f>(Table2[[#This Row],[1-in-X odds, estimating 5x cases infected]]+Table2[[#This Row],[1-in-X odds, estimating 7x cases infected]])/2</f>
        <v>99.41885995777622</v>
      </c>
      <c r="T11" s="3" t="s">
        <v>36</v>
      </c>
      <c r="U11" s="34" t="s">
        <v>27</v>
      </c>
      <c r="V11" s="3"/>
    </row>
    <row r="12" spans="1:24" x14ac:dyDescent="0.2">
      <c r="A12" s="8">
        <v>43920</v>
      </c>
      <c r="B12" s="9">
        <v>931</v>
      </c>
      <c r="C12" s="71">
        <f>Table2[[#This Row],[cases]]/$B$2</f>
        <v>1.9770064173076189E-3</v>
      </c>
      <c r="D12" s="26">
        <f>(Table2[[#This Row],[cases]]-B11)/B11</f>
        <v>0.14655172413793102</v>
      </c>
      <c r="E12" s="38">
        <f t="shared" si="0"/>
        <v>5.0683867188519347</v>
      </c>
      <c r="F12" s="81">
        <f>Table2[[#This Row],[cases]]*100/$T$19</f>
        <v>2821.212121212121</v>
      </c>
      <c r="G12" s="56">
        <f>Table2[[#This Row],[cases]]*100/$T$13</f>
        <v>2387.1794871794873</v>
      </c>
      <c r="H12" s="56">
        <f>Table2[[#This Row],[cases]]*100/$T$16</f>
        <v>3448.1481481481483</v>
      </c>
      <c r="I12" s="56">
        <f>Table2[[#This Row],[infection count, high end of estimate range]]-Table2[[#This Row],[infection count, low end of estimate range]]</f>
        <v>1060.968660968661</v>
      </c>
      <c r="J12" s="56">
        <f>(Table2[[#This Row],[infection count, low end of estimate range]]+Table2[[#This Row],[infection count, high end of estimate range]])/2</f>
        <v>2917.663817663818</v>
      </c>
      <c r="K12" s="26">
        <f>Table2[[#This Row],[estimated infections]]/$T$6</f>
        <v>5.9909285372958141E-3</v>
      </c>
      <c r="L12" s="26">
        <f>Table2[[#This Row],[infection count, low end of estimate range]]/$T$6</f>
        <v>5.0692472238656897E-3</v>
      </c>
      <c r="M12" s="26">
        <f>Table2[[#This Row],[infection count, high end of estimate range]]/$T$6</f>
        <v>7.3222459900282181E-3</v>
      </c>
      <c r="N12" s="14">
        <f>Table2[[#This Row],[infection percentage, high end of estimate range]]-Table2[[#This Row],[infection percentage, low end of estimate range]]</f>
        <v>2.2529987661625284E-3</v>
      </c>
      <c r="O12" s="26">
        <f>(Table2[[#This Row],[infection percentage, low end of estimate range]]+Table2[[#This Row],[infection percentage, high end of estimate range]])/2</f>
        <v>6.1957466069469539E-3</v>
      </c>
      <c r="P12" s="12">
        <f>$T$6/(Table2[[#This Row],[cases]]*5)</f>
        <v>101.16305048335124</v>
      </c>
      <c r="Q12" s="12">
        <f>$T$6/(Table2[[#This Row],[cases]]*7)</f>
        <v>72.259321773822307</v>
      </c>
      <c r="R12" s="3">
        <f>Table2[[#This Row],[1-in-X odds, estimating 5x cases infected]]-Table2[[#This Row],[1-in-X odds, estimating 7x cases infected]]</f>
        <v>28.903728709528934</v>
      </c>
      <c r="S12" s="3">
        <f>(Table2[[#This Row],[1-in-X odds, estimating 5x cases infected]]+Table2[[#This Row],[1-in-X odds, estimating 7x cases infected]])/2</f>
        <v>86.711186128586775</v>
      </c>
      <c r="T12" s="34" t="s">
        <v>37</v>
      </c>
      <c r="U12" s="35">
        <f ca="1">OFFSET(compute!F4,COUNTA(compute!F:F)-1,0)</f>
        <v>29057.575757575756</v>
      </c>
      <c r="V12" s="3"/>
    </row>
    <row r="13" spans="1:24" x14ac:dyDescent="0.2">
      <c r="A13" s="8">
        <v>43921</v>
      </c>
      <c r="B13" s="56">
        <v>1179</v>
      </c>
      <c r="C13" s="71">
        <f>Table2[[#This Row],[cases]]/$B$2</f>
        <v>2.5036418539266191E-3</v>
      </c>
      <c r="D13" s="26">
        <f>(Table2[[#This Row],[cases]]-B12)/B12</f>
        <v>0.26638023630504831</v>
      </c>
      <c r="E13" s="38">
        <f t="shared" si="0"/>
        <v>2.9350418410450274</v>
      </c>
      <c r="F13" s="81">
        <f>Table2[[#This Row],[cases]]*100/$T$19</f>
        <v>3572.7272727272725</v>
      </c>
      <c r="G13" s="56">
        <f>Table2[[#This Row],[cases]]*100/$T$13</f>
        <v>3023.0769230769229</v>
      </c>
      <c r="H13" s="56">
        <f>Table2[[#This Row],[cases]]*100/$T$16</f>
        <v>4366.666666666667</v>
      </c>
      <c r="I13" s="56">
        <f>Table2[[#This Row],[infection count, high end of estimate range]]-Table2[[#This Row],[infection count, low end of estimate range]]</f>
        <v>1343.5897435897441</v>
      </c>
      <c r="J13" s="56">
        <f>(Table2[[#This Row],[infection count, low end of estimate range]]+Table2[[#This Row],[infection count, high end of estimate range]])/2</f>
        <v>3694.8717948717949</v>
      </c>
      <c r="K13" s="26">
        <f>Table2[[#This Row],[estimated infections]]/$T$6</f>
        <v>7.5867934967473304E-3</v>
      </c>
      <c r="L13" s="26">
        <f>Table2[[#This Row],[infection count, low end of estimate range]]/$T$6</f>
        <v>6.4195944972477411E-3</v>
      </c>
      <c r="M13" s="26">
        <f>Table2[[#This Row],[infection count, high end of estimate range]]/$T$6</f>
        <v>9.2727476071356278E-3</v>
      </c>
      <c r="N13" s="14">
        <f>Table2[[#This Row],[infection percentage, high end of estimate range]]-Table2[[#This Row],[infection percentage, low end of estimate range]]</f>
        <v>2.8531531098878868E-3</v>
      </c>
      <c r="O13" s="26">
        <f>(Table2[[#This Row],[infection percentage, low end of estimate range]]+Table2[[#This Row],[infection percentage, high end of estimate range]])/2</f>
        <v>7.846171052191684E-3</v>
      </c>
      <c r="P13" s="12">
        <f>$T$6/(Table2[[#This Row],[cases]]*5)</f>
        <v>79.883630195080571</v>
      </c>
      <c r="Q13" s="12">
        <f>$T$6/(Table2[[#This Row],[cases]]*7)</f>
        <v>57.059735853628986</v>
      </c>
      <c r="R13" s="3">
        <f>Table2[[#This Row],[1-in-X odds, estimating 5x cases infected]]-Table2[[#This Row],[1-in-X odds, estimating 7x cases infected]]</f>
        <v>22.823894341451584</v>
      </c>
      <c r="S13" s="3">
        <f>(Table2[[#This Row],[1-in-X odds, estimating 5x cases infected]]+Table2[[#This Row],[1-in-X odds, estimating 7x cases infected]])/2</f>
        <v>68.471683024354775</v>
      </c>
      <c r="T13" s="3">
        <v>39</v>
      </c>
      <c r="V13" s="3"/>
    </row>
    <row r="14" spans="1:24" x14ac:dyDescent="0.2">
      <c r="A14" s="8">
        <v>43922</v>
      </c>
      <c r="B14" s="56">
        <v>1371</v>
      </c>
      <c r="C14" s="71">
        <f>Table2[[#This Row],[cases]]/$B$2</f>
        <v>2.9113596113090712E-3</v>
      </c>
      <c r="D14" s="26">
        <f>(Table2[[#This Row],[cases]]-B13)/B13</f>
        <v>0.16284987277353691</v>
      </c>
      <c r="E14" s="38">
        <f t="shared" si="0"/>
        <v>4.594218989141579</v>
      </c>
      <c r="F14" s="81">
        <f>Table2[[#This Row],[cases]]*100/$T$19</f>
        <v>4154.545454545455</v>
      </c>
      <c r="G14" s="56">
        <f>Table2[[#This Row],[cases]]*100/$T$13</f>
        <v>3515.3846153846152</v>
      </c>
      <c r="H14" s="56">
        <f>Table2[[#This Row],[cases]]*100/$T$16</f>
        <v>5077.7777777777774</v>
      </c>
      <c r="I14" s="56">
        <f>Table2[[#This Row],[infection count, high end of estimate range]]-Table2[[#This Row],[infection count, low end of estimate range]]</f>
        <v>1562.3931623931621</v>
      </c>
      <c r="J14" s="56">
        <f>(Table2[[#This Row],[infection count, low end of estimate range]]+Table2[[#This Row],[infection count, high end of estimate range]])/2</f>
        <v>4296.5811965811963</v>
      </c>
      <c r="K14" s="26">
        <f>Table2[[#This Row],[estimated infections]]/$T$6</f>
        <v>8.8223018524517319E-3</v>
      </c>
      <c r="L14" s="26">
        <f>Table2[[#This Row],[infection count, low end of estimate range]]/$T$6</f>
        <v>7.465024644382234E-3</v>
      </c>
      <c r="M14" s="26">
        <f>Table2[[#This Row],[infection count, high end of estimate range]]/$T$6</f>
        <v>1.0782813375218782E-2</v>
      </c>
      <c r="N14" s="14">
        <f>Table2[[#This Row],[infection percentage, high end of estimate range]]-Table2[[#This Row],[infection percentage, low end of estimate range]]</f>
        <v>3.3177887308365479E-3</v>
      </c>
      <c r="O14" s="26">
        <f>(Table2[[#This Row],[infection percentage, low end of estimate range]]+Table2[[#This Row],[infection percentage, high end of estimate range]])/2</f>
        <v>9.1239190098005088E-3</v>
      </c>
      <c r="P14" s="12">
        <f>$T$6/(Table2[[#This Row],[cases]]*5)</f>
        <v>68.696425966447848</v>
      </c>
      <c r="Q14" s="12">
        <f>$T$6/(Table2[[#This Row],[cases]]*7)</f>
        <v>49.068875690319892</v>
      </c>
      <c r="R14" s="3">
        <f>Table2[[#This Row],[1-in-X odds, estimating 5x cases infected]]-Table2[[#This Row],[1-in-X odds, estimating 7x cases infected]]</f>
        <v>19.627550276127955</v>
      </c>
      <c r="S14" s="3">
        <f>(Table2[[#This Row],[1-in-X odds, estimating 5x cases infected]]+Table2[[#This Row],[1-in-X odds, estimating 7x cases infected]])/2</f>
        <v>58.882650828383873</v>
      </c>
      <c r="U14" s="34" t="s">
        <v>28</v>
      </c>
      <c r="V14" s="3"/>
    </row>
    <row r="15" spans="1:24" x14ac:dyDescent="0.2">
      <c r="A15" s="8">
        <v>43923</v>
      </c>
      <c r="B15" s="56">
        <v>1677</v>
      </c>
      <c r="C15" s="71">
        <f>Table2[[#This Row],[cases]]/$B$2</f>
        <v>3.5611597871373544E-3</v>
      </c>
      <c r="D15" s="26">
        <f>(Table2[[#This Row],[cases]]-B14)/B14</f>
        <v>0.22319474835886213</v>
      </c>
      <c r="E15" s="38">
        <f t="shared" si="0"/>
        <v>3.4405155090192001</v>
      </c>
      <c r="F15" s="81">
        <f>Table2[[#This Row],[cases]]*100/$T$19</f>
        <v>5081.818181818182</v>
      </c>
      <c r="G15" s="56">
        <f>Table2[[#This Row],[cases]]*100/$T$13</f>
        <v>4300</v>
      </c>
      <c r="H15" s="56">
        <f>Table2[[#This Row],[cases]]*100/$T$16</f>
        <v>6211.1111111111113</v>
      </c>
      <c r="I15" s="56">
        <f>Table2[[#This Row],[infection count, high end of estimate range]]-Table2[[#This Row],[infection count, low end of estimate range]]</f>
        <v>1911.1111111111113</v>
      </c>
      <c r="J15" s="56">
        <f>(Table2[[#This Row],[infection count, low end of estimate range]]+Table2[[#This Row],[infection count, high end of estimate range]])/2</f>
        <v>5255.5555555555557</v>
      </c>
      <c r="K15" s="26">
        <f>Table2[[#This Row],[estimated infections]]/$T$6</f>
        <v>1.079139329435562E-2</v>
      </c>
      <c r="L15" s="26">
        <f>Table2[[#This Row],[infection count, low end of estimate range]]/$T$6</f>
        <v>9.1311789413778318E-3</v>
      </c>
      <c r="M15" s="26">
        <f>Table2[[#This Row],[infection count, high end of estimate range]]/$T$6</f>
        <v>1.3189480693101312E-2</v>
      </c>
      <c r="N15" s="14">
        <f>Table2[[#This Row],[infection percentage, high end of estimate range]]-Table2[[#This Row],[infection percentage, low end of estimate range]]</f>
        <v>4.0583017517234806E-3</v>
      </c>
      <c r="O15" s="26">
        <f>(Table2[[#This Row],[infection percentage, low end of estimate range]]+Table2[[#This Row],[infection percentage, high end of estimate range]])/2</f>
        <v>1.1160329817239571E-2</v>
      </c>
      <c r="P15" s="12">
        <f>$T$6/(Table2[[#This Row],[cases]]*5)</f>
        <v>56.161478831246271</v>
      </c>
      <c r="Q15" s="12">
        <f>$T$6/(Table2[[#This Row],[cases]]*7)</f>
        <v>40.115342022318764</v>
      </c>
      <c r="R15" s="3">
        <f>Table2[[#This Row],[1-in-X odds, estimating 5x cases infected]]-Table2[[#This Row],[1-in-X odds, estimating 7x cases infected]]</f>
        <v>16.046136808927507</v>
      </c>
      <c r="S15" s="3">
        <f>(Table2[[#This Row],[1-in-X odds, estimating 5x cases infected]]+Table2[[#This Row],[1-in-X odds, estimating 7x cases infected]])/2</f>
        <v>48.138410426782514</v>
      </c>
      <c r="T15" s="34" t="s">
        <v>38</v>
      </c>
      <c r="U15" s="27">
        <f ca="1">OFFSET(compute!K4,COUNTA(compute!K:K)-1,0)</f>
        <v>6.1704633452341097E-2</v>
      </c>
      <c r="V15" s="3"/>
    </row>
    <row r="16" spans="1:24" x14ac:dyDescent="0.2">
      <c r="A16" s="8">
        <v>43924</v>
      </c>
      <c r="B16" s="56">
        <v>1959</v>
      </c>
      <c r="C16" s="71">
        <f>Table2[[#This Row],[cases]]/$B$2</f>
        <v>4.1599952432928309E-3</v>
      </c>
      <c r="D16" s="26">
        <f>(Table2[[#This Row],[cases]]-B15)/B15</f>
        <v>0.16815742397137745</v>
      </c>
      <c r="E16" s="38">
        <f t="shared" si="0"/>
        <v>4.4596129019590443</v>
      </c>
      <c r="F16" s="81">
        <f>Table2[[#This Row],[cases]]*100/$T$19</f>
        <v>5936.363636363636</v>
      </c>
      <c r="G16" s="56">
        <f>Table2[[#This Row],[cases]]*100/$T$13</f>
        <v>5023.0769230769229</v>
      </c>
      <c r="H16" s="56">
        <f>Table2[[#This Row],[cases]]*100/$T$16</f>
        <v>7255.5555555555557</v>
      </c>
      <c r="I16" s="56">
        <f>Table2[[#This Row],[infection count, high end of estimate range]]-Table2[[#This Row],[infection count, low end of estimate range]]</f>
        <v>2232.4786324786328</v>
      </c>
      <c r="J16" s="56">
        <f>(Table2[[#This Row],[infection count, low end of estimate range]]+Table2[[#This Row],[infection count, high end of estimate range]])/2</f>
        <v>6139.3162393162393</v>
      </c>
      <c r="K16" s="26">
        <f>Table2[[#This Row],[estimated infections]]/$T$6</f>
        <v>1.2606046191796455E-2</v>
      </c>
      <c r="L16" s="26">
        <f>Table2[[#This Row],[infection count, low end of estimate range]]/$T$6</f>
        <v>1.0666654469981615E-2</v>
      </c>
      <c r="M16" s="26">
        <f>Table2[[#This Row],[infection count, high end of estimate range]]/$T$6</f>
        <v>1.5407389789973447E-2</v>
      </c>
      <c r="N16" s="14">
        <f>Table2[[#This Row],[infection percentage, high end of estimate range]]-Table2[[#This Row],[infection percentage, low end of estimate range]]</f>
        <v>4.740735319991831E-3</v>
      </c>
      <c r="O16" s="26">
        <f>(Table2[[#This Row],[infection percentage, low end of estimate range]]+Table2[[#This Row],[infection percentage, high end of estimate range]])/2</f>
        <v>1.3037022129977531E-2</v>
      </c>
      <c r="P16" s="12">
        <f>$T$6/(Table2[[#This Row],[cases]]*5)</f>
        <v>48.076978050025524</v>
      </c>
      <c r="Q16" s="12">
        <f>$T$6/(Table2[[#This Row],[cases]]*7)</f>
        <v>34.340698607161087</v>
      </c>
      <c r="R16" s="3">
        <f>Table2[[#This Row],[1-in-X odds, estimating 5x cases infected]]-Table2[[#This Row],[1-in-X odds, estimating 7x cases infected]]</f>
        <v>13.736279442864436</v>
      </c>
      <c r="S16" s="3">
        <f>(Table2[[#This Row],[1-in-X odds, estimating 5x cases infected]]+Table2[[#This Row],[1-in-X odds, estimating 7x cases infected]])/2</f>
        <v>41.208838328593302</v>
      </c>
      <c r="T16" s="3">
        <v>27</v>
      </c>
      <c r="V16" s="3"/>
    </row>
    <row r="17" spans="1:22" x14ac:dyDescent="0.2">
      <c r="A17" s="8">
        <v>43925</v>
      </c>
      <c r="B17" s="56">
        <v>2291</v>
      </c>
      <c r="C17" s="71">
        <f>Table2[[#This Row],[cases]]/$B$2</f>
        <v>4.8650071987666535E-3</v>
      </c>
      <c r="D17" s="26">
        <f>(Table2[[#This Row],[cases]]-B16)/B16</f>
        <v>0.16947422154160285</v>
      </c>
      <c r="E17" s="38">
        <f t="shared" si="0"/>
        <v>4.4275202769727011</v>
      </c>
      <c r="F17" s="81">
        <f>Table2[[#This Row],[cases]]*100/$T$19</f>
        <v>6942.424242424242</v>
      </c>
      <c r="G17" s="56">
        <f>Table2[[#This Row],[cases]]*100/$T$13</f>
        <v>5874.3589743589746</v>
      </c>
      <c r="H17" s="56">
        <f>Table2[[#This Row],[cases]]*100/$T$16</f>
        <v>8485.1851851851843</v>
      </c>
      <c r="I17" s="56">
        <f>Table2[[#This Row],[infection count, high end of estimate range]]-Table2[[#This Row],[infection count, low end of estimate range]]</f>
        <v>2610.8262108262097</v>
      </c>
      <c r="J17" s="56">
        <f>(Table2[[#This Row],[infection count, low end of estimate range]]+Table2[[#This Row],[infection count, high end of estimate range]])/2</f>
        <v>7179.7720797720795</v>
      </c>
      <c r="K17" s="26">
        <f>Table2[[#This Row],[estimated infections]]/$T$6</f>
        <v>1.4742446056868646E-2</v>
      </c>
      <c r="L17" s="26">
        <f>Table2[[#This Row],[infection count, low end of estimate range]]/$T$6</f>
        <v>1.2474377432735011E-2</v>
      </c>
      <c r="M17" s="26">
        <f>Table2[[#This Row],[infection count, high end of estimate range]]/$T$6</f>
        <v>1.8018545180617233E-2</v>
      </c>
      <c r="N17" s="14">
        <f>Table2[[#This Row],[infection percentage, high end of estimate range]]-Table2[[#This Row],[infection percentage, low end of estimate range]]</f>
        <v>5.5441677478822223E-3</v>
      </c>
      <c r="O17" s="26">
        <f>(Table2[[#This Row],[infection percentage, low end of estimate range]]+Table2[[#This Row],[infection percentage, high end of estimate range]])/2</f>
        <v>1.5246461306676121E-2</v>
      </c>
      <c r="P17" s="12">
        <f>$T$6/(Table2[[#This Row],[cases]]*5)</f>
        <v>41.109908336970754</v>
      </c>
      <c r="Q17" s="12">
        <f>$T$6/(Table2[[#This Row],[cases]]*7)</f>
        <v>29.364220240693395</v>
      </c>
      <c r="R17" s="3">
        <f>Table2[[#This Row],[1-in-X odds, estimating 5x cases infected]]-Table2[[#This Row],[1-in-X odds, estimating 7x cases infected]]</f>
        <v>11.745688096277359</v>
      </c>
      <c r="S17" s="3">
        <f>(Table2[[#This Row],[1-in-X odds, estimating 5x cases infected]]+Table2[[#This Row],[1-in-X odds, estimating 7x cases infected]])/2</f>
        <v>35.237064288832073</v>
      </c>
      <c r="U17" s="34" t="s">
        <v>29</v>
      </c>
      <c r="V17" s="3"/>
    </row>
    <row r="18" spans="1:22" x14ac:dyDescent="0.2">
      <c r="A18" s="8">
        <v>43926</v>
      </c>
      <c r="B18" s="56">
        <v>2461</v>
      </c>
      <c r="C18" s="71">
        <f>Table2[[#This Row],[cases]]/$B$2</f>
        <v>5.2260072964490333E-3</v>
      </c>
      <c r="D18" s="26">
        <f>(Table2[[#This Row],[cases]]-B17)/B17</f>
        <v>7.4203404626800529E-2</v>
      </c>
      <c r="E18" s="38">
        <f t="shared" si="0"/>
        <v>9.6836169490150699</v>
      </c>
      <c r="F18" s="81">
        <f>Table2[[#This Row],[cases]]*100/$T$19</f>
        <v>7457.575757575758</v>
      </c>
      <c r="G18" s="56">
        <f>Table2[[#This Row],[cases]]*100/$T$13</f>
        <v>6310.2564102564102</v>
      </c>
      <c r="H18" s="56">
        <f>Table2[[#This Row],[cases]]*100/$T$16</f>
        <v>9114.8148148148157</v>
      </c>
      <c r="I18" s="56">
        <f>Table2[[#This Row],[infection count, high end of estimate range]]-Table2[[#This Row],[infection count, low end of estimate range]]</f>
        <v>2804.5584045584055</v>
      </c>
      <c r="J18" s="56">
        <f>(Table2[[#This Row],[infection count, low end of estimate range]]+Table2[[#This Row],[infection count, high end of estimate range]])/2</f>
        <v>7712.5356125356129</v>
      </c>
      <c r="K18" s="26">
        <f>Table2[[#This Row],[estimated infections]]/$T$6</f>
        <v>1.5836385746815253E-2</v>
      </c>
      <c r="L18" s="26">
        <f>Table2[[#This Row],[infection count, low end of estimate range]]/$T$6</f>
        <v>1.3400018708843674E-2</v>
      </c>
      <c r="M18" s="26">
        <f>Table2[[#This Row],[infection count, high end of estimate range]]/$T$6</f>
        <v>1.9355582579440866E-2</v>
      </c>
      <c r="N18" s="14">
        <f>Table2[[#This Row],[infection percentage, high end of estimate range]]-Table2[[#This Row],[infection percentage, low end of estimate range]]</f>
        <v>5.9555638705971921E-3</v>
      </c>
      <c r="O18" s="26">
        <f>(Table2[[#This Row],[infection percentage, low end of estimate range]]+Table2[[#This Row],[infection percentage, high end of estimate range]])/2</f>
        <v>1.6377800644142272E-2</v>
      </c>
      <c r="P18" s="12">
        <f>$T$6/(Table2[[#This Row],[cases]]*5)</f>
        <v>38.270134091832588</v>
      </c>
      <c r="Q18" s="12">
        <f>$T$6/(Table2[[#This Row],[cases]]*7)</f>
        <v>27.335810065594707</v>
      </c>
      <c r="R18" s="3">
        <f>Table2[[#This Row],[1-in-X odds, estimating 5x cases infected]]-Table2[[#This Row],[1-in-X odds, estimating 7x cases infected]]</f>
        <v>10.934324026237881</v>
      </c>
      <c r="S18" s="3">
        <f>(Table2[[#This Row],[1-in-X odds, estimating 5x cases infected]]+Table2[[#This Row],[1-in-X odds, estimating 7x cases infected]])/2</f>
        <v>32.802972078713651</v>
      </c>
      <c r="T18" s="34" t="s">
        <v>59</v>
      </c>
      <c r="U18" s="3">
        <f ca="1">OFFSET(compute!S4,COUNTA(compute!S:S)-1,0)</f>
        <v>8.4188251419036693</v>
      </c>
      <c r="V18" s="3"/>
    </row>
    <row r="19" spans="1:22" x14ac:dyDescent="0.2">
      <c r="A19" s="8">
        <v>43927</v>
      </c>
      <c r="B19" s="56">
        <v>2802</v>
      </c>
      <c r="C19" s="71">
        <f>Table2[[#This Row],[cases]]/$B$2</f>
        <v>5.9501310218001589E-3</v>
      </c>
      <c r="D19" s="26">
        <f>(Table2[[#This Row],[cases]]-B18)/B18</f>
        <v>0.13856156034132466</v>
      </c>
      <c r="E19" s="38">
        <f t="shared" si="0"/>
        <v>5.3415294338518668</v>
      </c>
      <c r="F19" s="81">
        <f>Table2[[#This Row],[cases]]*100/$T$19</f>
        <v>8490.9090909090901</v>
      </c>
      <c r="G19" s="35">
        <f>Table2[[#This Row],[cases]]*100/$T$13</f>
        <v>7184.6153846153848</v>
      </c>
      <c r="H19" s="35">
        <f>Table2[[#This Row],[cases]]*100/$T$16</f>
        <v>10377.777777777777</v>
      </c>
      <c r="I19" s="35">
        <f>Table2[[#This Row],[infection count, high end of estimate range]]-Table2[[#This Row],[infection count, low end of estimate range]]</f>
        <v>3193.1623931623926</v>
      </c>
      <c r="J19" s="35">
        <f>(Table2[[#This Row],[infection count, low end of estimate range]]+Table2[[#This Row],[infection count, high end of estimate range]])/2</f>
        <v>8781.196581196582</v>
      </c>
      <c r="K19" s="26">
        <f>Table2[[#This Row],[estimated infections]]/$T$6</f>
        <v>1.8030700066061087E-2</v>
      </c>
      <c r="L19" s="27">
        <f>Table2[[#This Row],[infection count, low end of estimate range]]/$T$6</f>
        <v>1.5256746209743998E-2</v>
      </c>
      <c r="M19" s="26">
        <f>Table2[[#This Row],[infection count, high end of estimate range]]/$T$6</f>
        <v>2.203752230296355E-2</v>
      </c>
      <c r="N19" s="15">
        <f>Table2[[#This Row],[infection percentage, high end of estimate range]]-Table2[[#This Row],[infection percentage, low end of estimate range]]</f>
        <v>6.7807760932195524E-3</v>
      </c>
      <c r="O19" s="27">
        <f>(Table2[[#This Row],[infection percentage, low end of estimate range]]+Table2[[#This Row],[infection percentage, high end of estimate range]])/2</f>
        <v>1.8647134256353774E-2</v>
      </c>
      <c r="P19" s="3">
        <f>$T$6/(Table2[[#This Row],[cases]]*5)</f>
        <v>33.612705210563881</v>
      </c>
      <c r="Q19" s="3">
        <f>$T$6/(Table2[[#This Row],[cases]]*7)</f>
        <v>24.009075150402772</v>
      </c>
      <c r="R19" s="3">
        <f>Table2[[#This Row],[1-in-X odds, estimating 5x cases infected]]-Table2[[#This Row],[1-in-X odds, estimating 7x cases infected]]</f>
        <v>9.6036300601611089</v>
      </c>
      <c r="S19" s="3">
        <f>(Table2[[#This Row],[1-in-X odds, estimating 5x cases infected]]+Table2[[#This Row],[1-in-X odds, estimating 7x cases infected]])/2</f>
        <v>28.810890180483327</v>
      </c>
      <c r="T19" s="3">
        <v>33</v>
      </c>
      <c r="V19" s="32" t="s">
        <v>23</v>
      </c>
    </row>
    <row r="20" spans="1:22" x14ac:dyDescent="0.2">
      <c r="A20" s="8">
        <v>43928</v>
      </c>
      <c r="B20" s="56">
        <v>3100</v>
      </c>
      <c r="C20" s="71">
        <f>Table2[[#This Row],[cases]]/$B$2</f>
        <v>6.5829429577375061E-3</v>
      </c>
      <c r="D20" s="26">
        <f>(Table2[[#This Row],[cases]]-B19)/B19</f>
        <v>0.10635260528194147</v>
      </c>
      <c r="E20" s="38">
        <f t="shared" si="0"/>
        <v>6.8581809240681908</v>
      </c>
      <c r="F20" s="81">
        <f>Table2[[#This Row],[cases]]*100/$T$19</f>
        <v>9393.939393939394</v>
      </c>
      <c r="G20" s="35">
        <f>Table2[[#This Row],[cases]]*100/$T$13</f>
        <v>7948.7179487179483</v>
      </c>
      <c r="H20" s="35">
        <f>Table2[[#This Row],[cases]]*100/$T$16</f>
        <v>11481.481481481482</v>
      </c>
      <c r="I20" s="35">
        <f>Table2[[#This Row],[infection count, high end of estimate range]]-Table2[[#This Row],[infection count, low end of estimate range]]</f>
        <v>3532.7635327635335</v>
      </c>
      <c r="J20" s="35">
        <f>(Table2[[#This Row],[infection count, low end of estimate range]]+Table2[[#This Row],[infection count, high end of estimate range]])/2</f>
        <v>9715.0997150997155</v>
      </c>
      <c r="K20" s="26">
        <f>Table2[[#This Row],[estimated infections]]/$T$6</f>
        <v>1.9948311993143959E-2</v>
      </c>
      <c r="L20" s="27">
        <f>Table2[[#This Row],[infection count, low end of estimate range]]/$T$6</f>
        <v>1.6879340917275654E-2</v>
      </c>
      <c r="M20" s="26">
        <f>Table2[[#This Row],[infection count, high end of estimate range]]/$T$6</f>
        <v>2.4381270213842617E-2</v>
      </c>
      <c r="N20" s="15">
        <f>Table2[[#This Row],[infection percentage, high end of estimate range]]-Table2[[#This Row],[infection percentage, low end of estimate range]]</f>
        <v>7.5019292965669629E-3</v>
      </c>
      <c r="O20" s="27">
        <f>(Table2[[#This Row],[infection percentage, low end of estimate range]]+Table2[[#This Row],[infection percentage, high end of estimate range]])/2</f>
        <v>2.0630305565559136E-2</v>
      </c>
      <c r="P20" s="3">
        <f>$T$6/(Table2[[#This Row],[cases]]*5)</f>
        <v>30.381548387096775</v>
      </c>
      <c r="Q20" s="3">
        <f>$T$6/(Table2[[#This Row],[cases]]*7)</f>
        <v>21.701105990783411</v>
      </c>
      <c r="R20" s="3">
        <f>Table2[[#This Row],[1-in-X odds, estimating 5x cases infected]]-Table2[[#This Row],[1-in-X odds, estimating 7x cases infected]]</f>
        <v>8.6804423963133637</v>
      </c>
      <c r="S20" s="3">
        <f>(Table2[[#This Row],[1-in-X odds, estimating 5x cases infected]]+Table2[[#This Row],[1-in-X odds, estimating 7x cases infected]])/2</f>
        <v>26.041327188940095</v>
      </c>
      <c r="U20" s="34" t="s">
        <v>30</v>
      </c>
      <c r="V20" s="66" t="s">
        <v>22</v>
      </c>
    </row>
    <row r="21" spans="1:22" x14ac:dyDescent="0.2">
      <c r="A21" s="8">
        <v>43929</v>
      </c>
      <c r="B21" s="56">
        <v>3317</v>
      </c>
      <c r="C21" s="71">
        <f>Table2[[#This Row],[cases]]/$B$2</f>
        <v>7.0437489647791314E-3</v>
      </c>
      <c r="D21" s="26">
        <f>(Table2[[#This Row],[cases]]-B20)/B20</f>
        <v>7.0000000000000007E-2</v>
      </c>
      <c r="E21" s="38">
        <f t="shared" si="0"/>
        <v>10.244768351058712</v>
      </c>
      <c r="F21" s="81">
        <f>Table2[[#This Row],[cases]]*100/$T$19</f>
        <v>10051.515151515152</v>
      </c>
      <c r="G21" s="35">
        <f>Table2[[#This Row],[cases]]*100/$T$13</f>
        <v>8505.1282051282051</v>
      </c>
      <c r="H21" s="35">
        <f>Table2[[#This Row],[cases]]*100/$T$16</f>
        <v>12285.185185185184</v>
      </c>
      <c r="I21" s="35">
        <f>Table2[[#This Row],[infection count, high end of estimate range]]-Table2[[#This Row],[infection count, low end of estimate range]]</f>
        <v>3780.0569800569792</v>
      </c>
      <c r="J21" s="35">
        <f>(Table2[[#This Row],[infection count, low end of estimate range]]+Table2[[#This Row],[infection count, high end of estimate range]])/2</f>
        <v>10395.156695156695</v>
      </c>
      <c r="K21" s="26">
        <f>Table2[[#This Row],[estimated infections]]/$T$6</f>
        <v>2.1344693832664036E-2</v>
      </c>
      <c r="L21" s="27">
        <f>Table2[[#This Row],[infection count, low end of estimate range]]/$T$6</f>
        <v>1.8060894781484954E-2</v>
      </c>
      <c r="M21" s="27">
        <f>Table2[[#This Row],[infection count, high end of estimate range]]/$T$6</f>
        <v>2.6087959128811598E-2</v>
      </c>
      <c r="N21" s="15">
        <f>Table2[[#This Row],[infection percentage, high end of estimate range]]-Table2[[#This Row],[infection percentage, low end of estimate range]]</f>
        <v>8.0270643473266436E-3</v>
      </c>
      <c r="O21" s="27">
        <f>(Table2[[#This Row],[infection percentage, low end of estimate range]]+Table2[[#This Row],[infection percentage, high end of estimate range]])/2</f>
        <v>2.2074426955148274E-2</v>
      </c>
      <c r="P21" s="3">
        <f>$T$6/(Table2[[#This Row],[cases]]*5)</f>
        <v>28.39397045523063</v>
      </c>
      <c r="Q21" s="3">
        <f>$T$6/(Table2[[#This Row],[cases]]*7)</f>
        <v>20.281407468021879</v>
      </c>
      <c r="R21" s="3">
        <f>Table2[[#This Row],[1-in-X odds, estimating 5x cases infected]]-Table2[[#This Row],[1-in-X odds, estimating 7x cases infected]]</f>
        <v>8.1125629872087508</v>
      </c>
      <c r="S21" s="3">
        <f>(Table2[[#This Row],[1-in-X odds, estimating 5x cases infected]]+Table2[[#This Row],[1-in-X odds, estimating 7x cases infected]])/2</f>
        <v>24.337688961626256</v>
      </c>
      <c r="U21" s="3">
        <f ca="1">OFFSET(compute!E4,COUNTA(compute!E:E)-1,0)</f>
        <v>45.491086389368192</v>
      </c>
      <c r="V21" s="31"/>
    </row>
    <row r="22" spans="1:22" x14ac:dyDescent="0.2">
      <c r="A22" s="8">
        <v>43930</v>
      </c>
      <c r="B22" s="56">
        <v>3587</v>
      </c>
      <c r="C22" s="71">
        <f>Table2[[#This Row],[cases]]/$B$2</f>
        <v>7.6171020610982043E-3</v>
      </c>
      <c r="D22" s="26">
        <f>(Table2[[#This Row],[cases]]-B21)/B21</f>
        <v>8.1398854386493816E-2</v>
      </c>
      <c r="E22" s="38">
        <f t="shared" ref="E22" si="1">(LN(2)/LN(B22/B21))</f>
        <v>8.857495313952132</v>
      </c>
      <c r="F22" s="81">
        <f>Table2[[#This Row],[cases]]*100/$T$19</f>
        <v>10869.69696969697</v>
      </c>
      <c r="G22" s="35">
        <f>Table2[[#This Row],[cases]]*100/$T$13</f>
        <v>9197.4358974358965</v>
      </c>
      <c r="H22" s="35">
        <f>Table2[[#This Row],[cases]]*100/$T$16</f>
        <v>13285.185185185184</v>
      </c>
      <c r="I22" s="35">
        <f>Table2[[#This Row],[infection count, high end of estimate range]]-Table2[[#This Row],[infection count, low end of estimate range]]</f>
        <v>4087.7492877492878</v>
      </c>
      <c r="J22" s="35">
        <f>(Table2[[#This Row],[infection count, low end of estimate range]]+Table2[[#This Row],[infection count, high end of estimate range]])/2</f>
        <v>11241.31054131054</v>
      </c>
      <c r="K22" s="26">
        <f>Table2[[#This Row],[estimated infections]]/$T$6</f>
        <v>2.3082127457873348E-2</v>
      </c>
      <c r="L22" s="27">
        <f>Table2[[#This Row],[infection count, low end of estimate range]]/$T$6</f>
        <v>1.9531030925892832E-2</v>
      </c>
      <c r="M22" s="27">
        <f>Table2[[#This Row],[infection count, high end of estimate range]]/$T$6</f>
        <v>2.8211489115178533E-2</v>
      </c>
      <c r="N22" s="15">
        <f>Table2[[#This Row],[infection percentage, high end of estimate range]]-Table2[[#This Row],[infection percentage, low end of estimate range]]</f>
        <v>8.6804581892857002E-3</v>
      </c>
      <c r="O22" s="27">
        <f>(Table2[[#This Row],[infection percentage, low end of estimate range]]+Table2[[#This Row],[infection percentage, high end of estimate range]])/2</f>
        <v>2.3871260020535683E-2</v>
      </c>
      <c r="P22" s="3">
        <f>$T$6/(Table2[[#This Row],[cases]]*5)</f>
        <v>26.256704767214941</v>
      </c>
      <c r="Q22" s="3">
        <f>$T$6/(Table2[[#This Row],[cases]]*7)</f>
        <v>18.754789119439245</v>
      </c>
      <c r="R22" s="3">
        <f>Table2[[#This Row],[1-in-X odds, estimating 5x cases infected]]-Table2[[#This Row],[1-in-X odds, estimating 7x cases infected]]</f>
        <v>7.5019156477756965</v>
      </c>
      <c r="S22" s="3">
        <f>(Table2[[#This Row],[1-in-X odds, estimating 5x cases infected]]+Table2[[#This Row],[1-in-X odds, estimating 7x cases infected]])/2</f>
        <v>22.505746943327093</v>
      </c>
      <c r="V22" s="31"/>
    </row>
    <row r="23" spans="1:22" x14ac:dyDescent="0.2">
      <c r="A23" s="8">
        <v>43931</v>
      </c>
      <c r="B23" s="56">
        <v>3816</v>
      </c>
      <c r="C23" s="71">
        <f>Table2[[#This Row],[cases]]/$B$2</f>
        <v>8.1033904279762328E-3</v>
      </c>
      <c r="D23" s="26">
        <f>(Table2[[#This Row],[cases]]-B22)/B22</f>
        <v>6.3841650404237518E-2</v>
      </c>
      <c r="E23" s="38">
        <f t="shared" ref="E23" si="2">(LN(2)/LN(B23/B22))</f>
        <v>11.20028704389693</v>
      </c>
      <c r="F23" s="81">
        <f>Table2[[#This Row],[cases]]*100/$T$19</f>
        <v>11563.636363636364</v>
      </c>
      <c r="G23" s="35">
        <f>Table2[[#This Row],[cases]]*100/$T$13</f>
        <v>9784.6153846153848</v>
      </c>
      <c r="H23" s="35">
        <f>Table2[[#This Row],[cases]]*100/$T$16</f>
        <v>14133.333333333334</v>
      </c>
      <c r="I23" s="35">
        <f>Table2[[#This Row],[infection count, high end of estimate range]]-Table2[[#This Row],[infection count, low end of estimate range]]</f>
        <v>4348.7179487179492</v>
      </c>
      <c r="J23" s="35">
        <f>(Table2[[#This Row],[infection count, low end of estimate range]]+Table2[[#This Row],[infection count, high end of estimate range]])/2</f>
        <v>11958.974358974359</v>
      </c>
      <c r="K23" s="26">
        <f>Table2[[#This Row],[estimated infections]]/$T$6</f>
        <v>2.455572856962495E-2</v>
      </c>
      <c r="L23" s="27">
        <f>Table2[[#This Row],[infection count, low end of estimate range]]/$T$6</f>
        <v>2.0777924174298034E-2</v>
      </c>
      <c r="M23" s="27">
        <f>Table2[[#This Row],[infection count, high end of estimate range]]/$T$6</f>
        <v>3.0012557140652717E-2</v>
      </c>
      <c r="N23" s="15">
        <f>Table2[[#This Row],[infection percentage, high end of estimate range]]-Table2[[#This Row],[infection percentage, low end of estimate range]]</f>
        <v>9.2346329663546833E-3</v>
      </c>
      <c r="O23" s="27">
        <f>(Table2[[#This Row],[infection percentage, low end of estimate range]]+Table2[[#This Row],[infection percentage, high end of estimate range]])/2</f>
        <v>2.5395240657475376E-2</v>
      </c>
      <c r="P23" s="3">
        <f>$T$6/(Table2[[#This Row],[cases]]*5)</f>
        <v>24.681027253668763</v>
      </c>
      <c r="Q23" s="3">
        <f>$T$6/(Table2[[#This Row],[cases]]*7)</f>
        <v>17.629305181191974</v>
      </c>
      <c r="R23" s="3">
        <f>Table2[[#This Row],[1-in-X odds, estimating 5x cases infected]]-Table2[[#This Row],[1-in-X odds, estimating 7x cases infected]]</f>
        <v>7.0517220724767888</v>
      </c>
      <c r="S23" s="3">
        <f>(Table2[[#This Row],[1-in-X odds, estimating 5x cases infected]]+Table2[[#This Row],[1-in-X odds, estimating 7x cases infected]])/2</f>
        <v>21.15516621743037</v>
      </c>
      <c r="V23" s="31" t="s">
        <v>48</v>
      </c>
    </row>
    <row r="24" spans="1:22" x14ac:dyDescent="0.2">
      <c r="A24" s="8">
        <v>43932</v>
      </c>
      <c r="B24" s="56">
        <v>4091</v>
      </c>
      <c r="C24" s="71">
        <f>Table2[[#This Row],[cases]]/$B$2</f>
        <v>8.6873611742271407E-3</v>
      </c>
      <c r="D24" s="26">
        <f>(Table2[[#This Row],[cases]]-B23)/B23</f>
        <v>7.20649895178197E-2</v>
      </c>
      <c r="E24" s="38">
        <f t="shared" ref="E24" si="3">(LN(2)/LN(B24/B23))</f>
        <v>9.96091676104197</v>
      </c>
      <c r="F24" s="81">
        <f>Table2[[#This Row],[cases]]*100/$T$19</f>
        <v>12396.969696969696</v>
      </c>
      <c r="G24" s="35">
        <f>Table2[[#This Row],[cases]]*100/$T$13</f>
        <v>10489.74358974359</v>
      </c>
      <c r="H24" s="35">
        <f>Table2[[#This Row],[cases]]*100/$T$16</f>
        <v>15151.851851851852</v>
      </c>
      <c r="I24" s="35">
        <f>Table2[[#This Row],[infection count, high end of estimate range]]-Table2[[#This Row],[infection count, low end of estimate range]]</f>
        <v>4662.1082621082624</v>
      </c>
      <c r="J24" s="35">
        <f>(Table2[[#This Row],[infection count, low end of estimate range]]+Table2[[#This Row],[infection count, high end of estimate range]])/2</f>
        <v>12820.79772079772</v>
      </c>
      <c r="K24" s="26">
        <f>Table2[[#This Row],[estimated infections]]/$T$6</f>
        <v>2.6325336891597394E-2</v>
      </c>
      <c r="L24" s="27">
        <f>Table2[[#This Row],[infection count, low end of estimate range]]/$T$6</f>
        <v>2.2275285062120877E-2</v>
      </c>
      <c r="M24" s="27">
        <f>Table2[[#This Row],[infection count, high end of estimate range]]/$T$6</f>
        <v>3.2175411756396821E-2</v>
      </c>
      <c r="N24" s="15">
        <f>Table2[[#This Row],[infection percentage, high end of estimate range]]-Table2[[#This Row],[infection percentage, low end of estimate range]]</f>
        <v>9.9001266942759444E-3</v>
      </c>
      <c r="O24" s="27">
        <f>(Table2[[#This Row],[infection percentage, low end of estimate range]]+Table2[[#This Row],[infection percentage, high end of estimate range]])/2</f>
        <v>2.7225348409258849E-2</v>
      </c>
      <c r="P24" s="3">
        <f>$T$6/(Table2[[#This Row],[cases]]*5)</f>
        <v>23.021950623319483</v>
      </c>
      <c r="Q24" s="3">
        <f>$T$6/(Table2[[#This Row],[cases]]*7)</f>
        <v>16.444250445228203</v>
      </c>
      <c r="R24" s="3">
        <f>Table2[[#This Row],[1-in-X odds, estimating 5x cases infected]]-Table2[[#This Row],[1-in-X odds, estimating 7x cases infected]]</f>
        <v>6.5777001780912805</v>
      </c>
      <c r="S24" s="3">
        <f>(Table2[[#This Row],[1-in-X odds, estimating 5x cases infected]]+Table2[[#This Row],[1-in-X odds, estimating 7x cases infected]])/2</f>
        <v>19.733100534273845</v>
      </c>
      <c r="V24" s="31"/>
    </row>
    <row r="25" spans="1:22" x14ac:dyDescent="0.2">
      <c r="A25" s="8">
        <v>43933</v>
      </c>
      <c r="B25" s="56">
        <v>4273</v>
      </c>
      <c r="C25" s="71">
        <f>Table2[[#This Row],[cases]]/$B$2</f>
        <v>9.0738436317459245E-3</v>
      </c>
      <c r="D25" s="26">
        <f>(Table2[[#This Row],[cases]]-B24)/B24</f>
        <v>4.4487900268882913E-2</v>
      </c>
      <c r="E25" s="38">
        <f t="shared" ref="E25" si="4">(LN(2)/LN(B25/B24))</f>
        <v>15.924637026490627</v>
      </c>
      <c r="F25" s="81">
        <f>Table2[[#This Row],[cases]]*100/$T$19</f>
        <v>12948.484848484848</v>
      </c>
      <c r="G25" s="35">
        <f>Table2[[#This Row],[cases]]*100/$T$13</f>
        <v>10956.410256410256</v>
      </c>
      <c r="H25" s="35">
        <f>Table2[[#This Row],[cases]]*100/$T$16</f>
        <v>15825.925925925925</v>
      </c>
      <c r="I25" s="35">
        <f>Table2[[#This Row],[infection count, high end of estimate range]]-Table2[[#This Row],[infection count, low end of estimate range]]</f>
        <v>4869.5156695156693</v>
      </c>
      <c r="J25" s="35">
        <f>(Table2[[#This Row],[infection count, low end of estimate range]]+Table2[[#This Row],[infection count, high end of estimate range]])/2</f>
        <v>13391.168091168091</v>
      </c>
      <c r="K25" s="26">
        <f>Table2[[#This Row],[estimated infections]]/$T$6</f>
        <v>2.7496495853775525E-2</v>
      </c>
      <c r="L25" s="27">
        <f>Table2[[#This Row],[infection count, low end of estimate range]]/$T$6</f>
        <v>2.3266265722425444E-2</v>
      </c>
      <c r="M25" s="27">
        <f>Table2[[#This Row],[infection count, high end of estimate range]]/$T$6</f>
        <v>3.3606828265725641E-2</v>
      </c>
      <c r="N25" s="15">
        <f>Table2[[#This Row],[infection percentage, high end of estimate range]]-Table2[[#This Row],[infection percentage, low end of estimate range]]</f>
        <v>1.0340562543300198E-2</v>
      </c>
      <c r="O25" s="27">
        <f>(Table2[[#This Row],[infection percentage, low end of estimate range]]+Table2[[#This Row],[infection percentage, high end of estimate range]])/2</f>
        <v>2.8436546994075544E-2</v>
      </c>
      <c r="P25" s="3">
        <f>$T$6/(Table2[[#This Row],[cases]]*5)</f>
        <v>22.04137608237772</v>
      </c>
      <c r="Q25" s="3">
        <f>$T$6/(Table2[[#This Row],[cases]]*7)</f>
        <v>15.743840058841229</v>
      </c>
      <c r="R25" s="3">
        <f>Table2[[#This Row],[1-in-X odds, estimating 5x cases infected]]-Table2[[#This Row],[1-in-X odds, estimating 7x cases infected]]</f>
        <v>6.297536023536491</v>
      </c>
      <c r="S25" s="3">
        <f>(Table2[[#This Row],[1-in-X odds, estimating 5x cases infected]]+Table2[[#This Row],[1-in-X odds, estimating 7x cases infected]])/2</f>
        <v>18.892608070609477</v>
      </c>
      <c r="V25" s="31"/>
    </row>
    <row r="26" spans="1:22" x14ac:dyDescent="0.2">
      <c r="A26" s="8">
        <v>43934</v>
      </c>
      <c r="B26" s="56">
        <v>4487</v>
      </c>
      <c r="C26" s="71">
        <f>Table2[[#This Row],[cases]]/$B$2</f>
        <v>9.5282790488284488E-3</v>
      </c>
      <c r="D26" s="26">
        <f>(Table2[[#This Row],[cases]]-B25)/B25</f>
        <v>5.0081909665340513E-2</v>
      </c>
      <c r="E26" s="38">
        <f t="shared" ref="E26" si="5">(LN(2)/LN(B26/B25))</f>
        <v>14.184021538998522</v>
      </c>
      <c r="F26" s="81">
        <f>Table2[[#This Row],[cases]]*100/$T$19</f>
        <v>13596.969696969696</v>
      </c>
      <c r="G26" s="35">
        <f>Table2[[#This Row],[cases]]*100/$T$13</f>
        <v>11505.128205128205</v>
      </c>
      <c r="H26" s="35">
        <f>Table2[[#This Row],[cases]]*100/$T$16</f>
        <v>16618.518518518518</v>
      </c>
      <c r="I26" s="35">
        <f>Table2[[#This Row],[infection count, high end of estimate range]]-Table2[[#This Row],[infection count, low end of estimate range]]</f>
        <v>5113.3903133903132</v>
      </c>
      <c r="J26" s="35">
        <f>(Table2[[#This Row],[infection count, low end of estimate range]]+Table2[[#This Row],[infection count, high end of estimate range]])/2</f>
        <v>14061.823361823361</v>
      </c>
      <c r="K26" s="26">
        <f>Table2[[#This Row],[estimated infections]]/$T$6</f>
        <v>2.8873572875237719E-2</v>
      </c>
      <c r="L26" s="27">
        <f>Table2[[#This Row],[infection count, low end of estimate range]]/$T$6</f>
        <v>2.4431484740585766E-2</v>
      </c>
      <c r="M26" s="27">
        <f>Table2[[#This Row],[infection count, high end of estimate range]]/$T$6</f>
        <v>3.528992240306833E-2</v>
      </c>
      <c r="N26" s="15">
        <f>Table2[[#This Row],[infection percentage, high end of estimate range]]-Table2[[#This Row],[infection percentage, low end of estimate range]]</f>
        <v>1.0858437662482564E-2</v>
      </c>
      <c r="O26" s="27">
        <f>(Table2[[#This Row],[infection percentage, low end of estimate range]]+Table2[[#This Row],[infection percentage, high end of estimate range]])/2</f>
        <v>2.9860703571827046E-2</v>
      </c>
      <c r="P26" s="3">
        <f>$T$6/(Table2[[#This Row],[cases]]*5)</f>
        <v>20.990149320258524</v>
      </c>
      <c r="Q26" s="3">
        <f>$T$6/(Table2[[#This Row],[cases]]*7)</f>
        <v>14.992963800184661</v>
      </c>
      <c r="R26" s="3">
        <f>Table2[[#This Row],[1-in-X odds, estimating 5x cases infected]]-Table2[[#This Row],[1-in-X odds, estimating 7x cases infected]]</f>
        <v>5.9971855200738631</v>
      </c>
      <c r="S26" s="3">
        <f>(Table2[[#This Row],[1-in-X odds, estimating 5x cases infected]]+Table2[[#This Row],[1-in-X odds, estimating 7x cases infected]])/2</f>
        <v>17.991556560221593</v>
      </c>
      <c r="V26" s="31"/>
    </row>
    <row r="27" spans="1:22" x14ac:dyDescent="0.2">
      <c r="A27" s="8">
        <v>43935</v>
      </c>
      <c r="B27" s="56">
        <v>4648</v>
      </c>
      <c r="C27" s="71">
        <f>Table2[[#This Row],[cases]]/$B$2</f>
        <v>9.8701673766335256E-3</v>
      </c>
      <c r="D27" s="26">
        <f>(Table2[[#This Row],[cases]]-B26)/B26</f>
        <v>3.5881435257410298E-2</v>
      </c>
      <c r="E27" s="38">
        <f t="shared" ref="E27" si="6">(LN(2)/LN(B27/B26))</f>
        <v>19.662247910950395</v>
      </c>
      <c r="F27" s="81">
        <f>Table2[[#This Row],[cases]]*100/$T$19</f>
        <v>14084.848484848484</v>
      </c>
      <c r="G27" s="35">
        <f>Table2[[#This Row],[cases]]*100/$T$13</f>
        <v>11917.948717948719</v>
      </c>
      <c r="H27" s="35">
        <f>Table2[[#This Row],[cases]]*100/$T$16</f>
        <v>17214.814814814814</v>
      </c>
      <c r="I27" s="35">
        <f>Table2[[#This Row],[infection count, high end of estimate range]]-Table2[[#This Row],[infection count, low end of estimate range]]</f>
        <v>5296.8660968660952</v>
      </c>
      <c r="J27" s="35">
        <f>(Table2[[#This Row],[infection count, low end of estimate range]]+Table2[[#This Row],[infection count, high end of estimate range]])/2</f>
        <v>14566.381766381766</v>
      </c>
      <c r="K27" s="26">
        <f>Table2[[#This Row],[estimated infections]]/$T$6</f>
        <v>2.9909598111010682E-2</v>
      </c>
      <c r="L27" s="27">
        <f>Table2[[#This Row],[infection count, low end of estimate range]]/$T$6</f>
        <v>2.5308121478547503E-2</v>
      </c>
      <c r="M27" s="27">
        <f>Table2[[#This Row],[infection count, high end of estimate range]]/$T$6</f>
        <v>3.6556175469013054E-2</v>
      </c>
      <c r="N27" s="15">
        <f>Table2[[#This Row],[infection percentage, high end of estimate range]]-Table2[[#This Row],[infection percentage, low end of estimate range]]</f>
        <v>1.1248053990465551E-2</v>
      </c>
      <c r="O27" s="27">
        <f>(Table2[[#This Row],[infection percentage, low end of estimate range]]+Table2[[#This Row],[infection percentage, high end of estimate range]])/2</f>
        <v>3.0932148473780278E-2</v>
      </c>
      <c r="P27" s="3">
        <f>$T$6/(Table2[[#This Row],[cases]]*5)</f>
        <v>20.263080895008606</v>
      </c>
      <c r="Q27" s="3">
        <f>$T$6/(Table2[[#This Row],[cases]]*7)</f>
        <v>14.473629210720432</v>
      </c>
      <c r="R27" s="3">
        <f>Table2[[#This Row],[1-in-X odds, estimating 5x cases infected]]-Table2[[#This Row],[1-in-X odds, estimating 7x cases infected]]</f>
        <v>5.7894516842881742</v>
      </c>
      <c r="S27" s="3">
        <f>(Table2[[#This Row],[1-in-X odds, estimating 5x cases infected]]+Table2[[#This Row],[1-in-X odds, estimating 7x cases infected]])/2</f>
        <v>17.368355052864519</v>
      </c>
      <c r="V27" s="31"/>
    </row>
    <row r="28" spans="1:22" x14ac:dyDescent="0.2">
      <c r="A28" s="8">
        <v>43936</v>
      </c>
      <c r="B28" s="56">
        <v>4857</v>
      </c>
      <c r="C28" s="71">
        <f>Table2[[#This Row],[cases]]/$B$2</f>
        <v>1.0313985143784215E-2</v>
      </c>
      <c r="D28" s="26">
        <f>(Table2[[#This Row],[cases]]-B27)/B27</f>
        <v>4.4965576592082619E-2</v>
      </c>
      <c r="E28" s="38">
        <f t="shared" ref="E28" si="7">(LN(2)/LN(B28/B27))</f>
        <v>15.759095716636351</v>
      </c>
      <c r="F28" s="81">
        <f>Table2[[#This Row],[cases]]*100/$T$19</f>
        <v>14718.181818181818</v>
      </c>
      <c r="G28" s="35">
        <f>Table2[[#This Row],[cases]]*100/$T$13</f>
        <v>12453.846153846154</v>
      </c>
      <c r="H28" s="35">
        <f>Table2[[#This Row],[cases]]*100/$T$16</f>
        <v>17988.888888888891</v>
      </c>
      <c r="I28" s="35">
        <f>Table2[[#This Row],[infection count, high end of estimate range]]-Table2[[#This Row],[infection count, low end of estimate range]]</f>
        <v>5535.0427350427362</v>
      </c>
      <c r="J28" s="35">
        <f>(Table2[[#This Row],[infection count, low end of estimate range]]+Table2[[#This Row],[infection count, high end of estimate range]])/2</f>
        <v>15221.367521367523</v>
      </c>
      <c r="K28" s="26">
        <f>Table2[[#This Row],[estimated infections]]/$T$6</f>
        <v>3.1254500435709744E-2</v>
      </c>
      <c r="L28" s="27">
        <f>Table2[[#This Row],[infection count, low end of estimate range]]/$T$6</f>
        <v>2.6446115753292861E-2</v>
      </c>
      <c r="M28" s="27">
        <f>Table2[[#This Row],[infection count, high end of estimate range]]/$T$6</f>
        <v>3.8199944976978581E-2</v>
      </c>
      <c r="N28" s="15">
        <f>Table2[[#This Row],[infection percentage, high end of estimate range]]-Table2[[#This Row],[infection percentage, low end of estimate range]]</f>
        <v>1.175382922368572E-2</v>
      </c>
      <c r="O28" s="27">
        <f>(Table2[[#This Row],[infection percentage, low end of estimate range]]+Table2[[#This Row],[infection percentage, high end of estimate range]])/2</f>
        <v>3.2323030365135723E-2</v>
      </c>
      <c r="P28" s="3">
        <f>$T$6/(Table2[[#This Row],[cases]]*5)</f>
        <v>19.391146798435248</v>
      </c>
      <c r="Q28" s="3">
        <f>$T$6/(Table2[[#This Row],[cases]]*7)</f>
        <v>13.850819141739462</v>
      </c>
      <c r="R28" s="3">
        <f>Table2[[#This Row],[1-in-X odds, estimating 5x cases infected]]-Table2[[#This Row],[1-in-X odds, estimating 7x cases infected]]</f>
        <v>5.5403276566957853</v>
      </c>
      <c r="S28" s="3">
        <f>(Table2[[#This Row],[1-in-X odds, estimating 5x cases infected]]+Table2[[#This Row],[1-in-X odds, estimating 7x cases infected]])/2</f>
        <v>16.620982970087354</v>
      </c>
      <c r="V28" s="31"/>
    </row>
    <row r="29" spans="1:22" x14ac:dyDescent="0.2">
      <c r="A29" s="8">
        <v>43937</v>
      </c>
      <c r="B29" s="56">
        <v>5018</v>
      </c>
      <c r="C29" s="71">
        <f>Table2[[#This Row],[cases]]/$B$2</f>
        <v>1.0655873471589292E-2</v>
      </c>
      <c r="D29" s="26">
        <f>(Table2[[#This Row],[cases]]-B28)/B28</f>
        <v>3.3148033765698991E-2</v>
      </c>
      <c r="E29" s="38">
        <f t="shared" ref="E29:E30" si="8">(LN(2)/LN(B29/B28))</f>
        <v>21.255347458768309</v>
      </c>
      <c r="F29" s="81">
        <f>Table2[[#This Row],[cases]]*100/$T$19</f>
        <v>15206.060606060606</v>
      </c>
      <c r="G29" s="35">
        <f>Table2[[#This Row],[cases]]*100/$T$13</f>
        <v>12866.666666666666</v>
      </c>
      <c r="H29" s="35">
        <f>Table2[[#This Row],[cases]]*100/$T$16</f>
        <v>18585.185185185186</v>
      </c>
      <c r="I29" s="35">
        <f>Table2[[#This Row],[infection count, high end of estimate range]]-Table2[[#This Row],[infection count, low end of estimate range]]</f>
        <v>5718.5185185185201</v>
      </c>
      <c r="J29" s="35">
        <f>(Table2[[#This Row],[infection count, low end of estimate range]]+Table2[[#This Row],[infection count, high end of estimate range]])/2</f>
        <v>15725.925925925927</v>
      </c>
      <c r="K29" s="26">
        <f>Table2[[#This Row],[estimated infections]]/$T$6</f>
        <v>3.2290525671482703E-2</v>
      </c>
      <c r="L29" s="27">
        <f>Table2[[#This Row],[infection count, low end of estimate range]]/$T$6</f>
        <v>2.7322752491254595E-2</v>
      </c>
      <c r="M29" s="27">
        <f>Table2[[#This Row],[infection count, high end of estimate range]]/$T$6</f>
        <v>3.9466198042923305E-2</v>
      </c>
      <c r="N29" s="15">
        <f>Table2[[#This Row],[infection percentage, high end of estimate range]]-Table2[[#This Row],[infection percentage, low end of estimate range]]</f>
        <v>1.214344555166871E-2</v>
      </c>
      <c r="O29" s="27">
        <f>(Table2[[#This Row],[infection percentage, low end of estimate range]]+Table2[[#This Row],[infection percentage, high end of estimate range]])/2</f>
        <v>3.3394475267088948E-2</v>
      </c>
      <c r="P29" s="3">
        <f>$T$6/(Table2[[#This Row],[cases]]*5)</f>
        <v>18.768991630131527</v>
      </c>
      <c r="Q29" s="3">
        <f>$T$6/(Table2[[#This Row],[cases]]*7)</f>
        <v>13.40642259295109</v>
      </c>
      <c r="R29" s="3">
        <f>Table2[[#This Row],[1-in-X odds, estimating 5x cases infected]]-Table2[[#This Row],[1-in-X odds, estimating 7x cases infected]]</f>
        <v>5.3625690371804371</v>
      </c>
      <c r="S29" s="3">
        <f>(Table2[[#This Row],[1-in-X odds, estimating 5x cases infected]]+Table2[[#This Row],[1-in-X odds, estimating 7x cases infected]])/2</f>
        <v>16.08770711154131</v>
      </c>
      <c r="V29" s="31"/>
    </row>
    <row r="30" spans="1:22" x14ac:dyDescent="0.2">
      <c r="A30" s="8">
        <v>43938</v>
      </c>
      <c r="B30" s="56">
        <v>5325</v>
      </c>
      <c r="C30" s="71">
        <f>Table2[[#This Row],[cases]]/$B$2</f>
        <v>1.1307797177403942E-2</v>
      </c>
      <c r="D30" s="26">
        <f>(Table2[[#This Row],[cases]]-B29)/B29</f>
        <v>6.1179752889597448E-2</v>
      </c>
      <c r="E30" s="38">
        <f t="shared" si="8"/>
        <v>11.672826375517154</v>
      </c>
      <c r="F30" s="81">
        <f>Table2[[#This Row],[cases]]*100/$T$19</f>
        <v>16136.363636363636</v>
      </c>
      <c r="G30" s="35">
        <f>Table2[[#This Row],[cases]]*100/$T$13</f>
        <v>13653.846153846154</v>
      </c>
      <c r="H30" s="35">
        <f>Table2[[#This Row],[cases]]*100/$T$16</f>
        <v>19722.222222222223</v>
      </c>
      <c r="I30" s="35">
        <f>Table2[[#This Row],[infection count, high end of estimate range]]-Table2[[#This Row],[infection count, low end of estimate range]]</f>
        <v>6068.3760683760684</v>
      </c>
      <c r="J30" s="35">
        <f>(Table2[[#This Row],[infection count, low end of estimate range]]+Table2[[#This Row],[infection count, high end of estimate range]])/2</f>
        <v>16688.034188034188</v>
      </c>
      <c r="K30" s="26">
        <f>Table2[[#This Row],[estimated infections]]/$T$6</f>
        <v>3.4266052052739221E-2</v>
      </c>
      <c r="L30" s="27">
        <f>Table2[[#This Row],[infection count, low end of estimate range]]/$T$6</f>
        <v>2.8994351736933186E-2</v>
      </c>
      <c r="M30" s="27">
        <f>Table2[[#This Row],[infection count, high end of estimate range]]/$T$6</f>
        <v>4.1880730286681267E-2</v>
      </c>
      <c r="N30" s="15">
        <f>Table2[[#This Row],[infection percentage, high end of estimate range]]-Table2[[#This Row],[infection percentage, low end of estimate range]]</f>
        <v>1.2886378549748081E-2</v>
      </c>
      <c r="O30" s="27">
        <f>(Table2[[#This Row],[infection percentage, low end of estimate range]]+Table2[[#This Row],[infection percentage, high end of estimate range]])/2</f>
        <v>3.5437541011807225E-2</v>
      </c>
      <c r="P30" s="3">
        <f>$T$6/(Table2[[#This Row],[cases]]*5)</f>
        <v>17.686910798122067</v>
      </c>
      <c r="Q30" s="3">
        <f>$T$6/(Table2[[#This Row],[cases]]*7)</f>
        <v>12.633507712944333</v>
      </c>
      <c r="R30" s="3">
        <f>Table2[[#This Row],[1-in-X odds, estimating 5x cases infected]]-Table2[[#This Row],[1-in-X odds, estimating 7x cases infected]]</f>
        <v>5.0534030851777345</v>
      </c>
      <c r="S30" s="3">
        <f>(Table2[[#This Row],[1-in-X odds, estimating 5x cases infected]]+Table2[[#This Row],[1-in-X odds, estimating 7x cases infected]])/2</f>
        <v>15.1602092555332</v>
      </c>
      <c r="V30" s="31"/>
    </row>
    <row r="31" spans="1:22" x14ac:dyDescent="0.2">
      <c r="A31" s="8">
        <v>43939</v>
      </c>
      <c r="B31" s="56">
        <v>5473</v>
      </c>
      <c r="C31" s="71">
        <f>Table2[[#This Row],[cases]]/$B$2</f>
        <v>1.1622079615386249E-2</v>
      </c>
      <c r="D31" s="26">
        <f>(Table2[[#This Row],[cases]]-B30)/B30</f>
        <v>2.7793427230046949E-2</v>
      </c>
      <c r="E31" s="38">
        <f t="shared" ref="E31" si="9">(LN(2)/LN(B31/B30))</f>
        <v>25.284238323265988</v>
      </c>
      <c r="F31" s="81">
        <f>Table2[[#This Row],[cases]]*100/$T$19</f>
        <v>16584.848484848484</v>
      </c>
      <c r="G31" s="35">
        <f>Table2[[#This Row],[cases]]*100/$T$13</f>
        <v>14033.333333333334</v>
      </c>
      <c r="H31" s="35">
        <f>Table2[[#This Row],[cases]]*100/$T$16</f>
        <v>20270.370370370369</v>
      </c>
      <c r="I31" s="35">
        <f>Table2[[#This Row],[infection count, high end of estimate range]]-Table2[[#This Row],[infection count, low end of estimate range]]</f>
        <v>6237.0370370370347</v>
      </c>
      <c r="J31" s="35">
        <f>(Table2[[#This Row],[infection count, low end of estimate range]]+Table2[[#This Row],[infection count, high end of estimate range]])/2</f>
        <v>17151.85185185185</v>
      </c>
      <c r="K31" s="26">
        <f>Table2[[#This Row],[estimated infections]]/$T$6</f>
        <v>3.5218423076928025E-2</v>
      </c>
      <c r="L31" s="27">
        <f>Table2[[#This Row],[infection count, low end of estimate range]]/$T$6</f>
        <v>2.9800204142016024E-2</v>
      </c>
      <c r="M31" s="27">
        <f>Table2[[#This Row],[infection count, high end of estimate range]]/$T$6</f>
        <v>4.3044739316245362E-2</v>
      </c>
      <c r="N31" s="15">
        <f>Table2[[#This Row],[infection percentage, high end of estimate range]]-Table2[[#This Row],[infection percentage, low end of estimate range]]</f>
        <v>1.3244535174229338E-2</v>
      </c>
      <c r="O31" s="27">
        <f>(Table2[[#This Row],[infection percentage, low end of estimate range]]+Table2[[#This Row],[infection percentage, high end of estimate range]])/2</f>
        <v>3.6422471729130691E-2</v>
      </c>
      <c r="P31" s="3">
        <f>$T$6/(Table2[[#This Row],[cases]]*5)</f>
        <v>17.208624154942445</v>
      </c>
      <c r="Q31" s="3">
        <f>$T$6/(Table2[[#This Row],[cases]]*7)</f>
        <v>12.29187439638746</v>
      </c>
      <c r="R31" s="3">
        <f>Table2[[#This Row],[1-in-X odds, estimating 5x cases infected]]-Table2[[#This Row],[1-in-X odds, estimating 7x cases infected]]</f>
        <v>4.9167497585549853</v>
      </c>
      <c r="S31" s="3">
        <f>(Table2[[#This Row],[1-in-X odds, estimating 5x cases infected]]+Table2[[#This Row],[1-in-X odds, estimating 7x cases infected]])/2</f>
        <v>14.750249275664952</v>
      </c>
      <c r="V31" s="31"/>
    </row>
    <row r="32" spans="1:22" x14ac:dyDescent="0.2">
      <c r="A32" s="8">
        <v>43940</v>
      </c>
      <c r="B32" s="56">
        <v>5645</v>
      </c>
      <c r="C32" s="71">
        <f>Table2[[#This Row],[cases]]/$B$2</f>
        <v>1.1987326773041361E-2</v>
      </c>
      <c r="D32" s="26">
        <f>(Table2[[#This Row],[cases]]-B31)/B31</f>
        <v>3.1427005298739263E-2</v>
      </c>
      <c r="E32" s="38">
        <f t="shared" ref="E32:E34" si="10">(LN(2)/LN(B32/B31))</f>
        <v>22.400568352945822</v>
      </c>
      <c r="F32" s="81">
        <f>Table2[[#This Row],[cases]]*100/$T$19</f>
        <v>17106.060606060608</v>
      </c>
      <c r="G32" s="35">
        <f>Table2[[#This Row],[cases]]*100/$T$13</f>
        <v>14474.358974358975</v>
      </c>
      <c r="H32" s="35">
        <f>Table2[[#This Row],[cases]]*100/$T$16</f>
        <v>20907.407407407409</v>
      </c>
      <c r="I32" s="35">
        <f>Table2[[#This Row],[infection count, high end of estimate range]]-Table2[[#This Row],[infection count, low end of estimate range]]</f>
        <v>6433.0484330484342</v>
      </c>
      <c r="J32" s="35">
        <f>(Table2[[#This Row],[infection count, low end of estimate range]]+Table2[[#This Row],[infection count, high end of estimate range]])/2</f>
        <v>17690.883190883193</v>
      </c>
      <c r="K32" s="26">
        <f>Table2[[#This Row],[estimated infections]]/$T$6</f>
        <v>3.6325232645579887E-2</v>
      </c>
      <c r="L32" s="27">
        <f>Table2[[#This Row],[infection count, low end of estimate range]]/$T$6</f>
        <v>3.0736735315490673E-2</v>
      </c>
      <c r="M32" s="27">
        <f>Table2[[#This Row],[infection count, high end of estimate range]]/$T$6</f>
        <v>4.4397506566819865E-2</v>
      </c>
      <c r="N32" s="15">
        <f>Table2[[#This Row],[infection percentage, high end of estimate range]]-Table2[[#This Row],[infection percentage, low end of estimate range]]</f>
        <v>1.3660771251329192E-2</v>
      </c>
      <c r="O32" s="27">
        <f>(Table2[[#This Row],[infection percentage, low end of estimate range]]+Table2[[#This Row],[infection percentage, high end of estimate range]])/2</f>
        <v>3.7567120941155267E-2</v>
      </c>
      <c r="P32" s="3">
        <f>$T$6/(Table2[[#This Row],[cases]]*5)</f>
        <v>16.684286979627988</v>
      </c>
      <c r="Q32" s="3">
        <f>$T$6/(Table2[[#This Row],[cases]]*7)</f>
        <v>11.91734784259142</v>
      </c>
      <c r="R32" s="3">
        <f>Table2[[#This Row],[1-in-X odds, estimating 5x cases infected]]-Table2[[#This Row],[1-in-X odds, estimating 7x cases infected]]</f>
        <v>4.7669391370365677</v>
      </c>
      <c r="S32" s="3">
        <f>(Table2[[#This Row],[1-in-X odds, estimating 5x cases infected]]+Table2[[#This Row],[1-in-X odds, estimating 7x cases infected]])/2</f>
        <v>14.300817411109705</v>
      </c>
      <c r="V32" s="31"/>
    </row>
    <row r="33" spans="1:22" x14ac:dyDescent="0.2">
      <c r="A33" s="8">
        <v>43941</v>
      </c>
      <c r="B33" s="56">
        <v>5852</v>
      </c>
      <c r="C33" s="71">
        <f>Table2[[#This Row],[cases]]/$B$2</f>
        <v>1.2426897480219318E-2</v>
      </c>
      <c r="D33" s="26">
        <f>(Table2[[#This Row],[cases]]-B32)/B32</f>
        <v>3.6669619131975202E-2</v>
      </c>
      <c r="E33" s="38">
        <f t="shared" si="10"/>
        <v>19.246985379249875</v>
      </c>
      <c r="F33" s="81">
        <f>Table2[[#This Row],[cases]]*100/$T$19</f>
        <v>17733.333333333332</v>
      </c>
      <c r="G33" s="35">
        <f>Table2[[#This Row],[cases]]*100/$T$13</f>
        <v>15005.128205128205</v>
      </c>
      <c r="H33" s="35">
        <f>Table2[[#This Row],[cases]]*100/$T$16</f>
        <v>21674.074074074073</v>
      </c>
      <c r="I33" s="35">
        <f>Table2[[#This Row],[infection count, high end of estimate range]]-Table2[[#This Row],[infection count, low end of estimate range]]</f>
        <v>6668.9458689458679</v>
      </c>
      <c r="J33" s="35">
        <f>(Table2[[#This Row],[infection count, low end of estimate range]]+Table2[[#This Row],[infection count, high end of estimate range]])/2</f>
        <v>18339.601139601138</v>
      </c>
      <c r="K33" s="26">
        <f>Table2[[#This Row],[estimated infections]]/$T$6</f>
        <v>3.7657265091573688E-2</v>
      </c>
      <c r="L33" s="27">
        <f>Table2[[#This Row],[infection count, low end of estimate range]]/$T$6</f>
        <v>3.1863839692870044E-2</v>
      </c>
      <c r="M33" s="27">
        <f>Table2[[#This Row],[infection count, high end of estimate range]]/$T$6</f>
        <v>4.6025546223034508E-2</v>
      </c>
      <c r="N33" s="15">
        <f>Table2[[#This Row],[infection percentage, high end of estimate range]]-Table2[[#This Row],[infection percentage, low end of estimate range]]</f>
        <v>1.4161706530164464E-2</v>
      </c>
      <c r="O33" s="27">
        <f>(Table2[[#This Row],[infection percentage, low end of estimate range]]+Table2[[#This Row],[infection percentage, high end of estimate range]])/2</f>
        <v>3.8944692957952276E-2</v>
      </c>
      <c r="P33" s="3">
        <f>$T$6/(Table2[[#This Row],[cases]]*5)</f>
        <v>16.094121667805879</v>
      </c>
      <c r="Q33" s="3">
        <f>$T$6/(Table2[[#This Row],[cases]]*7)</f>
        <v>11.495801191289914</v>
      </c>
      <c r="R33" s="3">
        <f>Table2[[#This Row],[1-in-X odds, estimating 5x cases infected]]-Table2[[#This Row],[1-in-X odds, estimating 7x cases infected]]</f>
        <v>4.5983204765159655</v>
      </c>
      <c r="S33" s="3">
        <f>(Table2[[#This Row],[1-in-X odds, estimating 5x cases infected]]+Table2[[#This Row],[1-in-X odds, estimating 7x cases infected]])/2</f>
        <v>13.794961429547897</v>
      </c>
      <c r="V33" s="31"/>
    </row>
    <row r="34" spans="1:22" x14ac:dyDescent="0.2">
      <c r="A34" s="8">
        <v>43942</v>
      </c>
      <c r="B34" s="56">
        <v>6064</v>
      </c>
      <c r="C34" s="71">
        <f>Table2[[#This Row],[cases]]/$B$2</f>
        <v>1.2877085837329109E-2</v>
      </c>
      <c r="D34" s="26">
        <f>(Table2[[#This Row],[cases]]-B33)/B33</f>
        <v>3.6226930963773066E-2</v>
      </c>
      <c r="E34" s="38">
        <f t="shared" si="10"/>
        <v>19.477995929350573</v>
      </c>
      <c r="F34" s="81">
        <f>Table2[[#This Row],[cases]]*100/$T$19</f>
        <v>18375.757575757576</v>
      </c>
      <c r="G34" s="35">
        <f>Table2[[#This Row],[cases]]*100/$T$13</f>
        <v>15548.717948717949</v>
      </c>
      <c r="H34" s="35">
        <f>Table2[[#This Row],[cases]]*100/$T$16</f>
        <v>22459.259259259259</v>
      </c>
      <c r="I34" s="35">
        <f>Table2[[#This Row],[infection count, high end of estimate range]]-Table2[[#This Row],[infection count, low end of estimate range]]</f>
        <v>6910.5413105413099</v>
      </c>
      <c r="J34" s="35">
        <f>(Table2[[#This Row],[infection count, low end of estimate range]]+Table2[[#This Row],[infection count, high end of estimate range]])/2</f>
        <v>19003.988603988604</v>
      </c>
      <c r="K34" s="26">
        <f>Table2[[#This Row],[estimated infections]]/$T$6</f>
        <v>3.9021472234330633E-2</v>
      </c>
      <c r="L34" s="27">
        <f>Table2[[#This Row],[infection count, low end of estimate range]]/$T$6</f>
        <v>3.3018168813664379E-2</v>
      </c>
      <c r="M34" s="27">
        <f>Table2[[#This Row],[infection count, high end of estimate range]]/$T$6</f>
        <v>4.7692910508626327E-2</v>
      </c>
      <c r="N34" s="15">
        <f>Table2[[#This Row],[infection percentage, high end of estimate range]]-Table2[[#This Row],[infection percentage, low end of estimate range]]</f>
        <v>1.4674741694961947E-2</v>
      </c>
      <c r="O34" s="27">
        <f>(Table2[[#This Row],[infection percentage, low end of estimate range]]+Table2[[#This Row],[infection percentage, high end of estimate range]])/2</f>
        <v>4.0355539661145357E-2</v>
      </c>
      <c r="P34" s="3">
        <f>$T$6/(Table2[[#This Row],[cases]]*5)</f>
        <v>15.531464379947229</v>
      </c>
      <c r="Q34" s="3">
        <f>$T$6/(Table2[[#This Row],[cases]]*7)</f>
        <v>11.093903128533736</v>
      </c>
      <c r="R34" s="3">
        <f>Table2[[#This Row],[1-in-X odds, estimating 5x cases infected]]-Table2[[#This Row],[1-in-X odds, estimating 7x cases infected]]</f>
        <v>4.4375612514134932</v>
      </c>
      <c r="S34" s="3">
        <f>(Table2[[#This Row],[1-in-X odds, estimating 5x cases infected]]+Table2[[#This Row],[1-in-X odds, estimating 7x cases infected]])/2</f>
        <v>13.312683754240481</v>
      </c>
      <c r="V34" s="31"/>
    </row>
    <row r="35" spans="1:22" x14ac:dyDescent="0.2">
      <c r="A35" s="8">
        <v>43943</v>
      </c>
      <c r="B35" s="56">
        <v>6227</v>
      </c>
      <c r="C35" s="71">
        <f>Table2[[#This Row],[cases]]/$B$2</f>
        <v>1.3223221225106919E-2</v>
      </c>
      <c r="D35" s="26">
        <f>(Table2[[#This Row],[cases]]-B34)/B34</f>
        <v>2.6879947229551452E-2</v>
      </c>
      <c r="E35" s="38">
        <f t="shared" ref="E35:E44" si="11">(LN(2)/LN(B35/B34))</f>
        <v>26.131817554080403</v>
      </c>
      <c r="F35" s="81">
        <f>Table2[[#This Row],[cases]]*100/$T$19</f>
        <v>18869.696969696968</v>
      </c>
      <c r="G35" s="35">
        <f>Table2[[#This Row],[cases]]*100/$T$13</f>
        <v>15966.666666666666</v>
      </c>
      <c r="H35" s="35">
        <f>Table2[[#This Row],[cases]]*100/$T$16</f>
        <v>23062.962962962964</v>
      </c>
      <c r="I35" s="35">
        <f>Table2[[#This Row],[infection count, high end of estimate range]]-Table2[[#This Row],[infection count, low end of estimate range]]</f>
        <v>7096.2962962962974</v>
      </c>
      <c r="J35" s="35">
        <f>(Table2[[#This Row],[infection count, low end of estimate range]]+Table2[[#This Row],[infection count, high end of estimate range]])/2</f>
        <v>19514.814814814814</v>
      </c>
      <c r="K35" s="26">
        <f>Table2[[#This Row],[estimated infections]]/$T$6</f>
        <v>4.0070367348808845E-2</v>
      </c>
      <c r="L35" s="27">
        <f>Table2[[#This Row],[infection count, low end of estimate range]]/$T$6</f>
        <v>3.39056954489921E-2</v>
      </c>
      <c r="M35" s="27">
        <f>Table2[[#This Row],[infection count, high end of estimate range]]/$T$6</f>
        <v>4.8974893426321928E-2</v>
      </c>
      <c r="N35" s="15">
        <f>Table2[[#This Row],[infection percentage, high end of estimate range]]-Table2[[#This Row],[infection percentage, low end of estimate range]]</f>
        <v>1.5069197977329828E-2</v>
      </c>
      <c r="O35" s="27">
        <f>(Table2[[#This Row],[infection percentage, low end of estimate range]]+Table2[[#This Row],[infection percentage, high end of estimate range]])/2</f>
        <v>4.144029443765701E-2</v>
      </c>
      <c r="P35" s="3">
        <f>$T$6/(Table2[[#This Row],[cases]]*5)</f>
        <v>15.124907660189498</v>
      </c>
      <c r="Q35" s="3">
        <f>$T$6/(Table2[[#This Row],[cases]]*7)</f>
        <v>10.803505471563927</v>
      </c>
      <c r="R35" s="3">
        <f>Table2[[#This Row],[1-in-X odds, estimating 5x cases infected]]-Table2[[#This Row],[1-in-X odds, estimating 7x cases infected]]</f>
        <v>4.3214021886255711</v>
      </c>
      <c r="S35" s="3">
        <f>(Table2[[#This Row],[1-in-X odds, estimating 5x cases infected]]+Table2[[#This Row],[1-in-X odds, estimating 7x cases infected]])/2</f>
        <v>12.964206565876712</v>
      </c>
      <c r="V35" s="31"/>
    </row>
    <row r="36" spans="1:22" x14ac:dyDescent="0.2">
      <c r="A36" s="8">
        <v>43944</v>
      </c>
      <c r="B36" s="56">
        <v>6413</v>
      </c>
      <c r="C36" s="71">
        <f>Table2[[#This Row],[cases]]/$B$2</f>
        <v>1.361819780257117E-2</v>
      </c>
      <c r="D36" s="26">
        <f>(Table2[[#This Row],[cases]]-B35)/B35</f>
        <v>2.9869921310422355E-2</v>
      </c>
      <c r="E36" s="38">
        <f t="shared" si="11"/>
        <v>23.55039768449053</v>
      </c>
      <c r="F36" s="81">
        <f>Table2[[#This Row],[cases]]*100/$T$19</f>
        <v>19433.333333333332</v>
      </c>
      <c r="G36" s="35">
        <f>Table2[[#This Row],[cases]]*100/$T$13</f>
        <v>16443.589743589742</v>
      </c>
      <c r="H36" s="35">
        <f>Table2[[#This Row],[cases]]*100/$T$16</f>
        <v>23751.85185185185</v>
      </c>
      <c r="I36" s="35">
        <f>Table2[[#This Row],[infection count, high end of estimate range]]-Table2[[#This Row],[infection count, low end of estimate range]]</f>
        <v>7308.2621082621081</v>
      </c>
      <c r="J36" s="35">
        <f>(Table2[[#This Row],[infection count, low end of estimate range]]+Table2[[#This Row],[infection count, high end of estimate range]])/2</f>
        <v>20097.720797720795</v>
      </c>
      <c r="K36" s="26">
        <f>Table2[[#This Row],[estimated infections]]/$T$6</f>
        <v>4.1267266068397486E-2</v>
      </c>
      <c r="L36" s="27">
        <f>Table2[[#This Row],[infection count, low end of estimate range]]/$T$6</f>
        <v>3.4918455904028638E-2</v>
      </c>
      <c r="M36" s="27">
        <f>Table2[[#This Row],[infection count, high end of estimate range]]/$T$6</f>
        <v>5.0437769639152481E-2</v>
      </c>
      <c r="N36" s="15">
        <f>Table2[[#This Row],[infection percentage, high end of estimate range]]-Table2[[#This Row],[infection percentage, low end of estimate range]]</f>
        <v>1.5519313735123844E-2</v>
      </c>
      <c r="O36" s="27">
        <f>(Table2[[#This Row],[infection percentage, low end of estimate range]]+Table2[[#This Row],[infection percentage, high end of estimate range]])/2</f>
        <v>4.2678112771590559E-2</v>
      </c>
      <c r="P36" s="3">
        <f>$T$6/(Table2[[#This Row],[cases]]*5)</f>
        <v>14.686231093092157</v>
      </c>
      <c r="Q36" s="3">
        <f>$T$6/(Table2[[#This Row],[cases]]*7)</f>
        <v>10.490165066494397</v>
      </c>
      <c r="R36" s="3">
        <f>Table2[[#This Row],[1-in-X odds, estimating 5x cases infected]]-Table2[[#This Row],[1-in-X odds, estimating 7x cases infected]]</f>
        <v>4.1960660265977605</v>
      </c>
      <c r="S36" s="3">
        <f>(Table2[[#This Row],[1-in-X odds, estimating 5x cases infected]]+Table2[[#This Row],[1-in-X odds, estimating 7x cases infected]])/2</f>
        <v>12.588198079793276</v>
      </c>
      <c r="V36" s="31"/>
    </row>
    <row r="37" spans="1:22" x14ac:dyDescent="0.2">
      <c r="A37" s="8">
        <v>43945</v>
      </c>
      <c r="B37" s="56">
        <v>6658</v>
      </c>
      <c r="C37" s="71">
        <f>Table2[[#This Row],[cases]]/$B$2</f>
        <v>1.4138462649231069E-2</v>
      </c>
      <c r="D37" s="26">
        <f>(Table2[[#This Row],[cases]]-B36)/B36</f>
        <v>3.8203648838297209E-2</v>
      </c>
      <c r="E37" s="38">
        <f t="shared" si="11"/>
        <v>18.487889118218384</v>
      </c>
      <c r="F37" s="81">
        <f>Table2[[#This Row],[cases]]*100/$T$19</f>
        <v>20175.757575757576</v>
      </c>
      <c r="G37" s="35">
        <f>Table2[[#This Row],[cases]]*100/$T$13</f>
        <v>17071.794871794871</v>
      </c>
      <c r="H37" s="35">
        <f>Table2[[#This Row],[cases]]*100/$T$16</f>
        <v>24659.259259259259</v>
      </c>
      <c r="I37" s="35">
        <f>Table2[[#This Row],[infection count, high end of estimate range]]-Table2[[#This Row],[infection count, low end of estimate range]]</f>
        <v>7587.464387464388</v>
      </c>
      <c r="J37" s="35">
        <f>(Table2[[#This Row],[infection count, low end of estimate range]]+Table2[[#This Row],[infection count, high end of estimate range]])/2</f>
        <v>20865.527065527065</v>
      </c>
      <c r="K37" s="26">
        <f>Table2[[#This Row],[estimated infections]]/$T$6</f>
        <v>4.2843826209791123E-2</v>
      </c>
      <c r="L37" s="27">
        <f>Table2[[#This Row],[infection count, low end of estimate range]]/$T$6</f>
        <v>3.6252468331361719E-2</v>
      </c>
      <c r="M37" s="27">
        <f>Table2[[#This Row],[infection count, high end of estimate range]]/$T$6</f>
        <v>5.236467647863359E-2</v>
      </c>
      <c r="N37" s="15">
        <f>Table2[[#This Row],[infection percentage, high end of estimate range]]-Table2[[#This Row],[infection percentage, low end of estimate range]]</f>
        <v>1.6112208147271871E-2</v>
      </c>
      <c r="O37" s="27">
        <f>(Table2[[#This Row],[infection percentage, low end of estimate range]]+Table2[[#This Row],[infection percentage, high end of estimate range]])/2</f>
        <v>4.4308572404997651E-2</v>
      </c>
      <c r="P37" s="3">
        <f>$T$6/(Table2[[#This Row],[cases]]*5)</f>
        <v>14.145809552418143</v>
      </c>
      <c r="Q37" s="3">
        <f>$T$6/(Table2[[#This Row],[cases]]*7)</f>
        <v>10.104149680298674</v>
      </c>
      <c r="R37" s="3">
        <f>Table2[[#This Row],[1-in-X odds, estimating 5x cases infected]]-Table2[[#This Row],[1-in-X odds, estimating 7x cases infected]]</f>
        <v>4.0416598721194692</v>
      </c>
      <c r="S37" s="3">
        <f>(Table2[[#This Row],[1-in-X odds, estimating 5x cases infected]]+Table2[[#This Row],[1-in-X odds, estimating 7x cases infected]])/2</f>
        <v>12.124979616358409</v>
      </c>
      <c r="V37" s="31"/>
    </row>
    <row r="38" spans="1:22" x14ac:dyDescent="0.2">
      <c r="A38" s="8">
        <v>43946</v>
      </c>
      <c r="B38" s="56">
        <v>6710</v>
      </c>
      <c r="C38" s="71">
        <f>Table2[[#This Row],[cases]]/$B$2</f>
        <v>1.424888620852215E-2</v>
      </c>
      <c r="D38" s="26">
        <f>(Table2[[#This Row],[cases]]-B37)/B37</f>
        <v>7.8101531991589066E-3</v>
      </c>
      <c r="E38" s="38">
        <f t="shared" si="11"/>
        <v>89.095622829796753</v>
      </c>
      <c r="F38" s="81">
        <f>Table2[[#This Row],[cases]]*100/$T$19</f>
        <v>20333.333333333332</v>
      </c>
      <c r="G38" s="35">
        <f>Table2[[#This Row],[cases]]*100/$T$13</f>
        <v>17205.128205128207</v>
      </c>
      <c r="H38" s="35">
        <f>Table2[[#This Row],[cases]]*100/$T$16</f>
        <v>24851.85185185185</v>
      </c>
      <c r="I38" s="35">
        <f>Table2[[#This Row],[infection count, high end of estimate range]]-Table2[[#This Row],[infection count, low end of estimate range]]</f>
        <v>7646.7236467236435</v>
      </c>
      <c r="J38" s="35">
        <f>(Table2[[#This Row],[infection count, low end of estimate range]]+Table2[[#This Row],[infection count, high end of estimate range]])/2</f>
        <v>21028.490028490029</v>
      </c>
      <c r="K38" s="26">
        <f>Table2[[#This Row],[estimated infections]]/$T$6</f>
        <v>4.3178443056127724E-2</v>
      </c>
      <c r="L38" s="27">
        <f>Table2[[#This Row],[infection count, low end of estimate range]]/$T$6</f>
        <v>3.6535605662877314E-2</v>
      </c>
      <c r="M38" s="27">
        <f>Table2[[#This Row],[infection count, high end of estimate range]]/$T$6</f>
        <v>5.2773652624156113E-2</v>
      </c>
      <c r="N38" s="15">
        <f>Table2[[#This Row],[infection percentage, high end of estimate range]]-Table2[[#This Row],[infection percentage, low end of estimate range]]</f>
        <v>1.6238046961278799E-2</v>
      </c>
      <c r="O38" s="27">
        <f>(Table2[[#This Row],[infection percentage, low end of estimate range]]+Table2[[#This Row],[infection percentage, high end of estimate range]])/2</f>
        <v>4.4654629143516714E-2</v>
      </c>
      <c r="P38" s="3">
        <f>$T$6/(Table2[[#This Row],[cases]]*5)</f>
        <v>14.036184798807749</v>
      </c>
      <c r="Q38" s="3">
        <f>$T$6/(Table2[[#This Row],[cases]]*7)</f>
        <v>10.025846284862679</v>
      </c>
      <c r="R38" s="3">
        <f>Table2[[#This Row],[1-in-X odds, estimating 5x cases infected]]-Table2[[#This Row],[1-in-X odds, estimating 7x cases infected]]</f>
        <v>4.0103385139450705</v>
      </c>
      <c r="S38" s="3">
        <f>(Table2[[#This Row],[1-in-X odds, estimating 5x cases infected]]+Table2[[#This Row],[1-in-X odds, estimating 7x cases infected]])/2</f>
        <v>12.031015541835213</v>
      </c>
      <c r="V38" s="31"/>
    </row>
    <row r="39" spans="1:22" x14ac:dyDescent="0.2">
      <c r="A39" s="8">
        <v>43947</v>
      </c>
      <c r="B39" s="56">
        <v>7001</v>
      </c>
      <c r="C39" s="71">
        <f>Table2[[#This Row],[cases]]/$B$2</f>
        <v>1.486683343455493E-2</v>
      </c>
      <c r="D39" s="26">
        <f>(Table2[[#This Row],[cases]]-B38)/B38</f>
        <v>4.3368107302533529E-2</v>
      </c>
      <c r="E39" s="38">
        <f t="shared" si="11"/>
        <v>16.326999709277924</v>
      </c>
      <c r="F39" s="81">
        <f>Table2[[#This Row],[cases]]*100/$T$19</f>
        <v>21215.151515151516</v>
      </c>
      <c r="G39" s="35">
        <f>Table2[[#This Row],[cases]]*100/$T$13</f>
        <v>17951.282051282051</v>
      </c>
      <c r="H39" s="35">
        <f>Table2[[#This Row],[cases]]*100/$T$16</f>
        <v>25929.629629629631</v>
      </c>
      <c r="I39" s="35">
        <f>Table2[[#This Row],[infection count, high end of estimate range]]-Table2[[#This Row],[infection count, low end of estimate range]]</f>
        <v>7978.3475783475806</v>
      </c>
      <c r="J39" s="35">
        <f>(Table2[[#This Row],[infection count, low end of estimate range]]+Table2[[#This Row],[infection count, high end of estimate range]])/2</f>
        <v>21940.455840455841</v>
      </c>
      <c r="K39" s="26">
        <f>Table2[[#This Row],[estimated infections]]/$T$6</f>
        <v>4.505101040774221E-2</v>
      </c>
      <c r="L39" s="27">
        <f>Table2[[#This Row],[infection count, low end of estimate range]]/$T$6</f>
        <v>3.8120085729628023E-2</v>
      </c>
      <c r="M39" s="27">
        <f>Table2[[#This Row],[infection count, high end of estimate range]]/$T$6</f>
        <v>5.5062346053907148E-2</v>
      </c>
      <c r="N39" s="15">
        <f>Table2[[#This Row],[infection percentage, high end of estimate range]]-Table2[[#This Row],[infection percentage, low end of estimate range]]</f>
        <v>1.6942260324279125E-2</v>
      </c>
      <c r="O39" s="27">
        <f>(Table2[[#This Row],[infection percentage, low end of estimate range]]+Table2[[#This Row],[infection percentage, high end of estimate range]])/2</f>
        <v>4.6591215891767582E-2</v>
      </c>
      <c r="P39" s="3">
        <f>$T$6/(Table2[[#This Row],[cases]]*5)</f>
        <v>13.452763890872733</v>
      </c>
      <c r="Q39" s="3">
        <f>$T$6/(Table2[[#This Row],[cases]]*7)</f>
        <v>9.6091170649090945</v>
      </c>
      <c r="R39" s="3">
        <f>Table2[[#This Row],[1-in-X odds, estimating 5x cases infected]]-Table2[[#This Row],[1-in-X odds, estimating 7x cases infected]]</f>
        <v>3.8436468259636385</v>
      </c>
      <c r="S39" s="3">
        <f>(Table2[[#This Row],[1-in-X odds, estimating 5x cases infected]]+Table2[[#This Row],[1-in-X odds, estimating 7x cases infected]])/2</f>
        <v>11.530940477890914</v>
      </c>
      <c r="V39" s="31"/>
    </row>
    <row r="40" spans="1:22" x14ac:dyDescent="0.2">
      <c r="A40" s="8">
        <v>43948</v>
      </c>
      <c r="B40" s="56">
        <v>7159</v>
      </c>
      <c r="C40" s="71">
        <f>Table2[[#This Row],[cases]]/$B$2</f>
        <v>1.5202351172400905E-2</v>
      </c>
      <c r="D40" s="26">
        <f>(Table2[[#This Row],[cases]]-B39)/B39</f>
        <v>2.2568204542208255E-2</v>
      </c>
      <c r="E40" s="38">
        <f t="shared" si="11"/>
        <v>31.058723813341835</v>
      </c>
      <c r="F40" s="81">
        <f>Table2[[#This Row],[cases]]*100/$T$19</f>
        <v>21693.939393939392</v>
      </c>
      <c r="G40" s="35">
        <f>Table2[[#This Row],[cases]]*100/$T$13</f>
        <v>18356.410256410258</v>
      </c>
      <c r="H40" s="35">
        <f>Table2[[#This Row],[cases]]*100/$T$16</f>
        <v>26514.814814814814</v>
      </c>
      <c r="I40" s="35">
        <f>Table2[[#This Row],[infection count, high end of estimate range]]-Table2[[#This Row],[infection count, low end of estimate range]]</f>
        <v>8158.4045584045562</v>
      </c>
      <c r="J40" s="35">
        <f>(Table2[[#This Row],[infection count, low end of estimate range]]+Table2[[#This Row],[infection count, high end of estimate range]])/2</f>
        <v>22435.612535612534</v>
      </c>
      <c r="K40" s="26">
        <f>Table2[[#This Row],[estimated infections]]/$T$6</f>
        <v>4.6067730825457287E-2</v>
      </c>
      <c r="L40" s="27">
        <f>Table2[[#This Row],[infection count, low end of estimate range]]/$T$6</f>
        <v>3.8980387621540789E-2</v>
      </c>
      <c r="M40" s="27">
        <f>Table2[[#This Row],[infection count, high end of estimate range]]/$T$6</f>
        <v>5.6305004342225573E-2</v>
      </c>
      <c r="N40" s="15">
        <f>Table2[[#This Row],[infection percentage, high end of estimate range]]-Table2[[#This Row],[infection percentage, low end of estimate range]]</f>
        <v>1.7324616720684784E-2</v>
      </c>
      <c r="O40" s="27">
        <f>(Table2[[#This Row],[infection percentage, low end of estimate range]]+Table2[[#This Row],[infection percentage, high end of estimate range]])/2</f>
        <v>4.7642695981883185E-2</v>
      </c>
      <c r="P40" s="3">
        <f>$T$6/(Table2[[#This Row],[cases]]*5)</f>
        <v>13.155859756949294</v>
      </c>
      <c r="Q40" s="3">
        <f>$T$6/(Table2[[#This Row],[cases]]*7)</f>
        <v>9.3970426835352097</v>
      </c>
      <c r="R40" s="3">
        <f>Table2[[#This Row],[1-in-X odds, estimating 5x cases infected]]-Table2[[#This Row],[1-in-X odds, estimating 7x cases infected]]</f>
        <v>3.7588170734140842</v>
      </c>
      <c r="S40" s="3">
        <f>(Table2[[#This Row],[1-in-X odds, estimating 5x cases infected]]+Table2[[#This Row],[1-in-X odds, estimating 7x cases infected]])/2</f>
        <v>11.276451220242251</v>
      </c>
      <c r="V40" s="31"/>
    </row>
    <row r="41" spans="1:22" x14ac:dyDescent="0.2">
      <c r="A41" s="8">
        <v>43949</v>
      </c>
      <c r="B41" s="56">
        <v>7364</v>
      </c>
      <c r="C41" s="71">
        <f>Table2[[#This Row],[cases]]/$B$2</f>
        <v>1.5637674819606127E-2</v>
      </c>
      <c r="D41" s="26">
        <f>(Table2[[#This Row],[cases]]-B40)/B40</f>
        <v>2.8635284257577873E-2</v>
      </c>
      <c r="E41" s="38">
        <f t="shared" si="11"/>
        <v>24.550994839858753</v>
      </c>
      <c r="F41" s="81">
        <f>Table2[[#This Row],[cases]]*100/$T$19</f>
        <v>22315.151515151516</v>
      </c>
      <c r="G41" s="35">
        <f>Table2[[#This Row],[cases]]*100/$T$13</f>
        <v>18882.051282051281</v>
      </c>
      <c r="H41" s="35">
        <f>Table2[[#This Row],[cases]]*100/$T$16</f>
        <v>27274.074074074073</v>
      </c>
      <c r="I41" s="35">
        <f>Table2[[#This Row],[infection count, high end of estimate range]]-Table2[[#This Row],[infection count, low end of estimate range]]</f>
        <v>8392.0227920227917</v>
      </c>
      <c r="J41" s="35">
        <f>(Table2[[#This Row],[infection count, low end of estimate range]]+Table2[[#This Row],[infection count, high end of estimate range]])/2</f>
        <v>23078.062678062677</v>
      </c>
      <c r="K41" s="26">
        <f>Table2[[#This Row],[estimated infections]]/$T$6</f>
        <v>4.7386893392745842E-2</v>
      </c>
      <c r="L41" s="27">
        <f>Table2[[#This Row],[infection count, low end of estimate range]]/$T$6</f>
        <v>4.009660210155417E-2</v>
      </c>
      <c r="M41" s="27">
        <f>Table2[[#This Row],[infection count, high end of estimate range]]/$T$6</f>
        <v>5.791731414668936E-2</v>
      </c>
      <c r="N41" s="15">
        <f>Table2[[#This Row],[infection percentage, high end of estimate range]]-Table2[[#This Row],[infection percentage, low end of estimate range]]</f>
        <v>1.782071204513519E-2</v>
      </c>
      <c r="O41" s="27">
        <f>(Table2[[#This Row],[infection percentage, low end of estimate range]]+Table2[[#This Row],[infection percentage, high end of estimate range]])/2</f>
        <v>4.9006958124121765E-2</v>
      </c>
      <c r="P41" s="3">
        <f>$T$6/(Table2[[#This Row],[cases]]*5)</f>
        <v>12.789625203693644</v>
      </c>
      <c r="Q41" s="3">
        <f>$T$6/(Table2[[#This Row],[cases]]*7)</f>
        <v>9.13544657406689</v>
      </c>
      <c r="R41" s="3">
        <f>Table2[[#This Row],[1-in-X odds, estimating 5x cases infected]]-Table2[[#This Row],[1-in-X odds, estimating 7x cases infected]]</f>
        <v>3.6541786296267542</v>
      </c>
      <c r="S41" s="3">
        <f>(Table2[[#This Row],[1-in-X odds, estimating 5x cases infected]]+Table2[[#This Row],[1-in-X odds, estimating 7x cases infected]])/2</f>
        <v>10.962535888880268</v>
      </c>
      <c r="V41" s="31"/>
    </row>
    <row r="42" spans="1:22" x14ac:dyDescent="0.2">
      <c r="A42" s="8">
        <v>43950</v>
      </c>
      <c r="B42" s="56">
        <v>7418</v>
      </c>
      <c r="C42" s="71">
        <f>Table2[[#This Row],[cases]]/$B$2</f>
        <v>1.5752345438869941E-2</v>
      </c>
      <c r="D42" s="26">
        <f>(Table2[[#This Row],[cases]]-B41)/B41</f>
        <v>7.3329712112982079E-3</v>
      </c>
      <c r="E42" s="38">
        <f t="shared" si="11"/>
        <v>94.870889301226129</v>
      </c>
      <c r="F42" s="81">
        <f>Table2[[#This Row],[cases]]*100/$T$19</f>
        <v>22478.78787878788</v>
      </c>
      <c r="G42" s="35">
        <f>Table2[[#This Row],[cases]]*100/$T$13</f>
        <v>19020.51282051282</v>
      </c>
      <c r="H42" s="35">
        <f>Table2[[#This Row],[cases]]*100/$T$16</f>
        <v>27474.074074074073</v>
      </c>
      <c r="I42" s="35">
        <f>Table2[[#This Row],[infection count, high end of estimate range]]-Table2[[#This Row],[infection count, low end of estimate range]]</f>
        <v>8453.5612535612527</v>
      </c>
      <c r="J42" s="35">
        <f>(Table2[[#This Row],[infection count, low end of estimate range]]+Table2[[#This Row],[infection count, high end of estimate range]])/2</f>
        <v>23247.293447293447</v>
      </c>
      <c r="K42" s="26">
        <f>Table2[[#This Row],[estimated infections]]/$T$6</f>
        <v>4.7734380117787703E-2</v>
      </c>
      <c r="L42" s="27">
        <f>Table2[[#This Row],[infection count, low end of estimate range]]/$T$6</f>
        <v>4.0390629330435752E-2</v>
      </c>
      <c r="M42" s="27">
        <f>Table2[[#This Row],[infection count, high end of estimate range]]/$T$6</f>
        <v>5.8342020143962746E-2</v>
      </c>
      <c r="N42" s="15">
        <f>Table2[[#This Row],[infection percentage, high end of estimate range]]-Table2[[#This Row],[infection percentage, low end of estimate range]]</f>
        <v>1.7951390813526993E-2</v>
      </c>
      <c r="O42" s="27">
        <f>(Table2[[#This Row],[infection percentage, low end of estimate range]]+Table2[[#This Row],[infection percentage, high end of estimate range]])/2</f>
        <v>4.9366324737199249E-2</v>
      </c>
      <c r="P42" s="3">
        <f>$T$6/(Table2[[#This Row],[cases]]*5)</f>
        <v>12.696521973577784</v>
      </c>
      <c r="Q42" s="3">
        <f>$T$6/(Table2[[#This Row],[cases]]*7)</f>
        <v>9.0689442668412745</v>
      </c>
      <c r="R42" s="3">
        <f>Table2[[#This Row],[1-in-X odds, estimating 5x cases infected]]-Table2[[#This Row],[1-in-X odds, estimating 7x cases infected]]</f>
        <v>3.6275777067365098</v>
      </c>
      <c r="S42" s="3">
        <f>(Table2[[#This Row],[1-in-X odds, estimating 5x cases infected]]+Table2[[#This Row],[1-in-X odds, estimating 7x cases infected]])/2</f>
        <v>10.882733120209529</v>
      </c>
      <c r="V42" s="31"/>
    </row>
    <row r="43" spans="1:22" x14ac:dyDescent="0.2">
      <c r="A43" s="8">
        <v>43951</v>
      </c>
      <c r="B43" s="56">
        <v>7490</v>
      </c>
      <c r="C43" s="71">
        <f>Table2[[#This Row],[cases]]/$B$2</f>
        <v>1.5905239597888362E-2</v>
      </c>
      <c r="D43" s="26">
        <f>(Table2[[#This Row],[cases]]-B42)/B42</f>
        <v>9.7061202480452947E-3</v>
      </c>
      <c r="E43" s="38">
        <f t="shared" si="11"/>
        <v>71.759429333057724</v>
      </c>
      <c r="F43" s="81">
        <f>Table2[[#This Row],[cases]]*100/$T$19</f>
        <v>22696.969696969696</v>
      </c>
      <c r="G43" s="35">
        <f>Table2[[#This Row],[cases]]*100/$T$13</f>
        <v>19205.128205128207</v>
      </c>
      <c r="H43" s="35">
        <f>Table2[[#This Row],[cases]]*100/$T$16</f>
        <v>27740.740740740741</v>
      </c>
      <c r="I43" s="35">
        <f>Table2[[#This Row],[infection count, high end of estimate range]]-Table2[[#This Row],[infection count, low end of estimate range]]</f>
        <v>8535.612535612534</v>
      </c>
      <c r="J43" s="35">
        <f>(Table2[[#This Row],[infection count, low end of estimate range]]+Table2[[#This Row],[infection count, high end of estimate range]])/2</f>
        <v>23472.934472934474</v>
      </c>
      <c r="K43" s="26">
        <f>Table2[[#This Row],[estimated infections]]/$T$6</f>
        <v>4.8197695751176849E-2</v>
      </c>
      <c r="L43" s="27">
        <f>Table2[[#This Row],[infection count, low end of estimate range]]/$T$6</f>
        <v>4.0782665635611184E-2</v>
      </c>
      <c r="M43" s="27">
        <f>Table2[[#This Row],[infection count, high end of estimate range]]/$T$6</f>
        <v>5.890829480699393E-2</v>
      </c>
      <c r="N43" s="15">
        <f>Table2[[#This Row],[infection percentage, high end of estimate range]]-Table2[[#This Row],[infection percentage, low end of estimate range]]</f>
        <v>1.8125629171382746E-2</v>
      </c>
      <c r="O43" s="27">
        <f>(Table2[[#This Row],[infection percentage, low end of estimate range]]+Table2[[#This Row],[infection percentage, high end of estimate range]])/2</f>
        <v>4.9845480221302557E-2</v>
      </c>
      <c r="P43" s="3">
        <f>$T$6/(Table2[[#This Row],[cases]]*5)</f>
        <v>12.574472630173565</v>
      </c>
      <c r="Q43" s="3">
        <f>$T$6/(Table2[[#This Row],[cases]]*7)</f>
        <v>8.9817661644096898</v>
      </c>
      <c r="R43" s="3">
        <f>Table2[[#This Row],[1-in-X odds, estimating 5x cases infected]]-Table2[[#This Row],[1-in-X odds, estimating 7x cases infected]]</f>
        <v>3.5927064657638752</v>
      </c>
      <c r="S43" s="3">
        <f>(Table2[[#This Row],[1-in-X odds, estimating 5x cases infected]]+Table2[[#This Row],[1-in-X odds, estimating 7x cases infected]])/2</f>
        <v>10.778119397291627</v>
      </c>
      <c r="V43" s="31"/>
    </row>
    <row r="44" spans="1:22" x14ac:dyDescent="0.2">
      <c r="A44" s="8">
        <v>43952</v>
      </c>
      <c r="B44" s="56">
        <v>7685</v>
      </c>
      <c r="C44" s="71">
        <f>Table2[[#This Row],[cases]]/$B$2</f>
        <v>1.6319327945229913E-2</v>
      </c>
      <c r="D44" s="26">
        <f>(Table2[[#This Row],[cases]]-B43)/B43</f>
        <v>2.6034712950600801E-2</v>
      </c>
      <c r="E44" s="38">
        <f t="shared" si="11"/>
        <v>26.969049960532978</v>
      </c>
      <c r="F44" s="81">
        <f>Table2[[#This Row],[cases]]*100/$T$19</f>
        <v>23287.878787878788</v>
      </c>
      <c r="G44" s="35">
        <f>Table2[[#This Row],[cases]]*100/$T$13</f>
        <v>19705.128205128207</v>
      </c>
      <c r="H44" s="35">
        <f>Table2[[#This Row],[cases]]*100/$T$16</f>
        <v>28462.962962962964</v>
      </c>
      <c r="I44" s="35">
        <f>Table2[[#This Row],[infection count, high end of estimate range]]-Table2[[#This Row],[infection count, low end of estimate range]]</f>
        <v>8757.8347578347566</v>
      </c>
      <c r="J44" s="35">
        <f>(Table2[[#This Row],[infection count, low end of estimate range]]+Table2[[#This Row],[infection count, high end of estimate range]])/2</f>
        <v>24084.045584045583</v>
      </c>
      <c r="K44" s="26">
        <f>Table2[[#This Row],[estimated infections]]/$T$6</f>
        <v>4.9452508924939138E-2</v>
      </c>
      <c r="L44" s="27">
        <f>Table2[[#This Row],[infection count, low end of estimate range]]/$T$6</f>
        <v>4.1844430628794657E-2</v>
      </c>
      <c r="M44" s="27">
        <f>Table2[[#This Row],[infection count, high end of estimate range]]/$T$6</f>
        <v>6.0441955352703386E-2</v>
      </c>
      <c r="N44" s="15">
        <f>Table2[[#This Row],[infection percentage, high end of estimate range]]-Table2[[#This Row],[infection percentage, low end of estimate range]]</f>
        <v>1.8597524723908729E-2</v>
      </c>
      <c r="O44" s="27">
        <f>(Table2[[#This Row],[infection percentage, low end of estimate range]]+Table2[[#This Row],[infection percentage, high end of estimate range]])/2</f>
        <v>5.1143192990749022E-2</v>
      </c>
      <c r="P44" s="3">
        <f>$T$6/(Table2[[#This Row],[cases]]*5)</f>
        <v>12.255406636304489</v>
      </c>
      <c r="Q44" s="3">
        <f>$T$6/(Table2[[#This Row],[cases]]*7)</f>
        <v>8.7538618830746344</v>
      </c>
      <c r="R44" s="3">
        <f>Table2[[#This Row],[1-in-X odds, estimating 5x cases infected]]-Table2[[#This Row],[1-in-X odds, estimating 7x cases infected]]</f>
        <v>3.5015447532298545</v>
      </c>
      <c r="S44" s="3">
        <f>(Table2[[#This Row],[1-in-X odds, estimating 5x cases infected]]+Table2[[#This Row],[1-in-X odds, estimating 7x cases infected]])/2</f>
        <v>10.504634259689562</v>
      </c>
      <c r="V44" s="31"/>
    </row>
    <row r="45" spans="1:22" x14ac:dyDescent="0.2">
      <c r="A45" s="8">
        <v>43953</v>
      </c>
      <c r="B45" s="56">
        <v>7836</v>
      </c>
      <c r="C45" s="71">
        <f>Table2[[#This Row],[cases]]/$B$2</f>
        <v>1.6639980973171323E-2</v>
      </c>
      <c r="D45" s="26">
        <f>(Table2[[#This Row],[cases]]-B44)/B44</f>
        <v>1.9648666232921275E-2</v>
      </c>
      <c r="E45" s="38">
        <f t="shared" ref="E45:E54" si="12">(LN(2)/LN(B45/B44))</f>
        <v>35.622509801798749</v>
      </c>
      <c r="F45" s="81">
        <f>Table2[[#This Row],[cases]]*100/$T$19</f>
        <v>23745.454545454544</v>
      </c>
      <c r="G45" s="35">
        <f>Table2[[#This Row],[cases]]*100/$T$13</f>
        <v>20092.307692307691</v>
      </c>
      <c r="H45" s="35">
        <f>Table2[[#This Row],[cases]]*100/$T$16</f>
        <v>29022.222222222223</v>
      </c>
      <c r="I45" s="35">
        <f>Table2[[#This Row],[infection count, high end of estimate range]]-Table2[[#This Row],[infection count, low end of estimate range]]</f>
        <v>8929.9145299145312</v>
      </c>
      <c r="J45" s="35">
        <f>(Table2[[#This Row],[infection count, low end of estimate range]]+Table2[[#This Row],[infection count, high end of estimate range]])/2</f>
        <v>24557.264957264957</v>
      </c>
      <c r="K45" s="26">
        <f>Table2[[#This Row],[estimated infections]]/$T$6</f>
        <v>5.0424184767185819E-2</v>
      </c>
      <c r="L45" s="27">
        <f>Table2[[#This Row],[infection count, low end of estimate range]]/$T$6</f>
        <v>4.2666617879926462E-2</v>
      </c>
      <c r="M45" s="27">
        <f>Table2[[#This Row],[infection count, high end of estimate range]]/$T$6</f>
        <v>6.1629559159893786E-2</v>
      </c>
      <c r="N45" s="15">
        <f>Table2[[#This Row],[infection percentage, high end of estimate range]]-Table2[[#This Row],[infection percentage, low end of estimate range]]</f>
        <v>1.8962941279967324E-2</v>
      </c>
      <c r="O45" s="27">
        <f>(Table2[[#This Row],[infection percentage, low end of estimate range]]+Table2[[#This Row],[infection percentage, high end of estimate range]])/2</f>
        <v>5.2148088519910124E-2</v>
      </c>
      <c r="P45" s="3">
        <f>$T$6/(Table2[[#This Row],[cases]]*5)</f>
        <v>12.019244512506381</v>
      </c>
      <c r="Q45" s="3">
        <f>$T$6/(Table2[[#This Row],[cases]]*7)</f>
        <v>8.5851746517902718</v>
      </c>
      <c r="R45" s="3">
        <f>Table2[[#This Row],[1-in-X odds, estimating 5x cases infected]]-Table2[[#This Row],[1-in-X odds, estimating 7x cases infected]]</f>
        <v>3.4340698607161091</v>
      </c>
      <c r="S45" s="3">
        <f>(Table2[[#This Row],[1-in-X odds, estimating 5x cases infected]]+Table2[[#This Row],[1-in-X odds, estimating 7x cases infected]])/2</f>
        <v>10.302209582148325</v>
      </c>
      <c r="V45" s="31"/>
    </row>
    <row r="46" spans="1:22" x14ac:dyDescent="0.2">
      <c r="A46" s="8">
        <v>43954</v>
      </c>
      <c r="B46" s="56">
        <v>7928</v>
      </c>
      <c r="C46" s="71">
        <f>Table2[[#This Row],[cases]]/$B$2</f>
        <v>1.6835345731917081E-2</v>
      </c>
      <c r="D46" s="26">
        <f>(Table2[[#This Row],[cases]]-B45)/B45</f>
        <v>1.1740684022460439E-2</v>
      </c>
      <c r="E46" s="38">
        <f t="shared" si="12"/>
        <v>59.383957056845482</v>
      </c>
      <c r="F46" s="81">
        <f>Table2[[#This Row],[cases]]*100/$T$19</f>
        <v>24024.242424242424</v>
      </c>
      <c r="G46" s="35">
        <f>Table2[[#This Row],[cases]]*100/$T$13</f>
        <v>20328.205128205129</v>
      </c>
      <c r="H46" s="35">
        <f>Table2[[#This Row],[cases]]*100/$T$16</f>
        <v>29362.962962962964</v>
      </c>
      <c r="I46" s="35">
        <f>Table2[[#This Row],[infection count, high end of estimate range]]-Table2[[#This Row],[infection count, low end of estimate range]]</f>
        <v>9034.7578347578346</v>
      </c>
      <c r="J46" s="35">
        <f>(Table2[[#This Row],[infection count, low end of estimate range]]+Table2[[#This Row],[infection count, high end of estimate range]])/2</f>
        <v>24845.584045584044</v>
      </c>
      <c r="K46" s="26">
        <f>Table2[[#This Row],[estimated infections]]/$T$6</f>
        <v>5.1016199187627516E-2</v>
      </c>
      <c r="L46" s="27">
        <f>Table2[[#This Row],[infection count, low end of estimate range]]/$T$6</f>
        <v>4.3167553158761744E-2</v>
      </c>
      <c r="M46" s="27">
        <f>Table2[[#This Row],[infection count, high end of estimate range]]/$T$6</f>
        <v>6.2353132340433631E-2</v>
      </c>
      <c r="N46" s="15">
        <f>Table2[[#This Row],[infection percentage, high end of estimate range]]-Table2[[#This Row],[infection percentage, low end of estimate range]]</f>
        <v>1.9185579181671887E-2</v>
      </c>
      <c r="O46" s="27">
        <f>(Table2[[#This Row],[infection percentage, low end of estimate range]]+Table2[[#This Row],[infection percentage, high end of estimate range]])/2</f>
        <v>5.2760342749597691E-2</v>
      </c>
      <c r="P46" s="3">
        <f>$T$6/(Table2[[#This Row],[cases]]*5)</f>
        <v>11.879767911200807</v>
      </c>
      <c r="Q46" s="3">
        <f>$T$6/(Table2[[#This Row],[cases]]*7)</f>
        <v>8.4855485080005764</v>
      </c>
      <c r="R46" s="3">
        <f>Table2[[#This Row],[1-in-X odds, estimating 5x cases infected]]-Table2[[#This Row],[1-in-X odds, estimating 7x cases infected]]</f>
        <v>3.3942194032002302</v>
      </c>
      <c r="S46" s="3">
        <f>(Table2[[#This Row],[1-in-X odds, estimating 5x cases infected]]+Table2[[#This Row],[1-in-X odds, estimating 7x cases infected]])/2</f>
        <v>10.182658209600692</v>
      </c>
      <c r="V46" s="31"/>
    </row>
    <row r="47" spans="1:22" x14ac:dyDescent="0.2">
      <c r="A47" s="8">
        <v>43955</v>
      </c>
      <c r="B47" s="56">
        <v>8166</v>
      </c>
      <c r="C47" s="71">
        <f>Table2[[#This Row],[cases]]/$B$2</f>
        <v>1.7340745868672413E-2</v>
      </c>
      <c r="D47" s="26">
        <f>(Table2[[#This Row],[cases]]-B46)/B46</f>
        <v>3.0020181634712411E-2</v>
      </c>
      <c r="E47" s="38">
        <f t="shared" si="12"/>
        <v>23.434238408786449</v>
      </c>
      <c r="F47" s="81">
        <f>Table2[[#This Row],[cases]]*100/$T$19</f>
        <v>24745.454545454544</v>
      </c>
      <c r="G47" s="35">
        <f>Table2[[#This Row],[cases]]*100/$T$13</f>
        <v>20938.461538461539</v>
      </c>
      <c r="H47" s="35">
        <f>Table2[[#This Row],[cases]]*100/$T$16</f>
        <v>30244.444444444445</v>
      </c>
      <c r="I47" s="35">
        <f>Table2[[#This Row],[infection count, high end of estimate range]]-Table2[[#This Row],[infection count, low end of estimate range]]</f>
        <v>9305.9829059829062</v>
      </c>
      <c r="J47" s="35">
        <f>(Table2[[#This Row],[infection count, low end of estimate range]]+Table2[[#This Row],[infection count, high end of estimate range]])/2</f>
        <v>25591.452991452992</v>
      </c>
      <c r="K47" s="26">
        <f>Table2[[#This Row],[estimated infections]]/$T$6</f>
        <v>5.2547714753552757E-2</v>
      </c>
      <c r="L47" s="27">
        <f>Table2[[#This Row],[infection count, low end of estimate range]]/$T$6</f>
        <v>4.4463450945313877E-2</v>
      </c>
      <c r="M47" s="27">
        <f>Table2[[#This Row],[infection count, high end of estimate range]]/$T$6</f>
        <v>6.4224984698786708E-2</v>
      </c>
      <c r="N47" s="15">
        <f>Table2[[#This Row],[infection percentage, high end of estimate range]]-Table2[[#This Row],[infection percentage, low end of estimate range]]</f>
        <v>1.9761533753472831E-2</v>
      </c>
      <c r="O47" s="27">
        <f>(Table2[[#This Row],[infection percentage, low end of estimate range]]+Table2[[#This Row],[infection percentage, high end of estimate range]])/2</f>
        <v>5.4344217822050289E-2</v>
      </c>
      <c r="P47" s="3">
        <f>$T$6/(Table2[[#This Row],[cases]]*5)</f>
        <v>11.533529267695322</v>
      </c>
      <c r="Q47" s="3">
        <f>$T$6/(Table2[[#This Row],[cases]]*7)</f>
        <v>8.2382351912109435</v>
      </c>
      <c r="R47" s="3">
        <f>Table2[[#This Row],[1-in-X odds, estimating 5x cases infected]]-Table2[[#This Row],[1-in-X odds, estimating 7x cases infected]]</f>
        <v>3.2952940764843781</v>
      </c>
      <c r="S47" s="3">
        <f>(Table2[[#This Row],[1-in-X odds, estimating 5x cases infected]]+Table2[[#This Row],[1-in-X odds, estimating 7x cases infected]])/2</f>
        <v>9.8858822294531326</v>
      </c>
      <c r="V47" s="31"/>
    </row>
    <row r="48" spans="1:22" x14ac:dyDescent="0.2">
      <c r="A48" s="8">
        <v>43956</v>
      </c>
      <c r="B48" s="56">
        <v>8275</v>
      </c>
      <c r="C48" s="71">
        <f>Table2[[#This Row],[cases]]/$B$2</f>
        <v>1.7572210637186409E-2</v>
      </c>
      <c r="D48" s="26">
        <f>(Table2[[#This Row],[cases]]-B47)/B47</f>
        <v>1.3348028410482488E-2</v>
      </c>
      <c r="E48" s="38">
        <f t="shared" si="12"/>
        <v>52.274613886566158</v>
      </c>
      <c r="F48" s="81">
        <f>Table2[[#This Row],[cases]]*100/$T$19</f>
        <v>25075.757575757576</v>
      </c>
      <c r="G48" s="35">
        <f>Table2[[#This Row],[cases]]*100/$T$13</f>
        <v>21217.948717948719</v>
      </c>
      <c r="H48" s="35">
        <f>Table2[[#This Row],[cases]]*100/$T$16</f>
        <v>30648.14814814815</v>
      </c>
      <c r="I48" s="35">
        <f>Table2[[#This Row],[infection count, high end of estimate range]]-Table2[[#This Row],[infection count, low end of estimate range]]</f>
        <v>9430.1994301994309</v>
      </c>
      <c r="J48" s="35">
        <f>(Table2[[#This Row],[infection count, low end of estimate range]]+Table2[[#This Row],[infection count, high end of estimate range]])/2</f>
        <v>25933.048433048432</v>
      </c>
      <c r="K48" s="26">
        <f>Table2[[#This Row],[estimated infections]]/$T$6</f>
        <v>5.3249123142989116E-2</v>
      </c>
      <c r="L48" s="27">
        <f>Table2[[#This Row],[infection count, low end of estimate range]]/$T$6</f>
        <v>4.5056950351760022E-2</v>
      </c>
      <c r="M48" s="27">
        <f>Table2[[#This Row],[infection count, high end of estimate range]]/$T$6</f>
        <v>6.5082261619208923E-2</v>
      </c>
      <c r="N48" s="15">
        <f>Table2[[#This Row],[infection percentage, high end of estimate range]]-Table2[[#This Row],[infection percentage, low end of estimate range]]</f>
        <v>2.00253112674489E-2</v>
      </c>
      <c r="O48" s="27">
        <f>(Table2[[#This Row],[infection percentage, low end of estimate range]]+Table2[[#This Row],[infection percentage, high end of estimate range]])/2</f>
        <v>5.5069605985484472E-2</v>
      </c>
      <c r="P48" s="3">
        <f>$T$6/(Table2[[#This Row],[cases]]*5)</f>
        <v>11.381607250755287</v>
      </c>
      <c r="Q48" s="3">
        <f>$T$6/(Table2[[#This Row],[cases]]*7)</f>
        <v>8.1297194648252056</v>
      </c>
      <c r="R48" s="3">
        <f>Table2[[#This Row],[1-in-X odds, estimating 5x cases infected]]-Table2[[#This Row],[1-in-X odds, estimating 7x cases infected]]</f>
        <v>3.2518877859300819</v>
      </c>
      <c r="S48" s="3">
        <f>(Table2[[#This Row],[1-in-X odds, estimating 5x cases infected]]+Table2[[#This Row],[1-in-X odds, estimating 7x cases infected]])/2</f>
        <v>9.7556633577902474</v>
      </c>
      <c r="V48" s="31"/>
    </row>
    <row r="49" spans="1:22" x14ac:dyDescent="0.2">
      <c r="A49" s="8">
        <v>43957</v>
      </c>
      <c r="B49" s="56">
        <v>8386</v>
      </c>
      <c r="C49" s="71">
        <f>Table2[[#This Row],[cases]]/$B$2</f>
        <v>1.7807922465673139E-2</v>
      </c>
      <c r="D49" s="26">
        <f>(Table2[[#This Row],[cases]]-B48)/B48</f>
        <v>1.3413897280966768E-2</v>
      </c>
      <c r="E49" s="38">
        <f t="shared" si="12"/>
        <v>52.019614008401071</v>
      </c>
      <c r="F49" s="81">
        <f>Table2[[#This Row],[cases]]*100/$T$19</f>
        <v>25412.121212121212</v>
      </c>
      <c r="G49" s="35">
        <f>Table2[[#This Row],[cases]]*100/$T$13</f>
        <v>21502.564102564102</v>
      </c>
      <c r="H49" s="35">
        <f>Table2[[#This Row],[cases]]*100/$T$16</f>
        <v>31059.259259259259</v>
      </c>
      <c r="I49" s="35">
        <f>Table2[[#This Row],[infection count, high end of estimate range]]-Table2[[#This Row],[infection count, low end of estimate range]]</f>
        <v>9556.6951566951575</v>
      </c>
      <c r="J49" s="35">
        <f>(Table2[[#This Row],[infection count, low end of estimate range]]+Table2[[#This Row],[infection count, high end of estimate range]])/2</f>
        <v>26280.911680911682</v>
      </c>
      <c r="K49" s="26">
        <f>Table2[[#This Row],[estimated infections]]/$T$6</f>
        <v>5.3963401411130721E-2</v>
      </c>
      <c r="L49" s="27">
        <f>Table2[[#This Row],[infection count, low end of estimate range]]/$T$6</f>
        <v>4.5661339655572147E-2</v>
      </c>
      <c r="M49" s="27">
        <f>Table2[[#This Row],[infection count, high end of estimate range]]/$T$6</f>
        <v>6.5955268391381994E-2</v>
      </c>
      <c r="N49" s="15">
        <f>Table2[[#This Row],[infection percentage, high end of estimate range]]-Table2[[#This Row],[infection percentage, low end of estimate range]]</f>
        <v>2.0293928735809846E-2</v>
      </c>
      <c r="O49" s="27">
        <f>(Table2[[#This Row],[infection percentage, low end of estimate range]]+Table2[[#This Row],[infection percentage, high end of estimate range]])/2</f>
        <v>5.5808304023477071E-2</v>
      </c>
      <c r="P49" s="3">
        <f>$T$6/(Table2[[#This Row],[cases]]*5)</f>
        <v>11.230956355831147</v>
      </c>
      <c r="Q49" s="3">
        <f>$T$6/(Table2[[#This Row],[cases]]*7)</f>
        <v>8.0221116827365329</v>
      </c>
      <c r="R49" s="3">
        <f>Table2[[#This Row],[1-in-X odds, estimating 5x cases infected]]-Table2[[#This Row],[1-in-X odds, estimating 7x cases infected]]</f>
        <v>3.2088446730946139</v>
      </c>
      <c r="S49" s="3">
        <f>(Table2[[#This Row],[1-in-X odds, estimating 5x cases infected]]+Table2[[#This Row],[1-in-X odds, estimating 7x cases infected]])/2</f>
        <v>9.6265340192838398</v>
      </c>
      <c r="V49" s="31"/>
    </row>
    <row r="50" spans="1:22" x14ac:dyDescent="0.2">
      <c r="A50" s="8">
        <v>43958</v>
      </c>
      <c r="B50" s="56">
        <v>8532</v>
      </c>
      <c r="C50" s="71">
        <f>Table2[[#This Row],[cases]]/$B$2</f>
        <v>1.8117957843682711E-2</v>
      </c>
      <c r="D50" s="26">
        <f>(Table2[[#This Row],[cases]]-B49)/B49</f>
        <v>1.7409968995945622E-2</v>
      </c>
      <c r="E50" s="38">
        <f t="shared" si="12"/>
        <v>40.158811241103884</v>
      </c>
      <c r="F50" s="81">
        <f>Table2[[#This Row],[cases]]*100/$T$19</f>
        <v>25854.545454545456</v>
      </c>
      <c r="G50" s="35">
        <f>Table2[[#This Row],[cases]]*100/$T$13</f>
        <v>21876.923076923078</v>
      </c>
      <c r="H50" s="35">
        <f>Table2[[#This Row],[cases]]*100/$T$16</f>
        <v>31600</v>
      </c>
      <c r="I50" s="35">
        <f>Table2[[#This Row],[infection count, high end of estimate range]]-Table2[[#This Row],[infection count, low end of estimate range]]</f>
        <v>9723.076923076922</v>
      </c>
      <c r="J50" s="35">
        <f>(Table2[[#This Row],[infection count, low end of estimate range]]+Table2[[#This Row],[infection count, high end of estimate range]])/2</f>
        <v>26738.461538461539</v>
      </c>
      <c r="K50" s="26">
        <f>Table2[[#This Row],[estimated infections]]/$T$6</f>
        <v>5.4902902556614279E-2</v>
      </c>
      <c r="L50" s="27">
        <f>Table2[[#This Row],[infection count, low end of estimate range]]/$T$6</f>
        <v>4.6456302163289005E-2</v>
      </c>
      <c r="M50" s="27">
        <f>Table2[[#This Row],[infection count, high end of estimate range]]/$T$6</f>
        <v>6.7103547569195218E-2</v>
      </c>
      <c r="N50" s="15">
        <f>Table2[[#This Row],[infection percentage, high end of estimate range]]-Table2[[#This Row],[infection percentage, low end of estimate range]]</f>
        <v>2.0647245405906213E-2</v>
      </c>
      <c r="O50" s="27">
        <f>(Table2[[#This Row],[infection percentage, low end of estimate range]]+Table2[[#This Row],[infection percentage, high end of estimate range]])/2</f>
        <v>5.6779924866242115E-2</v>
      </c>
      <c r="P50" s="3">
        <f>$T$6/(Table2[[#This Row],[cases]]*5)</f>
        <v>11.038771683075481</v>
      </c>
      <c r="Q50" s="3">
        <f>$T$6/(Table2[[#This Row],[cases]]*7)</f>
        <v>7.8848369164824863</v>
      </c>
      <c r="R50" s="3">
        <f>Table2[[#This Row],[1-in-X odds, estimating 5x cases infected]]-Table2[[#This Row],[1-in-X odds, estimating 7x cases infected]]</f>
        <v>3.1539347665929949</v>
      </c>
      <c r="S50" s="3">
        <f>(Table2[[#This Row],[1-in-X odds, estimating 5x cases infected]]+Table2[[#This Row],[1-in-X odds, estimating 7x cases infected]])/2</f>
        <v>9.4618042997789829</v>
      </c>
      <c r="V50" s="31"/>
    </row>
    <row r="51" spans="1:22" x14ac:dyDescent="0.2">
      <c r="A51" s="8">
        <v>43959</v>
      </c>
      <c r="B51" s="56">
        <v>8594</v>
      </c>
      <c r="C51" s="71">
        <f>Table2[[#This Row],[cases]]/$B$2</f>
        <v>1.8249616702837462E-2</v>
      </c>
      <c r="D51" s="26">
        <f>(Table2[[#This Row],[cases]]-B50)/B50</f>
        <v>7.266760431317393E-3</v>
      </c>
      <c r="E51" s="38">
        <f t="shared" si="12"/>
        <v>95.732151243481965</v>
      </c>
      <c r="F51" s="81">
        <f>Table2[[#This Row],[cases]]*100/$T$19</f>
        <v>26042.424242424244</v>
      </c>
      <c r="G51" s="35">
        <f>Table2[[#This Row],[cases]]*100/$T$13</f>
        <v>22035.897435897437</v>
      </c>
      <c r="H51" s="35">
        <f>Table2[[#This Row],[cases]]*100/$T$16</f>
        <v>31829.629629629631</v>
      </c>
      <c r="I51" s="35">
        <f>Table2[[#This Row],[infection count, high end of estimate range]]-Table2[[#This Row],[infection count, low end of estimate range]]</f>
        <v>9793.732193732194</v>
      </c>
      <c r="J51" s="35">
        <f>(Table2[[#This Row],[infection count, low end of estimate range]]+Table2[[#This Row],[infection count, high end of estimate range]])/2</f>
        <v>26932.763532763536</v>
      </c>
      <c r="K51" s="26">
        <f>Table2[[#This Row],[estimated infections]]/$T$6</f>
        <v>5.5301868796477159E-2</v>
      </c>
      <c r="L51" s="27">
        <f>Table2[[#This Row],[infection count, low end of estimate range]]/$T$6</f>
        <v>4.6793888981634515E-2</v>
      </c>
      <c r="M51" s="27">
        <f>Table2[[#This Row],[infection count, high end of estimate range]]/$T$6</f>
        <v>6.7591172973472086E-2</v>
      </c>
      <c r="N51" s="15">
        <f>Table2[[#This Row],[infection percentage, high end of estimate range]]-Table2[[#This Row],[infection percentage, low end of estimate range]]</f>
        <v>2.079728399183757E-2</v>
      </c>
      <c r="O51" s="27">
        <f>(Table2[[#This Row],[infection percentage, low end of estimate range]]+Table2[[#This Row],[infection percentage, high end of estimate range]])/2</f>
        <v>5.7192530977553301E-2</v>
      </c>
      <c r="P51" s="3">
        <f>$T$6/(Table2[[#This Row],[cases]]*5)</f>
        <v>10.959134279730044</v>
      </c>
      <c r="Q51" s="3">
        <f>$T$6/(Table2[[#This Row],[cases]]*7)</f>
        <v>7.8279530569500313</v>
      </c>
      <c r="R51" s="3">
        <f>Table2[[#This Row],[1-in-X odds, estimating 5x cases infected]]-Table2[[#This Row],[1-in-X odds, estimating 7x cases infected]]</f>
        <v>3.1311812227800129</v>
      </c>
      <c r="S51" s="3">
        <f>(Table2[[#This Row],[1-in-X odds, estimating 5x cases infected]]+Table2[[#This Row],[1-in-X odds, estimating 7x cases infected]])/2</f>
        <v>9.3935436683400368</v>
      </c>
      <c r="V51" s="31"/>
    </row>
    <row r="52" spans="1:22" x14ac:dyDescent="0.2">
      <c r="A52" s="8">
        <v>43960</v>
      </c>
      <c r="B52" s="56">
        <v>8715</v>
      </c>
      <c r="C52" s="71">
        <f>Table2[[#This Row],[cases]]/$B$2</f>
        <v>1.8506563831187862E-2</v>
      </c>
      <c r="D52" s="26">
        <f>(Table2[[#This Row],[cases]]-B51)/B51</f>
        <v>1.407959041191529E-2</v>
      </c>
      <c r="E52" s="38">
        <f t="shared" si="12"/>
        <v>49.576401282989799</v>
      </c>
      <c r="F52" s="81">
        <f>Table2[[#This Row],[cases]]*100/$T$19</f>
        <v>26409.090909090908</v>
      </c>
      <c r="G52" s="35">
        <f>Table2[[#This Row],[cases]]*100/$T$13</f>
        <v>22346.153846153848</v>
      </c>
      <c r="H52" s="35">
        <f>Table2[[#This Row],[cases]]*100/$T$16</f>
        <v>32277.777777777777</v>
      </c>
      <c r="I52" s="35">
        <f>Table2[[#This Row],[infection count, high end of estimate range]]-Table2[[#This Row],[infection count, low end of estimate range]]</f>
        <v>9931.6239316239298</v>
      </c>
      <c r="J52" s="35">
        <f>(Table2[[#This Row],[infection count, low end of estimate range]]+Table2[[#This Row],[infection count, high end of estimate range]])/2</f>
        <v>27311.965811965812</v>
      </c>
      <c r="K52" s="26">
        <f>Table2[[#This Row],[estimated infections]]/$T$6</f>
        <v>5.6080496458145029E-2</v>
      </c>
      <c r="L52" s="27">
        <f>Table2[[#This Row],[infection count, low end of estimate range]]/$T$6</f>
        <v>4.7452727772276569E-2</v>
      </c>
      <c r="M52" s="27">
        <f>Table2[[#This Row],[infection count, high end of estimate range]]/$T$6</f>
        <v>6.854282900439948E-2</v>
      </c>
      <c r="N52" s="15">
        <f>Table2[[#This Row],[infection percentage, high end of estimate range]]-Table2[[#This Row],[infection percentage, low end of estimate range]]</f>
        <v>2.1090101232122911E-2</v>
      </c>
      <c r="O52" s="27">
        <f>(Table2[[#This Row],[infection percentage, low end of estimate range]]+Table2[[#This Row],[infection percentage, high end of estimate range]])/2</f>
        <v>5.7997778388338028E-2</v>
      </c>
      <c r="P52" s="3">
        <f>$T$6/(Table2[[#This Row],[cases]]*5)</f>
        <v>10.806976477337923</v>
      </c>
      <c r="Q52" s="3">
        <f>$T$6/(Table2[[#This Row],[cases]]*7)</f>
        <v>7.7192689123842309</v>
      </c>
      <c r="R52" s="3">
        <f>Table2[[#This Row],[1-in-X odds, estimating 5x cases infected]]-Table2[[#This Row],[1-in-X odds, estimating 7x cases infected]]</f>
        <v>3.0877075649536918</v>
      </c>
      <c r="S52" s="3">
        <f>(Table2[[#This Row],[1-in-X odds, estimating 5x cases infected]]+Table2[[#This Row],[1-in-X odds, estimating 7x cases infected]])/2</f>
        <v>9.2631226948610763</v>
      </c>
      <c r="V52" s="31"/>
    </row>
    <row r="53" spans="1:22" x14ac:dyDescent="0.2">
      <c r="A53" s="8">
        <v>43961</v>
      </c>
      <c r="B53" s="56">
        <v>8823</v>
      </c>
      <c r="C53" s="71">
        <f>Table2[[#This Row],[cases]]/$B$2</f>
        <v>1.8735905069715491E-2</v>
      </c>
      <c r="D53" s="26">
        <f>(Table2[[#This Row],[cases]]-B52)/B52</f>
        <v>1.2392426850258176E-2</v>
      </c>
      <c r="E53" s="38">
        <f t="shared" si="12"/>
        <v>56.278988829986361</v>
      </c>
      <c r="F53" s="81">
        <f>Table2[[#This Row],[cases]]*100/$T$19</f>
        <v>26736.363636363636</v>
      </c>
      <c r="G53" s="35">
        <f>Table2[[#This Row],[cases]]*100/$T$13</f>
        <v>22623.076923076922</v>
      </c>
      <c r="H53" s="35">
        <f>Table2[[#This Row],[cases]]*100/$T$16</f>
        <v>32677.777777777777</v>
      </c>
      <c r="I53" s="35">
        <f>Table2[[#This Row],[infection count, high end of estimate range]]-Table2[[#This Row],[infection count, low end of estimate range]]</f>
        <v>10054.700854700855</v>
      </c>
      <c r="J53" s="35">
        <f>(Table2[[#This Row],[infection count, low end of estimate range]]+Table2[[#This Row],[infection count, high end of estimate range]])/2</f>
        <v>27650.427350427351</v>
      </c>
      <c r="K53" s="26">
        <f>Table2[[#This Row],[estimated infections]]/$T$6</f>
        <v>5.6775469908228758E-2</v>
      </c>
      <c r="L53" s="27">
        <f>Table2[[#This Row],[infection count, low end of estimate range]]/$T$6</f>
        <v>4.8040782230039714E-2</v>
      </c>
      <c r="M53" s="27">
        <f>Table2[[#This Row],[infection count, high end of estimate range]]/$T$6</f>
        <v>6.9392240998946253E-2</v>
      </c>
      <c r="N53" s="15">
        <f>Table2[[#This Row],[infection percentage, high end of estimate range]]-Table2[[#This Row],[infection percentage, low end of estimate range]]</f>
        <v>2.1351458768906539E-2</v>
      </c>
      <c r="O53" s="27">
        <f>(Table2[[#This Row],[infection percentage, low end of estimate range]]+Table2[[#This Row],[infection percentage, high end of estimate range]])/2</f>
        <v>5.8716511614492983E-2</v>
      </c>
      <c r="P53" s="3">
        <f>$T$6/(Table2[[#This Row],[cases]]*5)</f>
        <v>10.674691148135555</v>
      </c>
      <c r="Q53" s="3">
        <f>$T$6/(Table2[[#This Row],[cases]]*7)</f>
        <v>7.6247793915253963</v>
      </c>
      <c r="R53" s="3">
        <f>Table2[[#This Row],[1-in-X odds, estimating 5x cases infected]]-Table2[[#This Row],[1-in-X odds, estimating 7x cases infected]]</f>
        <v>3.0499117566101583</v>
      </c>
      <c r="S53" s="3">
        <f>(Table2[[#This Row],[1-in-X odds, estimating 5x cases infected]]+Table2[[#This Row],[1-in-X odds, estimating 7x cases infected]])/2</f>
        <v>9.1497352698304759</v>
      </c>
      <c r="V53" s="31"/>
    </row>
    <row r="54" spans="1:22" x14ac:dyDescent="0.2">
      <c r="A54" s="8">
        <v>43962</v>
      </c>
      <c r="B54" s="56">
        <v>8873</v>
      </c>
      <c r="C54" s="71">
        <f>Table2[[#This Row],[cases]]/$B$2</f>
        <v>1.8842081569033838E-2</v>
      </c>
      <c r="D54" s="26">
        <f>(Table2[[#This Row],[cases]]-B53)/B53</f>
        <v>5.6670066870678909E-3</v>
      </c>
      <c r="E54" s="38">
        <f t="shared" si="12"/>
        <v>122.65899865694688</v>
      </c>
      <c r="F54" s="81">
        <f>Table2[[#This Row],[cases]]*100/$T$19</f>
        <v>26887.878787878788</v>
      </c>
      <c r="G54" s="35">
        <f>Table2[[#This Row],[cases]]*100/$T$13</f>
        <v>22751.282051282051</v>
      </c>
      <c r="H54" s="35">
        <f>Table2[[#This Row],[cases]]*100/$T$16</f>
        <v>32862.962962962964</v>
      </c>
      <c r="I54" s="35">
        <f>Table2[[#This Row],[infection count, high end of estimate range]]-Table2[[#This Row],[infection count, low end of estimate range]]</f>
        <v>10111.680911680913</v>
      </c>
      <c r="J54" s="35">
        <f>(Table2[[#This Row],[infection count, low end of estimate range]]+Table2[[#This Row],[infection count, high end of estimate range]])/2</f>
        <v>27807.122507122505</v>
      </c>
      <c r="K54" s="26">
        <f>Table2[[#This Row],[estimated infections]]/$T$6</f>
        <v>5.7097216875860113E-2</v>
      </c>
      <c r="L54" s="27">
        <f>Table2[[#This Row],[infection count, low end of estimate range]]/$T$6</f>
        <v>4.8313029664189322E-2</v>
      </c>
      <c r="M54" s="27">
        <f>Table2[[#This Row],[infection count, high end of estimate range]]/$T$6</f>
        <v>6.9785487292717913E-2</v>
      </c>
      <c r="N54" s="15">
        <f>Table2[[#This Row],[infection percentage, high end of estimate range]]-Table2[[#This Row],[infection percentage, low end of estimate range]]</f>
        <v>2.1472457628528591E-2</v>
      </c>
      <c r="O54" s="27">
        <f>(Table2[[#This Row],[infection percentage, low end of estimate range]]+Table2[[#This Row],[infection percentage, high end of estimate range]])/2</f>
        <v>5.9049258478453617E-2</v>
      </c>
      <c r="P54" s="3">
        <f>$T$6/(Table2[[#This Row],[cases]]*5)</f>
        <v>10.61453848754649</v>
      </c>
      <c r="Q54" s="3">
        <f>$T$6/(Table2[[#This Row],[cases]]*7)</f>
        <v>7.5818132053903495</v>
      </c>
      <c r="R54" s="3">
        <f>Table2[[#This Row],[1-in-X odds, estimating 5x cases infected]]-Table2[[#This Row],[1-in-X odds, estimating 7x cases infected]]</f>
        <v>3.0327252821561403</v>
      </c>
      <c r="S54" s="3">
        <f>(Table2[[#This Row],[1-in-X odds, estimating 5x cases infected]]+Table2[[#This Row],[1-in-X odds, estimating 7x cases infected]])/2</f>
        <v>9.0981758464684201</v>
      </c>
      <c r="V54" s="31"/>
    </row>
    <row r="55" spans="1:22" x14ac:dyDescent="0.2">
      <c r="A55" s="8">
        <v>43963</v>
      </c>
      <c r="B55" s="56">
        <v>9015</v>
      </c>
      <c r="C55" s="71">
        <f>Table2[[#This Row],[cases]]/$B$2</f>
        <v>1.9143622827097941E-2</v>
      </c>
      <c r="D55" s="26">
        <f>(Table2[[#This Row],[cases]]-B54)/B54</f>
        <v>1.6003606446523159E-2</v>
      </c>
      <c r="E55" s="38">
        <f t="shared" ref="E55" si="13">(LN(2)/LN(B55/B54))</f>
        <v>43.657592657146672</v>
      </c>
      <c r="F55" s="81">
        <f>Table2[[#This Row],[cases]]*100/$T$19</f>
        <v>27318.18181818182</v>
      </c>
      <c r="G55" s="35">
        <f>Table2[[#This Row],[cases]]*100/$T$13</f>
        <v>23115.384615384617</v>
      </c>
      <c r="H55" s="35">
        <f>Table2[[#This Row],[cases]]*100/$T$16</f>
        <v>33388.888888888891</v>
      </c>
      <c r="I55" s="35">
        <f>Table2[[#This Row],[infection count, high end of estimate range]]-Table2[[#This Row],[infection count, low end of estimate range]]</f>
        <v>10273.504273504273</v>
      </c>
      <c r="J55" s="35">
        <f>(Table2[[#This Row],[infection count, low end of estimate range]]+Table2[[#This Row],[infection count, high end of estimate range]])/2</f>
        <v>28252.136752136754</v>
      </c>
      <c r="K55" s="26">
        <f>Table2[[#This Row],[estimated infections]]/$T$6</f>
        <v>5.8010978263933158E-2</v>
      </c>
      <c r="L55" s="27">
        <f>Table2[[#This Row],[infection count, low end of estimate range]]/$T$6</f>
        <v>4.9086212377174213E-2</v>
      </c>
      <c r="M55" s="27">
        <f>Table2[[#This Row],[infection count, high end of estimate range]]/$T$6</f>
        <v>7.090230676702941E-2</v>
      </c>
      <c r="N55" s="15">
        <f>Table2[[#This Row],[infection percentage, high end of estimate range]]-Table2[[#This Row],[infection percentage, low end of estimate range]]</f>
        <v>2.1816094389855198E-2</v>
      </c>
      <c r="O55" s="27">
        <f>(Table2[[#This Row],[infection percentage, low end of estimate range]]+Table2[[#This Row],[infection percentage, high end of estimate range]])/2</f>
        <v>5.9994259572101812E-2</v>
      </c>
      <c r="P55" s="3">
        <f>$T$6/(Table2[[#This Row],[cases]]*5)</f>
        <v>10.447343316694399</v>
      </c>
      <c r="Q55" s="3">
        <f>$T$6/(Table2[[#This Row],[cases]]*7)</f>
        <v>7.462388083353142</v>
      </c>
      <c r="R55" s="3">
        <f>Table2[[#This Row],[1-in-X odds, estimating 5x cases infected]]-Table2[[#This Row],[1-in-X odds, estimating 7x cases infected]]</f>
        <v>2.9849552333412568</v>
      </c>
      <c r="S55" s="3">
        <f>(Table2[[#This Row],[1-in-X odds, estimating 5x cases infected]]+Table2[[#This Row],[1-in-X odds, estimating 7x cases infected]])/2</f>
        <v>8.9548657000237704</v>
      </c>
      <c r="V55" s="31"/>
    </row>
    <row r="56" spans="1:22" x14ac:dyDescent="0.2">
      <c r="A56" s="8">
        <v>43964</v>
      </c>
      <c r="B56" s="56">
        <v>9071</v>
      </c>
      <c r="C56" s="71">
        <f>Table2[[#This Row],[cases]]/$B$2</f>
        <v>1.926254050633449E-2</v>
      </c>
      <c r="D56" s="26">
        <f>(Table2[[#This Row],[cases]]-B55)/B55</f>
        <v>6.2118691070438157E-3</v>
      </c>
      <c r="E56" s="38">
        <f t="shared" ref="E56" si="14">(LN(2)/LN(B56/B55))</f>
        <v>111.93053433065666</v>
      </c>
      <c r="F56" s="81">
        <f>Table2[[#This Row],[cases]]*100/$T$19</f>
        <v>27487.878787878788</v>
      </c>
      <c r="G56" s="35">
        <f>Table2[[#This Row],[cases]]*100/$T$13</f>
        <v>23258.974358974359</v>
      </c>
      <c r="H56" s="35">
        <f>Table2[[#This Row],[cases]]*100/$T$16</f>
        <v>33596.296296296299</v>
      </c>
      <c r="I56" s="35">
        <f>Table2[[#This Row],[infection count, high end of estimate range]]-Table2[[#This Row],[infection count, low end of estimate range]]</f>
        <v>10337.32193732194</v>
      </c>
      <c r="J56" s="35">
        <f>(Table2[[#This Row],[infection count, low end of estimate range]]+Table2[[#This Row],[infection count, high end of estimate range]])/2</f>
        <v>28427.635327635329</v>
      </c>
      <c r="K56" s="26">
        <f>Table2[[#This Row],[estimated infections]]/$T$6</f>
        <v>5.8371334867680272E-2</v>
      </c>
      <c r="L56" s="27">
        <f>Table2[[#This Row],[infection count, low end of estimate range]]/$T$6</f>
        <v>4.9391129503421768E-2</v>
      </c>
      <c r="M56" s="27">
        <f>Table2[[#This Row],[infection count, high end of estimate range]]/$T$6</f>
        <v>7.1342742616053667E-2</v>
      </c>
      <c r="N56" s="15">
        <f>Table2[[#This Row],[infection percentage, high end of estimate range]]-Table2[[#This Row],[infection percentage, low end of estimate range]]</f>
        <v>2.1951613112631899E-2</v>
      </c>
      <c r="O56" s="27">
        <f>(Table2[[#This Row],[infection percentage, low end of estimate range]]+Table2[[#This Row],[infection percentage, high end of estimate range]])/2</f>
        <v>6.0366936059737718E-2</v>
      </c>
      <c r="P56" s="3">
        <f>$T$6/(Table2[[#This Row],[cases]]*5)</f>
        <v>10.38284643368978</v>
      </c>
      <c r="Q56" s="3">
        <f>$T$6/(Table2[[#This Row],[cases]]*7)</f>
        <v>7.416318881206986</v>
      </c>
      <c r="R56" s="3">
        <f>Table2[[#This Row],[1-in-X odds, estimating 5x cases infected]]-Table2[[#This Row],[1-in-X odds, estimating 7x cases infected]]</f>
        <v>2.9665275524827939</v>
      </c>
      <c r="S56" s="3">
        <f>(Table2[[#This Row],[1-in-X odds, estimating 5x cases infected]]+Table2[[#This Row],[1-in-X odds, estimating 7x cases infected]])/2</f>
        <v>8.8995826574483825</v>
      </c>
      <c r="V56" s="31"/>
    </row>
    <row r="57" spans="1:22" x14ac:dyDescent="0.2">
      <c r="A57" s="8">
        <v>43965</v>
      </c>
      <c r="B57" s="56">
        <v>9151</v>
      </c>
      <c r="C57" s="71">
        <f>Table2[[#This Row],[cases]]/$B$2</f>
        <v>1.9432422905243846E-2</v>
      </c>
      <c r="D57" s="26">
        <f>(Table2[[#This Row],[cases]]-B56)/B56</f>
        <v>8.8193142983133063E-3</v>
      </c>
      <c r="E57" s="38">
        <f t="shared" ref="E57" si="15">(LN(2)/LN(B57/B56))</f>
        <v>78.94029233636499</v>
      </c>
      <c r="F57" s="81">
        <f>Table2[[#This Row],[cases]]*100/$T$19</f>
        <v>27730.303030303032</v>
      </c>
      <c r="G57" s="35">
        <f>Table2[[#This Row],[cases]]*100/$T$13</f>
        <v>23464.102564102563</v>
      </c>
      <c r="H57" s="35">
        <f>Table2[[#This Row],[cases]]*100/$T$16</f>
        <v>33892.592592592591</v>
      </c>
      <c r="I57" s="35">
        <f>Table2[[#This Row],[infection count, high end of estimate range]]-Table2[[#This Row],[infection count, low end of estimate range]]</f>
        <v>10428.490028490029</v>
      </c>
      <c r="J57" s="35">
        <f>(Table2[[#This Row],[infection count, low end of estimate range]]+Table2[[#This Row],[infection count, high end of estimate range]])/2</f>
        <v>28678.347578347577</v>
      </c>
      <c r="K57" s="26">
        <f>Table2[[#This Row],[estimated infections]]/$T$6</f>
        <v>5.8886130015890444E-2</v>
      </c>
      <c r="L57" s="27">
        <f>Table2[[#This Row],[infection count, low end of estimate range]]/$T$6</f>
        <v>4.9826725398061135E-2</v>
      </c>
      <c r="M57" s="27">
        <f>Table2[[#This Row],[infection count, high end of estimate range]]/$T$6</f>
        <v>7.1971936686088311E-2</v>
      </c>
      <c r="N57" s="15">
        <f>Table2[[#This Row],[infection percentage, high end of estimate range]]-Table2[[#This Row],[infection percentage, low end of estimate range]]</f>
        <v>2.2145211288027176E-2</v>
      </c>
      <c r="O57" s="27">
        <f>(Table2[[#This Row],[infection percentage, low end of estimate range]]+Table2[[#This Row],[infection percentage, high end of estimate range]])/2</f>
        <v>6.089933104207472E-2</v>
      </c>
      <c r="P57" s="3">
        <f>$T$6/(Table2[[#This Row],[cases]]*5)</f>
        <v>10.292077368593596</v>
      </c>
      <c r="Q57" s="3">
        <f>$T$6/(Table2[[#This Row],[cases]]*7)</f>
        <v>7.351483834709712</v>
      </c>
      <c r="R57" s="3">
        <f>Table2[[#This Row],[1-in-X odds, estimating 5x cases infected]]-Table2[[#This Row],[1-in-X odds, estimating 7x cases infected]]</f>
        <v>2.9405935338838836</v>
      </c>
      <c r="S57" s="3">
        <f>(Table2[[#This Row],[1-in-X odds, estimating 5x cases infected]]+Table2[[#This Row],[1-in-X odds, estimating 7x cases infected]])/2</f>
        <v>8.8217806016516533</v>
      </c>
      <c r="V57" s="31"/>
    </row>
    <row r="58" spans="1:22" x14ac:dyDescent="0.2">
      <c r="A58" s="8">
        <v>43966</v>
      </c>
      <c r="B58" s="56">
        <v>9277</v>
      </c>
      <c r="C58" s="71">
        <f>Table2[[#This Row],[cases]]/$B$2</f>
        <v>1.9699987683526078E-2</v>
      </c>
      <c r="D58" s="26">
        <f>(Table2[[#This Row],[cases]]-B57)/B57</f>
        <v>1.3768986995956725E-2</v>
      </c>
      <c r="E58" s="38">
        <f t="shared" ref="E58:E60" si="16">(LN(2)/LN(B58/B57))</f>
        <v>50.686972970738736</v>
      </c>
      <c r="F58" s="81">
        <f>Table2[[#This Row],[cases]]*100/$T$19</f>
        <v>28112.121212121212</v>
      </c>
      <c r="G58" s="35">
        <f>Table2[[#This Row],[cases]]*100/$T$13</f>
        <v>23787.179487179488</v>
      </c>
      <c r="H58" s="35">
        <f>Table2[[#This Row],[cases]]*100/$T$16</f>
        <v>34359.259259259263</v>
      </c>
      <c r="I58" s="35">
        <f>Table2[[#This Row],[infection count, high end of estimate range]]-Table2[[#This Row],[infection count, low end of estimate range]]</f>
        <v>10572.079772079775</v>
      </c>
      <c r="J58" s="35">
        <f>(Table2[[#This Row],[infection count, low end of estimate range]]+Table2[[#This Row],[infection count, high end of estimate range]])/2</f>
        <v>29073.219373219377</v>
      </c>
      <c r="K58" s="26">
        <f>Table2[[#This Row],[estimated infections]]/$T$6</f>
        <v>5.969693237432145E-2</v>
      </c>
      <c r="L58" s="27">
        <f>Table2[[#This Row],[infection count, low end of estimate range]]/$T$6</f>
        <v>5.0512788932118156E-2</v>
      </c>
      <c r="M58" s="27">
        <f>Table2[[#This Row],[infection count, high end of estimate range]]/$T$6</f>
        <v>7.2962917346392889E-2</v>
      </c>
      <c r="N58" s="15">
        <f>Table2[[#This Row],[infection percentage, high end of estimate range]]-Table2[[#This Row],[infection percentage, low end of estimate range]]</f>
        <v>2.2450128414274732E-2</v>
      </c>
      <c r="O58" s="27">
        <f>(Table2[[#This Row],[infection percentage, low end of estimate range]]+Table2[[#This Row],[infection percentage, high end of estimate range]])/2</f>
        <v>6.1737853139255519E-2</v>
      </c>
      <c r="P58" s="3">
        <f>$T$6/(Table2[[#This Row],[cases]]*5)</f>
        <v>10.152290611188961</v>
      </c>
      <c r="Q58" s="3">
        <f>$T$6/(Table2[[#This Row],[cases]]*7)</f>
        <v>7.2516361508492588</v>
      </c>
      <c r="R58" s="3">
        <f>Table2[[#This Row],[1-in-X odds, estimating 5x cases infected]]-Table2[[#This Row],[1-in-X odds, estimating 7x cases infected]]</f>
        <v>2.9006544603397026</v>
      </c>
      <c r="S58" s="3">
        <f>(Table2[[#This Row],[1-in-X odds, estimating 5x cases infected]]+Table2[[#This Row],[1-in-X odds, estimating 7x cases infected]])/2</f>
        <v>8.7019633810191106</v>
      </c>
      <c r="V58" s="31"/>
    </row>
    <row r="59" spans="1:22" x14ac:dyDescent="0.2">
      <c r="A59" s="8">
        <v>43967</v>
      </c>
      <c r="B59" s="56">
        <v>9444</v>
      </c>
      <c r="C59" s="71">
        <f>Table2[[#This Row],[cases]]/$B$2</f>
        <v>2.0054617191249357E-2</v>
      </c>
      <c r="D59" s="26">
        <f>(Table2[[#This Row],[cases]]-B58)/B58</f>
        <v>1.8001509108548024E-2</v>
      </c>
      <c r="E59" s="38">
        <f t="shared" si="16"/>
        <v>38.850491503432927</v>
      </c>
      <c r="F59" s="81">
        <f>Table2[[#This Row],[cases]]*100/$T$19</f>
        <v>28618.18181818182</v>
      </c>
      <c r="G59" s="35">
        <f>Table2[[#This Row],[cases]]*100/$T$13</f>
        <v>24215.384615384617</v>
      </c>
      <c r="H59" s="35">
        <f>Table2[[#This Row],[cases]]*100/$T$16</f>
        <v>34977.777777777781</v>
      </c>
      <c r="I59" s="35">
        <f>Table2[[#This Row],[infection count, high end of estimate range]]-Table2[[#This Row],[infection count, low end of estimate range]]</f>
        <v>10762.393162393164</v>
      </c>
      <c r="J59" s="35">
        <f>(Table2[[#This Row],[infection count, low end of estimate range]]+Table2[[#This Row],[infection count, high end of estimate range]])/2</f>
        <v>29596.581196581199</v>
      </c>
      <c r="K59" s="26">
        <f>Table2[[#This Row],[estimated infections]]/$T$6</f>
        <v>6.0771567246210176E-2</v>
      </c>
      <c r="L59" s="27">
        <f>Table2[[#This Row],[infection count, low end of estimate range]]/$T$6</f>
        <v>5.1422095362177844E-2</v>
      </c>
      <c r="M59" s="27">
        <f>Table2[[#This Row],[infection count, high end of estimate range]]/$T$6</f>
        <v>7.4276359967590216E-2</v>
      </c>
      <c r="N59" s="15">
        <f>Table2[[#This Row],[infection percentage, high end of estimate range]]-Table2[[#This Row],[infection percentage, low end of estimate range]]</f>
        <v>2.2854264605412372E-2</v>
      </c>
      <c r="O59" s="27">
        <f>(Table2[[#This Row],[infection percentage, low end of estimate range]]+Table2[[#This Row],[infection percentage, high end of estimate range]])/2</f>
        <v>6.284922766488403E-2</v>
      </c>
      <c r="P59" s="3">
        <f>$T$6/(Table2[[#This Row],[cases]]*5)</f>
        <v>9.9727657772130449</v>
      </c>
      <c r="Q59" s="3">
        <f>$T$6/(Table2[[#This Row],[cases]]*7)</f>
        <v>7.1234041265807466</v>
      </c>
      <c r="R59" s="3">
        <f>Table2[[#This Row],[1-in-X odds, estimating 5x cases infected]]-Table2[[#This Row],[1-in-X odds, estimating 7x cases infected]]</f>
        <v>2.8493616506322983</v>
      </c>
      <c r="S59" s="3">
        <f>(Table2[[#This Row],[1-in-X odds, estimating 5x cases infected]]+Table2[[#This Row],[1-in-X odds, estimating 7x cases infected]])/2</f>
        <v>8.5480849518968967</v>
      </c>
      <c r="V59" s="31"/>
    </row>
    <row r="60" spans="1:22" x14ac:dyDescent="0.2">
      <c r="A60" s="8">
        <v>43968</v>
      </c>
      <c r="B60" s="56">
        <v>9589</v>
      </c>
      <c r="C60" s="71">
        <f>Table2[[#This Row],[cases]]/$B$2</f>
        <v>2.0362529039272565E-2</v>
      </c>
      <c r="D60" s="26">
        <f>(Table2[[#This Row],[cases]]-B59)/B59</f>
        <v>1.5353663701821263E-2</v>
      </c>
      <c r="E60" s="38">
        <f t="shared" si="16"/>
        <v>45.491086389368192</v>
      </c>
      <c r="F60" s="81">
        <f>Table2[[#This Row],[cases]]*100/$T$19</f>
        <v>29057.575757575756</v>
      </c>
      <c r="G60" s="35">
        <f>Table2[[#This Row],[cases]]*100/$T$13</f>
        <v>24587.179487179488</v>
      </c>
      <c r="H60" s="35">
        <f>Table2[[#This Row],[cases]]*100/$T$16</f>
        <v>35514.814814814818</v>
      </c>
      <c r="I60" s="35">
        <f>Table2[[#This Row],[infection count, high end of estimate range]]-Table2[[#This Row],[infection count, low end of estimate range]]</f>
        <v>10927.635327635329</v>
      </c>
      <c r="J60" s="35">
        <f>(Table2[[#This Row],[infection count, low end of estimate range]]+Table2[[#This Row],[infection count, high end of estimate range]])/2</f>
        <v>30050.997150997151</v>
      </c>
      <c r="K60" s="26">
        <f>Table2[[#This Row],[estimated infections]]/$T$6</f>
        <v>6.1704633452341097E-2</v>
      </c>
      <c r="L60" s="27">
        <f>Table2[[#This Row],[infection count, low end of estimate range]]/$T$6</f>
        <v>5.2211612921211702E-2</v>
      </c>
      <c r="M60" s="27">
        <f>Table2[[#This Row],[infection count, high end of estimate range]]/$T$6</f>
        <v>7.5416774219528013E-2</v>
      </c>
      <c r="N60" s="15">
        <f>Table2[[#This Row],[infection percentage, high end of estimate range]]-Table2[[#This Row],[infection percentage, low end of estimate range]]</f>
        <v>2.3205161298316311E-2</v>
      </c>
      <c r="O60" s="27">
        <f>(Table2[[#This Row],[infection percentage, low end of estimate range]]+Table2[[#This Row],[infection percentage, high end of estimate range]])/2</f>
        <v>6.3814193570369854E-2</v>
      </c>
      <c r="P60" s="3">
        <f>$T$6/(Table2[[#This Row],[cases]]*5)</f>
        <v>9.8219626655542811</v>
      </c>
      <c r="Q60" s="3">
        <f>$T$6/(Table2[[#This Row],[cases]]*7)</f>
        <v>7.0156876182530574</v>
      </c>
      <c r="R60" s="3">
        <f>Table2[[#This Row],[1-in-X odds, estimating 5x cases infected]]-Table2[[#This Row],[1-in-X odds, estimating 7x cases infected]]</f>
        <v>2.8062750473012237</v>
      </c>
      <c r="S60" s="3">
        <f>(Table2[[#This Row],[1-in-X odds, estimating 5x cases infected]]+Table2[[#This Row],[1-in-X odds, estimating 7x cases infected]])/2</f>
        <v>8.4188251419036693</v>
      </c>
      <c r="V60" s="31"/>
    </row>
    <row r="61" spans="1:22" x14ac:dyDescent="0.2">
      <c r="V61" s="55" t="str">
        <f ca="1">"updated " &amp; TEXT($U6,"MMMM d, yyyy") &amp; ", " &amp; T9</f>
        <v>updated May 17, 2020, evening</v>
      </c>
    </row>
    <row r="62" spans="1:22" x14ac:dyDescent="0.2">
      <c r="U62" s="34" t="s">
        <v>32</v>
      </c>
      <c r="V62" s="36"/>
    </row>
    <row r="63" spans="1:22" x14ac:dyDescent="0.2">
      <c r="U63" s="27">
        <f ca="1">OFFSET(compute!D4,COUNTA(compute!D:D)-1,0)</f>
        <v>1.5353663701821263E-2</v>
      </c>
    </row>
    <row r="64" spans="1:22" x14ac:dyDescent="0.2">
      <c r="V64" s="33" t="s">
        <v>24</v>
      </c>
    </row>
    <row r="65" spans="22:22" x14ac:dyDescent="0.2">
      <c r="V65" s="1" t="str">
        <f ca="1">"There have been " &amp;TEXT( U9,"0") &amp; " confirmed cases of COVID-19 disease in " &amp; B1 &amp; " since the start of the outbreak."</f>
        <v>There have been 9589 confirmed cases of COVID-19 disease in Miami since the start of the outbreak.</v>
      </c>
    </row>
    <row r="67" spans="22:22" x14ac:dyDescent="0.2">
      <c r="V67" s="1" t="str">
        <f ca="1">"Around " &amp;TEXT(ROUND(U12,-3),"#,##0") &amp;" people in " &amp; B1 &amp; " may have already been infected with the SARS-CoV-2 virus."</f>
        <v>Around 29,000 people in Miami may have already been infected with the SARS-CoV-2 virus.</v>
      </c>
    </row>
    <row r="69" spans="22:22" x14ac:dyDescent="0.2">
      <c r="V69" s="1" t="str">
        <f ca="1">"Around " &amp; TEXT(U15,"0.0%") &amp; " of the total population of " &amp; B1 &amp; " may have already been infected with the SARS-CoV-2 virus, based on an estimated population of " &amp; TEXT(T6,"0,000") &amp; "."</f>
        <v>Around 6.2% of the total population of Miami may have already been infected with the SARS-CoV-2 virus, based on an estimated population of 470,914.</v>
      </c>
    </row>
    <row r="71" spans="22:22" x14ac:dyDescent="0.2">
      <c r="V71" s="1" t="str">
        <f ca="1">"The odds of any given person in " &amp; B1 &amp; " having been infected with SARS-CoV-2 is currently estimated to be around one in " &amp; TEXT(U18,"#,##0")  &amp; "."</f>
        <v>The odds of any given person in Miami having been infected with SARS-CoV-2 is currently estimated to be around one in 8.</v>
      </c>
    </row>
    <row r="73" spans="22:22" x14ac:dyDescent="0.2">
      <c r="V73" s="1" t="str">
        <f ca="1">"doubing in " &amp; TEXT(U21,"0.0") &amp; " days"</f>
        <v>doubing in 45.5 days</v>
      </c>
    </row>
    <row r="75" spans="22:22" x14ac:dyDescent="0.2">
      <c r="V75" s="1" t="str">
        <f ca="1">TEXT(U63, "+0.0%;-0.0%") &amp; " per day"</f>
        <v>+1.5% per day</v>
      </c>
    </row>
    <row r="77" spans="22:22" x14ac:dyDescent="0.2">
      <c r="V77" t="str">
        <f ca="1">"The current rate of increase is " &amp; V75</f>
        <v>The current rate of increase is +1.5%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topLeftCell="A10" workbookViewId="0">
      <selection sqref="A1:B34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 x14ac:dyDescent="0.2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 x14ac:dyDescent="0.2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 x14ac:dyDescent="0.2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 x14ac:dyDescent="0.2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 x14ac:dyDescent="0.2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 x14ac:dyDescent="0.2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 x14ac:dyDescent="0.2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60"/>
  <sheetViews>
    <sheetView topLeftCell="A53" zoomScale="231" workbookViewId="0">
      <selection activeCell="B60" sqref="A1:B60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 x14ac:dyDescent="0.2">
      <c r="A27" s="8">
        <v>43935</v>
      </c>
      <c r="B27" s="9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 x14ac:dyDescent="0.2">
      <c r="A28" s="8">
        <v>43936</v>
      </c>
      <c r="B28" s="9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 x14ac:dyDescent="0.2">
      <c r="A29" s="8">
        <v>43937</v>
      </c>
      <c r="B29" s="9">
        <v>587</v>
      </c>
      <c r="C29" s="26">
        <f t="shared" si="12"/>
        <v>6.8610634648370496E-3</v>
      </c>
      <c r="D29" s="38">
        <f t="shared" si="13"/>
        <v>101.37238020000403</v>
      </c>
    </row>
    <row r="30" spans="1:4" x14ac:dyDescent="0.2">
      <c r="A30" s="8">
        <v>43938</v>
      </c>
      <c r="B30" s="9">
        <v>607</v>
      </c>
      <c r="C30" s="26">
        <f t="shared" si="12"/>
        <v>3.4071550255536626E-2</v>
      </c>
      <c r="D30" s="38">
        <f t="shared" si="13"/>
        <v>20.688508110653103</v>
      </c>
    </row>
    <row r="31" spans="1:4" x14ac:dyDescent="0.2">
      <c r="A31" s="8">
        <v>43939</v>
      </c>
      <c r="B31" s="9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 x14ac:dyDescent="0.2">
      <c r="A32" s="8">
        <v>43940</v>
      </c>
      <c r="B32" s="9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 x14ac:dyDescent="0.2">
      <c r="A33" s="8">
        <v>43941</v>
      </c>
      <c r="B33" s="9">
        <v>641</v>
      </c>
      <c r="C33" s="26">
        <f t="shared" si="16"/>
        <v>7.8616352201257862E-3</v>
      </c>
      <c r="D33" s="38">
        <f t="shared" si="17"/>
        <v>88.514442627817402</v>
      </c>
    </row>
    <row r="34" spans="1:4" x14ac:dyDescent="0.2">
      <c r="A34" s="8">
        <v>43942</v>
      </c>
      <c r="B34" s="9">
        <v>651</v>
      </c>
      <c r="C34" s="26">
        <f t="shared" si="16"/>
        <v>1.5600624024960999E-2</v>
      </c>
      <c r="D34" s="38">
        <f t="shared" si="17"/>
        <v>44.776413697177858</v>
      </c>
    </row>
    <row r="35" spans="1:4" x14ac:dyDescent="0.2">
      <c r="A35" s="8">
        <v>43943</v>
      </c>
      <c r="B35" s="9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 x14ac:dyDescent="0.2">
      <c r="A36" s="8">
        <v>43944</v>
      </c>
      <c r="B36" s="9">
        <v>661</v>
      </c>
      <c r="C36" s="26">
        <f t="shared" si="18"/>
        <v>3.0349013657056147E-3</v>
      </c>
      <c r="D36" s="38">
        <f t="shared" si="19"/>
        <v>228.73839454750822</v>
      </c>
    </row>
    <row r="37" spans="1:4" x14ac:dyDescent="0.2">
      <c r="A37" s="8">
        <v>43945</v>
      </c>
      <c r="B37" s="9">
        <v>671</v>
      </c>
      <c r="C37" s="26">
        <f t="shared" si="18"/>
        <v>1.5128593040847202E-2</v>
      </c>
      <c r="D37" s="38">
        <f t="shared" si="19"/>
        <v>46.162734910979644</v>
      </c>
    </row>
    <row r="38" spans="1:4" x14ac:dyDescent="0.2">
      <c r="A38" s="8">
        <v>43946</v>
      </c>
      <c r="B38" s="9">
        <v>674</v>
      </c>
      <c r="C38" s="26">
        <f t="shared" si="18"/>
        <v>4.4709388971684054E-3</v>
      </c>
      <c r="D38" s="38">
        <f t="shared" si="19"/>
        <v>155.38023529964653</v>
      </c>
    </row>
    <row r="39" spans="1:4" x14ac:dyDescent="0.2">
      <c r="A39" s="8">
        <v>43947</v>
      </c>
      <c r="B39" s="9">
        <v>678</v>
      </c>
      <c r="C39" s="26">
        <f t="shared" si="18"/>
        <v>5.9347181008902079E-3</v>
      </c>
      <c r="D39" s="38">
        <f t="shared" si="19"/>
        <v>117.14153172528272</v>
      </c>
    </row>
    <row r="40" spans="1:4" x14ac:dyDescent="0.2">
      <c r="A40" s="8">
        <v>43948</v>
      </c>
      <c r="B40" s="9">
        <v>681</v>
      </c>
      <c r="C40" s="26">
        <f t="shared" si="18"/>
        <v>4.4247787610619468E-3</v>
      </c>
      <c r="D40" s="38">
        <f t="shared" si="19"/>
        <v>156.99758137546218</v>
      </c>
    </row>
    <row r="41" spans="1:4" x14ac:dyDescent="0.2">
      <c r="A41" s="8">
        <v>43949</v>
      </c>
      <c r="B41" s="9">
        <v>690</v>
      </c>
      <c r="C41" s="26">
        <f t="shared" si="18"/>
        <v>1.3215859030837005E-2</v>
      </c>
      <c r="D41" s="38">
        <f t="shared" si="19"/>
        <v>52.793951877215413</v>
      </c>
    </row>
    <row r="42" spans="1:4" x14ac:dyDescent="0.2">
      <c r="A42" s="8">
        <v>43950</v>
      </c>
      <c r="B42" s="9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 x14ac:dyDescent="0.2">
      <c r="A43" s="8">
        <v>43951</v>
      </c>
      <c r="B43" s="9">
        <v>695</v>
      </c>
      <c r="C43" s="26">
        <f t="shared" si="18"/>
        <v>8.708272859216255E-3</v>
      </c>
      <c r="D43" s="38">
        <f t="shared" si="19"/>
        <v>79.942473993182418</v>
      </c>
    </row>
    <row r="44" spans="1:4" x14ac:dyDescent="0.2">
      <c r="A44" s="8">
        <v>43952</v>
      </c>
      <c r="B44" s="9">
        <v>706</v>
      </c>
      <c r="C44" s="26">
        <f t="shared" si="18"/>
        <v>1.5827338129496403E-2</v>
      </c>
      <c r="D44" s="38">
        <f t="shared" si="19"/>
        <v>44.139965665899489</v>
      </c>
    </row>
    <row r="45" spans="1:4" x14ac:dyDescent="0.2">
      <c r="A45" s="8">
        <v>43953</v>
      </c>
      <c r="B45" s="9">
        <v>713</v>
      </c>
      <c r="C45" s="26">
        <f t="shared" si="18"/>
        <v>9.9150141643059488E-3</v>
      </c>
      <c r="D45" s="38">
        <f t="shared" si="19"/>
        <v>70.254847908892572</v>
      </c>
    </row>
    <row r="46" spans="1:4" x14ac:dyDescent="0.2">
      <c r="A46" s="8">
        <v>43954</v>
      </c>
      <c r="B46" s="9">
        <v>717</v>
      </c>
      <c r="C46" s="26">
        <f t="shared" si="18"/>
        <v>5.6100981767180924E-3</v>
      </c>
      <c r="D46" s="38">
        <f t="shared" si="19"/>
        <v>123.89973537887481</v>
      </c>
    </row>
    <row r="47" spans="1:4" x14ac:dyDescent="0.2">
      <c r="A47" s="8">
        <v>43955</v>
      </c>
      <c r="B47" s="9">
        <v>718</v>
      </c>
      <c r="C47" s="26">
        <f t="shared" si="18"/>
        <v>1.3947001394700139E-3</v>
      </c>
      <c r="D47" s="38">
        <f t="shared" si="19"/>
        <v>497.33302154683025</v>
      </c>
    </row>
    <row r="48" spans="1:4" x14ac:dyDescent="0.2">
      <c r="A48" s="8">
        <v>43956</v>
      </c>
      <c r="B48" s="9">
        <v>719</v>
      </c>
      <c r="C48" s="26">
        <f t="shared" si="18"/>
        <v>1.3927576601671309E-3</v>
      </c>
      <c r="D48" s="38">
        <f t="shared" si="19"/>
        <v>498.02616883946456</v>
      </c>
    </row>
    <row r="49" spans="1:4" x14ac:dyDescent="0.2">
      <c r="A49" s="8">
        <v>43957</v>
      </c>
      <c r="B49" s="9">
        <v>720</v>
      </c>
      <c r="C49" s="26">
        <f t="shared" si="18"/>
        <v>1.3908205841446453E-3</v>
      </c>
      <c r="D49" s="38">
        <f t="shared" si="19"/>
        <v>498.71931613175457</v>
      </c>
    </row>
    <row r="50" spans="1:4" x14ac:dyDescent="0.2">
      <c r="A50" s="8">
        <v>43958</v>
      </c>
      <c r="B50" s="9">
        <v>722</v>
      </c>
      <c r="C50" s="26">
        <f t="shared" si="18"/>
        <v>2.7777777777777779E-3</v>
      </c>
      <c r="D50" s="38">
        <f t="shared" si="19"/>
        <v>249.87939836358191</v>
      </c>
    </row>
    <row r="51" spans="1:4" x14ac:dyDescent="0.2">
      <c r="A51" s="8">
        <v>43959</v>
      </c>
      <c r="B51" s="9">
        <v>723</v>
      </c>
      <c r="C51" s="26">
        <f t="shared" si="18"/>
        <v>1.3850415512465374E-3</v>
      </c>
      <c r="D51" s="38">
        <f t="shared" si="19"/>
        <v>500.79875800674318</v>
      </c>
    </row>
    <row r="52" spans="1:4" x14ac:dyDescent="0.2">
      <c r="A52" s="8">
        <v>43960</v>
      </c>
      <c r="B52" s="9">
        <v>725</v>
      </c>
      <c r="C52" s="26">
        <f t="shared" si="18"/>
        <v>2.7662517289073307E-3</v>
      </c>
      <c r="D52" s="38">
        <f t="shared" si="19"/>
        <v>250.91911979835183</v>
      </c>
    </row>
    <row r="53" spans="1:4" x14ac:dyDescent="0.2">
      <c r="A53" s="8">
        <v>43961</v>
      </c>
      <c r="B53" s="9">
        <v>745</v>
      </c>
      <c r="C53" s="26">
        <f t="shared" si="18"/>
        <v>2.7586206896551724E-2</v>
      </c>
      <c r="D53" s="38">
        <f t="shared" si="19"/>
        <v>25.471587045670656</v>
      </c>
    </row>
    <row r="54" spans="1:4" x14ac:dyDescent="0.2">
      <c r="A54" s="8">
        <v>43962</v>
      </c>
      <c r="B54" s="9">
        <v>750</v>
      </c>
      <c r="C54" s="26">
        <f t="shared" si="18"/>
        <v>6.7114093959731542E-3</v>
      </c>
      <c r="D54" s="38">
        <f t="shared" si="19"/>
        <v>103.62511712289192</v>
      </c>
    </row>
    <row r="55" spans="1:4" x14ac:dyDescent="0.2">
      <c r="A55" s="8">
        <v>43963</v>
      </c>
      <c r="B55" s="9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 x14ac:dyDescent="0.2">
      <c r="A56" s="8">
        <v>43964</v>
      </c>
      <c r="B56" s="9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 x14ac:dyDescent="0.2">
      <c r="A57" s="8">
        <v>43965</v>
      </c>
      <c r="B57" s="9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 x14ac:dyDescent="0.2">
      <c r="A58" s="8">
        <v>43966</v>
      </c>
      <c r="B58" s="9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 x14ac:dyDescent="0.2">
      <c r="A59" s="8">
        <v>43967</v>
      </c>
      <c r="B59" s="9">
        <v>791</v>
      </c>
      <c r="C59" s="26">
        <f t="shared" si="26"/>
        <v>5.0825921219822112E-3</v>
      </c>
      <c r="D59" s="38">
        <f t="shared" si="27"/>
        <v>136.72298852710364</v>
      </c>
    </row>
    <row r="60" spans="1:4" x14ac:dyDescent="0.2">
      <c r="A60" s="8">
        <v>43968</v>
      </c>
      <c r="B60" s="9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60"/>
  <sheetViews>
    <sheetView workbookViewId="0">
      <selection sqref="A1:B6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8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8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8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8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8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8">
        <f t="shared" si="0"/>
        <v>5.0683867188519347</v>
      </c>
    </row>
    <row r="13" spans="1:4" x14ac:dyDescent="0.2">
      <c r="A13" s="8">
        <v>43921</v>
      </c>
      <c r="B13" s="56">
        <v>1179</v>
      </c>
      <c r="C13" s="26">
        <f t="shared" si="1"/>
        <v>0.26638023630504831</v>
      </c>
      <c r="D13" s="38">
        <f t="shared" si="0"/>
        <v>2.9350418410450274</v>
      </c>
    </row>
    <row r="14" spans="1:4" x14ac:dyDescent="0.2">
      <c r="A14" s="8">
        <v>43922</v>
      </c>
      <c r="B14" s="56">
        <v>1371</v>
      </c>
      <c r="C14" s="26">
        <f t="shared" si="1"/>
        <v>0.16284987277353691</v>
      </c>
      <c r="D14" s="38">
        <f t="shared" si="0"/>
        <v>4.594218989141579</v>
      </c>
    </row>
    <row r="15" spans="1:4" x14ac:dyDescent="0.2">
      <c r="A15" s="8">
        <v>43923</v>
      </c>
      <c r="B15" s="56">
        <v>1677</v>
      </c>
      <c r="C15" s="26">
        <f t="shared" si="1"/>
        <v>0.22319474835886213</v>
      </c>
      <c r="D15" s="38">
        <f t="shared" si="0"/>
        <v>3.4405155090192001</v>
      </c>
    </row>
    <row r="16" spans="1:4" x14ac:dyDescent="0.2">
      <c r="A16" s="8">
        <v>43924</v>
      </c>
      <c r="B16" s="56">
        <v>1959</v>
      </c>
      <c r="C16" s="26">
        <f t="shared" si="1"/>
        <v>0.16815742397137745</v>
      </c>
      <c r="D16" s="38">
        <f t="shared" si="0"/>
        <v>4.4596129019590443</v>
      </c>
    </row>
    <row r="17" spans="1:4" x14ac:dyDescent="0.2">
      <c r="A17" s="8">
        <v>43925</v>
      </c>
      <c r="B17" s="56">
        <v>2291</v>
      </c>
      <c r="C17" s="26">
        <f t="shared" si="1"/>
        <v>0.16947422154160285</v>
      </c>
      <c r="D17" s="38">
        <f t="shared" si="0"/>
        <v>4.4275202769727011</v>
      </c>
    </row>
    <row r="18" spans="1:4" x14ac:dyDescent="0.2">
      <c r="A18" s="8">
        <v>43926</v>
      </c>
      <c r="B18" s="56">
        <v>2461</v>
      </c>
      <c r="C18" s="26">
        <f t="shared" si="1"/>
        <v>7.4203404626800529E-2</v>
      </c>
      <c r="D18" s="38">
        <f t="shared" si="0"/>
        <v>9.6836169490150699</v>
      </c>
    </row>
    <row r="19" spans="1:4" x14ac:dyDescent="0.2">
      <c r="A19" s="8">
        <v>43927</v>
      </c>
      <c r="B19" s="56">
        <v>2802</v>
      </c>
      <c r="C19" s="26">
        <f t="shared" si="1"/>
        <v>0.13856156034132466</v>
      </c>
      <c r="D19" s="38">
        <f t="shared" si="0"/>
        <v>5.3415294338518668</v>
      </c>
    </row>
    <row r="20" spans="1:4" x14ac:dyDescent="0.2">
      <c r="A20" s="8">
        <v>43928</v>
      </c>
      <c r="B20" s="56">
        <v>3100</v>
      </c>
      <c r="C20" s="26">
        <f t="shared" si="1"/>
        <v>0.10635260528194147</v>
      </c>
      <c r="D20" s="38">
        <f t="shared" si="0"/>
        <v>6.8581809240681908</v>
      </c>
    </row>
    <row r="21" spans="1:4" x14ac:dyDescent="0.2">
      <c r="A21" s="8">
        <v>43929</v>
      </c>
      <c r="B21" s="56">
        <v>3317</v>
      </c>
      <c r="C21" s="26">
        <f t="shared" si="1"/>
        <v>7.0000000000000007E-2</v>
      </c>
      <c r="D21" s="38">
        <f t="shared" si="0"/>
        <v>10.244768351058712</v>
      </c>
    </row>
    <row r="22" spans="1:4" x14ac:dyDescent="0.2">
      <c r="A22" s="8">
        <v>43930</v>
      </c>
      <c r="B22" s="56">
        <v>3587</v>
      </c>
      <c r="C22" s="26">
        <f t="shared" ref="C22:C23" si="2">(B22-B21)/B21</f>
        <v>8.1398854386493816E-2</v>
      </c>
      <c r="D22" s="38">
        <f t="shared" ref="D22:D23" si="3">(LN(2)/LN(B22/B21))</f>
        <v>8.857495313952132</v>
      </c>
    </row>
    <row r="23" spans="1:4" x14ac:dyDescent="0.2">
      <c r="A23" s="8">
        <v>43931</v>
      </c>
      <c r="B23" s="56">
        <v>3816</v>
      </c>
      <c r="C23" s="26">
        <f t="shared" si="2"/>
        <v>6.3841650404237518E-2</v>
      </c>
      <c r="D23" s="38">
        <f t="shared" si="3"/>
        <v>11.20028704389693</v>
      </c>
    </row>
    <row r="24" spans="1:4" x14ac:dyDescent="0.2">
      <c r="A24" s="8">
        <v>43932</v>
      </c>
      <c r="B24" s="56">
        <v>4091</v>
      </c>
      <c r="C24" s="26">
        <f t="shared" ref="C24" si="4">(B24-B23)/B23</f>
        <v>7.20649895178197E-2</v>
      </c>
      <c r="D24" s="38">
        <f t="shared" ref="D24" si="5">(LN(2)/LN(B24/B23))</f>
        <v>9.96091676104197</v>
      </c>
    </row>
    <row r="25" spans="1:4" x14ac:dyDescent="0.2">
      <c r="A25" s="8">
        <v>43933</v>
      </c>
      <c r="B25" s="56">
        <v>4273</v>
      </c>
      <c r="C25" s="26">
        <f t="shared" ref="C25" si="6">(B25-B24)/B24</f>
        <v>4.4487900268882913E-2</v>
      </c>
      <c r="D25" s="38">
        <f t="shared" ref="D25" si="7">(LN(2)/LN(B25/B24))</f>
        <v>15.924637026490627</v>
      </c>
    </row>
    <row r="26" spans="1:4" x14ac:dyDescent="0.2">
      <c r="A26" s="8">
        <v>43934</v>
      </c>
      <c r="B26" s="56">
        <v>4487</v>
      </c>
      <c r="C26" s="26">
        <f t="shared" ref="C26" si="8">(B26-B25)/B25</f>
        <v>5.0081909665340513E-2</v>
      </c>
      <c r="D26" s="38">
        <f t="shared" ref="D26" si="9">(LN(2)/LN(B26/B25))</f>
        <v>14.184021538998522</v>
      </c>
    </row>
    <row r="27" spans="1:4" x14ac:dyDescent="0.2">
      <c r="A27" s="8">
        <v>43935</v>
      </c>
      <c r="B27" s="56">
        <v>4648</v>
      </c>
      <c r="C27" s="26">
        <f t="shared" ref="C27" si="10">(B27-B26)/B26</f>
        <v>3.5881435257410298E-2</v>
      </c>
      <c r="D27" s="38">
        <f t="shared" ref="D27" si="11">(LN(2)/LN(B27/B26))</f>
        <v>19.662247910950395</v>
      </c>
    </row>
    <row r="28" spans="1:4" x14ac:dyDescent="0.2">
      <c r="A28" s="8">
        <v>43936</v>
      </c>
      <c r="B28" s="56">
        <v>4857</v>
      </c>
      <c r="C28" s="26">
        <f t="shared" ref="C28" si="12">(B28-B27)/B27</f>
        <v>4.4965576592082619E-2</v>
      </c>
      <c r="D28" s="38">
        <f t="shared" ref="D28" si="13">(LN(2)/LN(B28/B27))</f>
        <v>15.759095716636351</v>
      </c>
    </row>
    <row r="29" spans="1:4" x14ac:dyDescent="0.2">
      <c r="A29" s="8">
        <v>43937</v>
      </c>
      <c r="B29" s="56">
        <v>5018</v>
      </c>
      <c r="C29" s="26">
        <f t="shared" ref="C29:C30" si="14">(B29-B28)/B28</f>
        <v>3.3148033765698991E-2</v>
      </c>
      <c r="D29" s="38">
        <f t="shared" ref="D29:D30" si="15">(LN(2)/LN(B29/B28))</f>
        <v>21.255347458768309</v>
      </c>
    </row>
    <row r="30" spans="1:4" x14ac:dyDescent="0.2">
      <c r="A30" s="8">
        <v>43938</v>
      </c>
      <c r="B30" s="56">
        <v>5325</v>
      </c>
      <c r="C30" s="26">
        <f t="shared" si="14"/>
        <v>6.1179752889597448E-2</v>
      </c>
      <c r="D30" s="38">
        <f t="shared" si="15"/>
        <v>11.672826375517154</v>
      </c>
    </row>
    <row r="31" spans="1:4" x14ac:dyDescent="0.2">
      <c r="A31" s="8">
        <v>43939</v>
      </c>
      <c r="B31" s="56">
        <v>5473</v>
      </c>
      <c r="C31" s="26">
        <f t="shared" ref="C31:C39" si="16">(B31-B30)/B30</f>
        <v>2.7793427230046949E-2</v>
      </c>
      <c r="D31" s="38">
        <f t="shared" ref="D31:D39" si="17">(LN(2)/LN(B31/B30))</f>
        <v>25.284238323265988</v>
      </c>
    </row>
    <row r="32" spans="1:4" x14ac:dyDescent="0.2">
      <c r="A32" s="8">
        <v>43940</v>
      </c>
      <c r="B32" s="56">
        <v>5645</v>
      </c>
      <c r="C32" s="26">
        <f t="shared" si="16"/>
        <v>3.1427005298739263E-2</v>
      </c>
      <c r="D32" s="38">
        <f t="shared" si="17"/>
        <v>22.400568352945822</v>
      </c>
    </row>
    <row r="33" spans="1:4" x14ac:dyDescent="0.2">
      <c r="A33" s="8">
        <v>43941</v>
      </c>
      <c r="B33" s="56">
        <v>5852</v>
      </c>
      <c r="C33" s="26">
        <f t="shared" si="16"/>
        <v>3.6669619131975202E-2</v>
      </c>
      <c r="D33" s="38">
        <f t="shared" si="17"/>
        <v>19.246985379249875</v>
      </c>
    </row>
    <row r="34" spans="1:4" x14ac:dyDescent="0.2">
      <c r="A34" s="8">
        <v>43942</v>
      </c>
      <c r="B34" s="56">
        <v>6064</v>
      </c>
      <c r="C34" s="26">
        <f t="shared" si="16"/>
        <v>3.6226930963773066E-2</v>
      </c>
      <c r="D34" s="38">
        <f t="shared" si="17"/>
        <v>19.477995929350573</v>
      </c>
    </row>
    <row r="35" spans="1:4" x14ac:dyDescent="0.2">
      <c r="A35" s="8">
        <v>43943</v>
      </c>
      <c r="B35" s="56">
        <v>6227</v>
      </c>
      <c r="C35" s="26">
        <f t="shared" si="16"/>
        <v>2.6879947229551452E-2</v>
      </c>
      <c r="D35" s="38">
        <f t="shared" si="17"/>
        <v>26.131817554080403</v>
      </c>
    </row>
    <row r="36" spans="1:4" x14ac:dyDescent="0.2">
      <c r="A36" s="8">
        <v>43944</v>
      </c>
      <c r="B36" s="56">
        <v>6413</v>
      </c>
      <c r="C36" s="26">
        <f t="shared" si="16"/>
        <v>2.9869921310422355E-2</v>
      </c>
      <c r="D36" s="38">
        <f t="shared" si="17"/>
        <v>23.55039768449053</v>
      </c>
    </row>
    <row r="37" spans="1:4" x14ac:dyDescent="0.2">
      <c r="A37" s="8">
        <v>43945</v>
      </c>
      <c r="B37" s="56">
        <v>6658</v>
      </c>
      <c r="C37" s="26">
        <f t="shared" si="16"/>
        <v>3.8203648838297209E-2</v>
      </c>
      <c r="D37" s="38">
        <f t="shared" si="17"/>
        <v>18.487889118218384</v>
      </c>
    </row>
    <row r="38" spans="1:4" x14ac:dyDescent="0.2">
      <c r="A38" s="8">
        <v>43946</v>
      </c>
      <c r="B38" s="56">
        <v>6710</v>
      </c>
      <c r="C38" s="26">
        <f t="shared" si="16"/>
        <v>7.8101531991589066E-3</v>
      </c>
      <c r="D38" s="38">
        <f t="shared" si="17"/>
        <v>89.095622829796753</v>
      </c>
    </row>
    <row r="39" spans="1:4" x14ac:dyDescent="0.2">
      <c r="A39" s="8">
        <v>43947</v>
      </c>
      <c r="B39" s="56">
        <v>7001</v>
      </c>
      <c r="C39" s="26">
        <f t="shared" si="16"/>
        <v>4.3368107302533529E-2</v>
      </c>
      <c r="D39" s="38">
        <f t="shared" si="17"/>
        <v>16.326999709277924</v>
      </c>
    </row>
    <row r="40" spans="1:4" x14ac:dyDescent="0.2">
      <c r="A40" s="8">
        <v>43948</v>
      </c>
      <c r="B40" s="56">
        <v>7159</v>
      </c>
      <c r="C40" s="26">
        <f t="shared" ref="C40:C55" si="18">(B40-B39)/B39</f>
        <v>2.2568204542208255E-2</v>
      </c>
      <c r="D40" s="38">
        <f t="shared" ref="D40:D55" si="19">(LN(2)/LN(B40/B39))</f>
        <v>31.058723813341835</v>
      </c>
    </row>
    <row r="41" spans="1:4" x14ac:dyDescent="0.2">
      <c r="A41" s="8">
        <v>43949</v>
      </c>
      <c r="B41" s="56">
        <v>7364</v>
      </c>
      <c r="C41" s="26">
        <f t="shared" si="18"/>
        <v>2.8635284257577873E-2</v>
      </c>
      <c r="D41" s="38">
        <f t="shared" si="19"/>
        <v>24.550994839858753</v>
      </c>
    </row>
    <row r="42" spans="1:4" x14ac:dyDescent="0.2">
      <c r="A42" s="8">
        <v>43950</v>
      </c>
      <c r="B42" s="56">
        <v>7418</v>
      </c>
      <c r="C42" s="26">
        <f t="shared" si="18"/>
        <v>7.3329712112982079E-3</v>
      </c>
      <c r="D42" s="38">
        <f t="shared" si="19"/>
        <v>94.870889301226129</v>
      </c>
    </row>
    <row r="43" spans="1:4" x14ac:dyDescent="0.2">
      <c r="A43" s="8">
        <v>43951</v>
      </c>
      <c r="B43" s="56">
        <v>7490</v>
      </c>
      <c r="C43" s="26">
        <f t="shared" si="18"/>
        <v>9.7061202480452947E-3</v>
      </c>
      <c r="D43" s="38">
        <f t="shared" si="19"/>
        <v>71.759429333057724</v>
      </c>
    </row>
    <row r="44" spans="1:4" x14ac:dyDescent="0.2">
      <c r="A44" s="8">
        <v>43952</v>
      </c>
      <c r="B44" s="56">
        <v>7685</v>
      </c>
      <c r="C44" s="26">
        <f t="shared" si="18"/>
        <v>2.6034712950600801E-2</v>
      </c>
      <c r="D44" s="38">
        <f t="shared" si="19"/>
        <v>26.969049960532978</v>
      </c>
    </row>
    <row r="45" spans="1:4" x14ac:dyDescent="0.2">
      <c r="A45" s="8">
        <v>43953</v>
      </c>
      <c r="B45" s="56">
        <v>7836</v>
      </c>
      <c r="C45" s="26">
        <f t="shared" si="18"/>
        <v>1.9648666232921275E-2</v>
      </c>
      <c r="D45" s="38">
        <f t="shared" si="19"/>
        <v>35.622509801798749</v>
      </c>
    </row>
    <row r="46" spans="1:4" x14ac:dyDescent="0.2">
      <c r="A46" s="8">
        <v>43954</v>
      </c>
      <c r="B46" s="56">
        <v>7928</v>
      </c>
      <c r="C46" s="26">
        <f t="shared" si="18"/>
        <v>1.1740684022460439E-2</v>
      </c>
      <c r="D46" s="38">
        <f t="shared" si="19"/>
        <v>59.383957056845482</v>
      </c>
    </row>
    <row r="47" spans="1:4" x14ac:dyDescent="0.2">
      <c r="A47" s="8">
        <v>43955</v>
      </c>
      <c r="B47" s="56">
        <v>8166</v>
      </c>
      <c r="C47" s="26">
        <f t="shared" si="18"/>
        <v>3.0020181634712411E-2</v>
      </c>
      <c r="D47" s="38">
        <f t="shared" si="19"/>
        <v>23.434238408786449</v>
      </c>
    </row>
    <row r="48" spans="1:4" x14ac:dyDescent="0.2">
      <c r="A48" s="8">
        <v>43956</v>
      </c>
      <c r="B48" s="56">
        <v>8275</v>
      </c>
      <c r="C48" s="26">
        <f t="shared" si="18"/>
        <v>1.3348028410482488E-2</v>
      </c>
      <c r="D48" s="38">
        <f t="shared" si="19"/>
        <v>52.274613886566158</v>
      </c>
    </row>
    <row r="49" spans="1:4" x14ac:dyDescent="0.2">
      <c r="A49" s="8">
        <v>43957</v>
      </c>
      <c r="B49" s="56">
        <v>8386</v>
      </c>
      <c r="C49" s="26">
        <f t="shared" si="18"/>
        <v>1.3413897280966768E-2</v>
      </c>
      <c r="D49" s="38">
        <f t="shared" si="19"/>
        <v>52.019614008401071</v>
      </c>
    </row>
    <row r="50" spans="1:4" x14ac:dyDescent="0.2">
      <c r="A50" s="8">
        <v>43958</v>
      </c>
      <c r="B50" s="56">
        <v>8532</v>
      </c>
      <c r="C50" s="26">
        <f t="shared" si="18"/>
        <v>1.7409968995945622E-2</v>
      </c>
      <c r="D50" s="38">
        <f t="shared" si="19"/>
        <v>40.158811241103884</v>
      </c>
    </row>
    <row r="51" spans="1:4" x14ac:dyDescent="0.2">
      <c r="A51" s="8">
        <v>43959</v>
      </c>
      <c r="B51" s="56">
        <v>8594</v>
      </c>
      <c r="C51" s="26">
        <f t="shared" si="18"/>
        <v>7.266760431317393E-3</v>
      </c>
      <c r="D51" s="38">
        <f t="shared" si="19"/>
        <v>95.732151243481965</v>
      </c>
    </row>
    <row r="52" spans="1:4" x14ac:dyDescent="0.2">
      <c r="A52" s="8">
        <v>43960</v>
      </c>
      <c r="B52" s="56">
        <v>8715</v>
      </c>
      <c r="C52" s="26">
        <f t="shared" si="18"/>
        <v>1.407959041191529E-2</v>
      </c>
      <c r="D52" s="38">
        <f t="shared" si="19"/>
        <v>49.576401282989799</v>
      </c>
    </row>
    <row r="53" spans="1:4" x14ac:dyDescent="0.2">
      <c r="A53" s="8">
        <v>43961</v>
      </c>
      <c r="B53" s="56">
        <v>8823</v>
      </c>
      <c r="C53" s="26">
        <f t="shared" si="18"/>
        <v>1.2392426850258176E-2</v>
      </c>
      <c r="D53" s="38">
        <f t="shared" si="19"/>
        <v>56.278988829986361</v>
      </c>
    </row>
    <row r="54" spans="1:4" x14ac:dyDescent="0.2">
      <c r="A54" s="8">
        <v>43962</v>
      </c>
      <c r="B54" s="56">
        <v>8873</v>
      </c>
      <c r="C54" s="26">
        <f t="shared" si="18"/>
        <v>5.6670066870678909E-3</v>
      </c>
      <c r="D54" s="38">
        <f t="shared" si="19"/>
        <v>122.65899865694688</v>
      </c>
    </row>
    <row r="55" spans="1:4" x14ac:dyDescent="0.2">
      <c r="A55" s="8">
        <v>43963</v>
      </c>
      <c r="B55" s="56">
        <v>9015</v>
      </c>
      <c r="C55" s="26">
        <f t="shared" si="18"/>
        <v>1.6003606446523159E-2</v>
      </c>
      <c r="D55" s="38">
        <f t="shared" si="19"/>
        <v>43.657592657146672</v>
      </c>
    </row>
    <row r="56" spans="1:4" x14ac:dyDescent="0.2">
      <c r="A56" s="8">
        <v>43964</v>
      </c>
      <c r="B56" s="56">
        <v>9071</v>
      </c>
      <c r="C56" s="26">
        <f t="shared" ref="C56" si="20">(B56-B55)/B55</f>
        <v>6.2118691070438157E-3</v>
      </c>
      <c r="D56" s="38">
        <f t="shared" ref="D56" si="21">(LN(2)/LN(B56/B55))</f>
        <v>111.93053433065666</v>
      </c>
    </row>
    <row r="57" spans="1:4" x14ac:dyDescent="0.2">
      <c r="A57" s="8">
        <v>43965</v>
      </c>
      <c r="B57" s="56">
        <v>9151</v>
      </c>
      <c r="C57" s="26">
        <f t="shared" ref="C57" si="22">(B57-B56)/B56</f>
        <v>8.8193142983133063E-3</v>
      </c>
      <c r="D57" s="38">
        <f t="shared" ref="D57" si="23">(LN(2)/LN(B57/B56))</f>
        <v>78.94029233636499</v>
      </c>
    </row>
    <row r="58" spans="1:4" x14ac:dyDescent="0.2">
      <c r="A58" s="8">
        <v>43966</v>
      </c>
      <c r="B58" s="56">
        <v>9277</v>
      </c>
      <c r="C58" s="26">
        <f t="shared" ref="C58:C60" si="24">(B58-B57)/B57</f>
        <v>1.3768986995956725E-2</v>
      </c>
      <c r="D58" s="38">
        <f t="shared" ref="D58:D60" si="25">(LN(2)/LN(B58/B57))</f>
        <v>50.686972970738736</v>
      </c>
    </row>
    <row r="59" spans="1:4" x14ac:dyDescent="0.2">
      <c r="A59" s="8">
        <v>43967</v>
      </c>
      <c r="B59" s="56">
        <v>9444</v>
      </c>
      <c r="C59" s="26">
        <f t="shared" si="24"/>
        <v>1.8001509108548024E-2</v>
      </c>
      <c r="D59" s="38">
        <f t="shared" si="25"/>
        <v>38.850491503432927</v>
      </c>
    </row>
    <row r="60" spans="1:4" x14ac:dyDescent="0.2">
      <c r="A60" s="8">
        <v>43968</v>
      </c>
      <c r="B60" s="56">
        <v>9589</v>
      </c>
      <c r="C60" s="26">
        <f t="shared" si="24"/>
        <v>1.5353663701821263E-2</v>
      </c>
      <c r="D60" s="38">
        <f t="shared" si="25"/>
        <v>45.491086389368192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 x14ac:dyDescent="0.2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 x14ac:dyDescent="0.2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 x14ac:dyDescent="0.2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 x14ac:dyDescent="0.2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2020-05-18T12:30:13Z</dcterms:modified>
</cp:coreProperties>
</file>