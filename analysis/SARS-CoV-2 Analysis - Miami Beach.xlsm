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CoV2/analysis/"/>
    </mc:Choice>
  </mc:AlternateContent>
  <xr:revisionPtr revIDLastSave="0" documentId="13_ncr:1_{5D04926B-B171-4D46-A249-D2E8E53616D2}" xr6:coauthVersionLast="45" xr6:coauthVersionMax="45" xr10:uidLastSave="{00000000-0000-0000-0000-000000000000}"/>
  <bookViews>
    <workbookView xWindow="0" yWindow="0" windowWidth="28800" windowHeight="18000" activeTab="1"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externalReferences>
    <externalReference r:id="rId22"/>
  </externalReferences>
  <definedNames>
    <definedName name="_xlchart.v1.0" hidden="1">'Infection Projection'!$K$3:$K$396</definedName>
    <definedName name="_xlchart.v1.1" hidden="1">'Infection Projection'!$L$2</definedName>
    <definedName name="_xlchart.v1.2" hidden="1">'Infection Projection'!$L$3:$L$396</definedName>
    <definedName name="_xlchart.v1.3" hidden="1">'Infection Projection'!$M$2</definedName>
    <definedName name="_xlchart.v1.4" hidden="1">'Infection Projection'!$M$3:$M$396</definedName>
    <definedName name="_xlchart.v1.5" hidden="1">compute!$A$5:$A$10013</definedName>
    <definedName name="_xlchart.v1.6" hidden="1">compute!$O$4</definedName>
    <definedName name="_xlchart.v1.7" hidden="1">compute!$O$5:$O$10013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1" l="1"/>
  <c r="D31" i="1"/>
  <c r="E31" i="1"/>
  <c r="F31" i="1"/>
  <c r="G31" i="1"/>
  <c r="H31" i="1"/>
  <c r="I31" i="1"/>
  <c r="J31" i="1"/>
  <c r="C31" i="10"/>
  <c r="D31" i="10"/>
  <c r="C5" i="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29" i="1" l="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38"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2" i="1" s="1"/>
  <c r="U9" i="1"/>
  <c r="C6" i="6" s="1"/>
  <c r="X6" i="1"/>
  <c r="T9" i="1"/>
  <c r="T6" i="1"/>
  <c r="K31" i="1" l="1"/>
  <c r="P31" i="1"/>
  <c r="L31" i="1"/>
  <c r="M31" i="1"/>
  <c r="N31" i="1" s="1"/>
  <c r="Q31" i="1"/>
  <c r="K29" i="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6" i="1"/>
  <c r="D5" i="1"/>
  <c r="D6" i="1"/>
  <c r="D7" i="1"/>
  <c r="D8" i="1"/>
  <c r="D9" i="1"/>
  <c r="D10" i="1"/>
  <c r="D11" i="1"/>
  <c r="D12" i="1"/>
  <c r="D13" i="1"/>
  <c r="D14" i="1"/>
  <c r="D15" i="1"/>
  <c r="E5" i="1"/>
  <c r="E6" i="1"/>
  <c r="E7" i="1"/>
  <c r="E8" i="1"/>
  <c r="E9" i="1"/>
  <c r="E10" i="1"/>
  <c r="E11" i="1"/>
  <c r="E12" i="1"/>
  <c r="E13" i="1"/>
  <c r="E14" i="1"/>
  <c r="E15" i="1"/>
  <c r="O31" i="1" l="1"/>
  <c r="R31" i="1"/>
  <c r="S31" i="1"/>
  <c r="N30" i="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4" i="1" s="1"/>
  <c r="C8" i="6" s="1"/>
  <c r="U34" i="1"/>
  <c r="V46"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48"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40" i="1" l="1"/>
  <c r="U18" i="1"/>
  <c r="V42"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<sst xmlns="http://schemas.openxmlformats.org/spreadsheetml/2006/main" count="163" uniqueCount="63">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</sst>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F-CBB1-2147-99CA-ED8FAC854646}"/>
                </c:ext>
              </c:extLst>
            </c:dLbl>
            <c:dLbl>
              <c:idx val="1"/>
              <c:delete val="1"/>
              <c:extLst>
                <c:ext xmlns:c15="http://schemas.microsoft.com/office/drawing/2012/chart" uri="{CE6537A1-D6FC-4f65-9D91-7224C49458BB}"/>
                <c:ext xmlns:c16="http://schemas.microsoft.com/office/drawing/2014/chart" uri="{C3380CC4-5D6E-409C-BE32-E72D297353CC}">
                  <c16:uniqueId val="{0000000E-CBB1-2147-99CA-ED8FAC854646}"/>
                </c:ext>
              </c:extLst>
            </c:dLbl>
            <c:dLbl>
              <c:idx val="2"/>
              <c:delete val="1"/>
              <c:extLst>
                <c:ext xmlns:c15="http://schemas.microsoft.com/office/drawing/2012/chart" uri="{CE6537A1-D6FC-4f65-9D91-7224C49458BB}"/>
                <c:ext xmlns:c16="http://schemas.microsoft.com/office/drawing/2014/chart" uri="{C3380CC4-5D6E-409C-BE32-E72D297353CC}">
                  <c16:uniqueId val="{0000000D-CBB1-2147-99CA-ED8FAC854646}"/>
                </c:ext>
              </c:extLst>
            </c:dLbl>
            <c:dLbl>
              <c:idx val="3"/>
              <c:delete val="1"/>
              <c:extLst>
                <c:ext xmlns:c15="http://schemas.microsoft.com/office/drawing/2012/chart" uri="{CE6537A1-D6FC-4f65-9D91-7224C49458BB}"/>
                <c:ext xmlns:c16="http://schemas.microsoft.com/office/drawing/2014/chart" uri="{C3380CC4-5D6E-409C-BE32-E72D297353CC}">
                  <c16:uniqueId val="{0000000C-CBB1-2147-99CA-ED8FAC854646}"/>
                </c:ext>
              </c:extLst>
            </c:dLbl>
            <c:dLbl>
              <c:idx val="4"/>
              <c:delete val="1"/>
              <c:extLst>
                <c:ext xmlns:c15="http://schemas.microsoft.com/office/drawing/2012/chart" uri="{CE6537A1-D6FC-4f65-9D91-7224C49458BB}"/>
                <c:ext xmlns:c16="http://schemas.microsoft.com/office/drawing/2014/chart" uri="{C3380CC4-5D6E-409C-BE32-E72D297353CC}">
                  <c16:uniqueId val="{0000000B-CBB1-2147-99CA-ED8FAC854646}"/>
                </c:ext>
              </c:extLst>
            </c:dLbl>
            <c:dLbl>
              <c:idx val="5"/>
              <c:delete val="1"/>
              <c:extLst>
                <c:ext xmlns:c15="http://schemas.microsoft.com/office/drawing/2012/chart" uri="{CE6537A1-D6FC-4f65-9D91-7224C49458BB}"/>
                <c:ext xmlns:c16="http://schemas.microsoft.com/office/drawing/2014/chart" uri="{C3380CC4-5D6E-409C-BE32-E72D297353CC}">
                  <c16:uniqueId val="{0000000A-CBB1-2147-99CA-ED8FAC854646}"/>
                </c:ext>
              </c:extLst>
            </c:dLbl>
            <c:dLbl>
              <c:idx val="6"/>
              <c:delete val="1"/>
              <c:extLst>
                <c:ext xmlns:c15="http://schemas.microsoft.com/office/drawing/2012/chart" uri="{CE6537A1-D6FC-4f65-9D91-7224C49458BB}"/>
                <c:ext xmlns:c16="http://schemas.microsoft.com/office/drawing/2014/chart" uri="{C3380CC4-5D6E-409C-BE32-E72D297353CC}">
                  <c16:uniqueId val="{00000009-CBB1-2147-99CA-ED8FAC854646}"/>
                </c:ext>
              </c:extLst>
            </c:dLbl>
            <c:dLbl>
              <c:idx val="7"/>
              <c:delete val="1"/>
              <c:extLst>
                <c:ext xmlns:c15="http://schemas.microsoft.com/office/drawing/2012/chart" uri="{CE6537A1-D6FC-4f65-9D91-7224C49458BB}"/>
                <c:ext xmlns:c16="http://schemas.microsoft.com/office/drawing/2014/chart" uri="{C3380CC4-5D6E-409C-BE32-E72D297353CC}">
                  <c16:uniqueId val="{00000008-CBB1-2147-99CA-ED8FAC854646}"/>
                </c:ext>
              </c:extLst>
            </c:dLbl>
            <c:dLbl>
              <c:idx val="8"/>
              <c:delete val="1"/>
              <c:extLst>
                <c:ext xmlns:c15="http://schemas.microsoft.com/office/drawing/2012/chart" uri="{CE6537A1-D6FC-4f65-9D91-7224C49458BB}"/>
                <c:ext xmlns:c16="http://schemas.microsoft.com/office/drawing/2014/chart" uri="{C3380CC4-5D6E-409C-BE32-E72D297353CC}">
                  <c16:uniqueId val="{00000007-CBB1-2147-99CA-ED8FAC854646}"/>
                </c:ext>
              </c:extLst>
            </c:dLbl>
            <c:dLbl>
              <c:idx val="9"/>
              <c:delete val="1"/>
              <c:extLst>
                <c:ext xmlns:c15="http://schemas.microsoft.com/office/drawing/2012/chart" uri="{CE6537A1-D6FC-4f65-9D91-7224C49458BB}"/>
                <c:ext xmlns:c16="http://schemas.microsoft.com/office/drawing/2014/chart" uri="{C3380CC4-5D6E-409C-BE32-E72D297353CC}">
                  <c16:uniqueId val="{00000006-CBB1-2147-99CA-ED8FAC854646}"/>
                </c:ext>
              </c:extLst>
            </c:dLbl>
            <c:dLbl>
              <c:idx val="10"/>
              <c:delete val="1"/>
              <c:extLst>
                <c:ext xmlns:c15="http://schemas.microsoft.com/office/drawing/2012/chart" uri="{CE6537A1-D6FC-4f65-9D91-7224C49458BB}"/>
                <c:ext xmlns:c16="http://schemas.microsoft.com/office/drawing/2014/chart" uri="{C3380CC4-5D6E-409C-BE32-E72D297353CC}">
                  <c16:uniqueId val="{00000005-CBB1-2147-99CA-ED8FAC854646}"/>
                </c:ext>
              </c:extLst>
            </c:dLbl>
            <c:dLbl>
              <c:idx val="11"/>
              <c:delete val="1"/>
              <c:extLst>
                <c:ext xmlns:c15="http://schemas.microsoft.com/office/drawing/2012/chart" uri="{CE6537A1-D6FC-4f65-9D91-7224C49458BB}"/>
                <c:ext xmlns:c16="http://schemas.microsoft.com/office/drawing/2014/chart" uri="{C3380CC4-5D6E-409C-BE32-E72D297353CC}">
                  <c16:uniqueId val="{00000004-CBB1-2147-99CA-ED8FAC854646}"/>
                </c:ext>
              </c:extLst>
            </c:dLbl>
            <c:dLbl>
              <c:idx val="12"/>
              <c:delete val="1"/>
              <c:extLst>
                <c:ext xmlns:c15="http://schemas.microsoft.com/office/drawing/2012/chart" uri="{CE6537A1-D6FC-4f65-9D91-7224C49458BB}"/>
                <c:ext xmlns:c16="http://schemas.microsoft.com/office/drawing/2014/chart" uri="{C3380CC4-5D6E-409C-BE32-E72D297353CC}">
                  <c16:uniqueId val="{00000003-CBB1-2147-99CA-ED8FAC854646}"/>
                </c:ext>
              </c:extLst>
            </c:dLbl>
            <c:dLbl>
              <c:idx val="13"/>
              <c:delete val="1"/>
              <c:extLst>
                <c:ext xmlns:c15="http://schemas.microsoft.com/office/drawing/2012/chart" uri="{CE6537A1-D6FC-4f65-9D91-7224C49458BB}"/>
                <c:ext xmlns:c16="http://schemas.microsoft.com/office/drawing/2014/chart" uri="{C3380CC4-5D6E-409C-BE32-E72D297353CC}">
                  <c16:uniqueId val="{00000002-CBB1-2147-99CA-ED8FAC854646}"/>
                </c:ext>
              </c:extLst>
            </c:dLbl>
            <c:dLbl>
              <c:idx val="14"/>
              <c:delete val="1"/>
              <c:extLst>
                <c:ext xmlns:c15="http://schemas.microsoft.com/office/drawing/2012/chart" uri="{CE6537A1-D6FC-4f65-9D91-7224C49458BB}"/>
                <c:ext xmlns:c16="http://schemas.microsoft.com/office/drawing/2014/chart" uri="{C3380CC4-5D6E-409C-BE32-E72D297353CC}">
                  <c16:uniqueId val="{00000000-CBB1-2147-99CA-ED8FAC854646}"/>
                </c:ext>
              </c:extLst>
            </c:dLbl>
            <c:dLbl>
              <c:idx val="15"/>
              <c:delete val="1"/>
              <c:extLst>
                <c:ext xmlns:c15="http://schemas.microsoft.com/office/drawing/2012/chart" uri="{CE6537A1-D6FC-4f65-9D91-7224C49458BB}"/>
                <c:ext xmlns:c16="http://schemas.microsoft.com/office/drawing/2014/chart" uri="{C3380CC4-5D6E-409C-BE32-E72D297353CC}">
                  <c16:uniqueId val="{00000001-CBB1-2147-99CA-ED8FAC854646}"/>
                </c:ext>
              </c:extLst>
            </c:dLbl>
            <c:dLbl>
              <c:idx val="16"/>
              <c:delete val="1"/>
              <c:extLst>
                <c:ext xmlns:c15="http://schemas.microsoft.com/office/drawing/2012/chart" uri="{CE6537A1-D6FC-4f65-9D91-7224C49458BB}"/>
                <c:ext xmlns:c16="http://schemas.microsoft.com/office/drawing/2014/chart" uri="{C3380CC4-5D6E-409C-BE32-E72D297353CC}">
                  <c16:uniqueId val="{00000010-CBB1-2147-99CA-ED8FAC854646}"/>
                </c:ext>
              </c:extLst>
            </c:dLbl>
            <c:dLbl>
              <c:idx val="17"/>
              <c:delete val="1"/>
              <c:extLst>
                <c:ext xmlns:c15="http://schemas.microsoft.com/office/drawing/2012/chart" uri="{CE6537A1-D6FC-4f65-9D91-7224C49458BB}"/>
                <c:ext xmlns:c16="http://schemas.microsoft.com/office/drawing/2014/chart" uri="{C3380CC4-5D6E-409C-BE32-E72D297353CC}">
                  <c16:uniqueId val="{00000000-BC65-4F45-8804-2792797754A3}"/>
                </c:ext>
              </c:extLst>
            </c:dLbl>
            <c:dLbl>
              <c:idx val="18"/>
              <c:delete val="1"/>
              <c:extLst>
                <c:ext xmlns:c15="http://schemas.microsoft.com/office/drawing/2012/chart" uri="{CE6537A1-D6FC-4f65-9D91-7224C49458BB}"/>
                <c:ext xmlns:c16="http://schemas.microsoft.com/office/drawing/2014/chart" uri="{C3380CC4-5D6E-409C-BE32-E72D297353CC}">
                  <c16:uniqueId val="{00000000-9DA6-BF47-9A65-569AA7470795}"/>
                </c:ext>
              </c:extLst>
            </c:dLbl>
            <c:dLbl>
              <c:idx val="19"/>
              <c:delete val="1"/>
              <c:extLst>
                <c:ext xmlns:c15="http://schemas.microsoft.com/office/drawing/2012/chart" uri="{CE6537A1-D6FC-4f65-9D91-7224C49458BB}"/>
                <c:ext xmlns:c16="http://schemas.microsoft.com/office/drawing/2014/chart" uri="{C3380CC4-5D6E-409C-BE32-E72D297353CC}">
                  <c16:uniqueId val="{00000001-B9F8-D441-BE88-F1074230DF7C}"/>
                </c:ext>
              </c:extLst>
            </c:dLbl>
            <c:dLbl>
              <c:idx val="20"/>
              <c:layout>
                <c:manualLayout>
                  <c:x val="-0.12874669691712265"/>
                  <c:y val="-1.6949152542372913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9F8-D441-BE88-F1074230DF7C}"/>
                </c:ext>
              </c:extLst>
            </c:dLbl>
            <c:dLbl>
              <c:idx val="21"/>
              <c:layout>
                <c:manualLayout>
                  <c:x val="-9.9817429600961016E-2"/>
                  <c:y val="-1.694728413185643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F8-D441-BE88-F1074230DF7C}"/>
                </c:ext>
              </c:extLst>
            </c:dLbl>
            <c:dLbl>
              <c:idx val="22"/>
              <c:layout>
                <c:manualLayout>
                  <c:x val="-7.1186440677966104E-2"/>
                  <c:y val="-3.0508474576271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9F8-D441-BE88-F1074230DF7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38100" cap="rnd">
                <a:solidFill>
                  <a:schemeClr val="accent4">
                    <a:alpha val="50000"/>
                  </a:schemeClr>
                </a:solidFill>
                <a:prstDash val="sysDot"/>
              </a:ln>
              <a:effectLst/>
            </c:spPr>
            <c:trendlineType val="linear"/>
            <c:dispRSqr val="0"/>
            <c:dispEq val="0"/>
          </c:trendline>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compute!$B$5:$B$10013</c:f>
              <c:numCache>
                <c:formatCode>General</c:formatCode>
                <c:ptCount val="10009"/>
                <c:pt idx="0">
                  <c:v>33</c:v>
                </c:pt>
                <c:pt idx="1">
                  <c:v>46</c:v>
                </c:pt>
                <c:pt idx="2">
                  <c:v>63</c:v>
                </c:pt>
                <c:pt idx="3">
                  <c:v>76</c:v>
                </c:pt>
                <c:pt idx="4">
                  <c:v>90</c:v>
                </c:pt>
                <c:pt idx="5">
                  <c:v>118</c:v>
                </c:pt>
                <c:pt idx="6">
                  <c:v>160</c:v>
                </c:pt>
                <c:pt idx="7">
                  <c:v>197</c:v>
                </c:pt>
                <c:pt idx="8">
                  <c:v>238</c:v>
                </c:pt>
                <c:pt idx="9">
                  <c:v>266</c:v>
                </c:pt>
                <c:pt idx="10">
                  <c:v>294</c:v>
                </c:pt>
                <c:pt idx="11">
                  <c:v>310</c:v>
                </c:pt>
                <c:pt idx="12">
                  <c:v>347</c:v>
                </c:pt>
                <c:pt idx="13">
                  <c:v>365</c:v>
                </c:pt>
                <c:pt idx="14">
                  <c:v>396</c:v>
                </c:pt>
                <c:pt idx="15">
                  <c:v>428</c:v>
                </c:pt>
                <c:pt idx="16">
                  <c:v>454</c:v>
                </c:pt>
                <c:pt idx="17">
                  <c:v>468</c:v>
                </c:pt>
                <c:pt idx="18">
                  <c:v>493</c:v>
                </c:pt>
                <c:pt idx="19">
                  <c:v>520</c:v>
                </c:pt>
                <c:pt idx="20">
                  <c:v>535</c:v>
                </c:pt>
                <c:pt idx="21">
                  <c:v>561</c:v>
                </c:pt>
                <c:pt idx="22">
                  <c:v>568</c:v>
                </c:pt>
                <c:pt idx="23">
                  <c:v>583</c:v>
                </c:pt>
                <c:pt idx="24">
                  <c:v>587</c:v>
                </c:pt>
                <c:pt idx="25">
                  <c:v>607</c:v>
                </c:pt>
                <c:pt idx="26">
                  <c:v>615</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2"/>
            <c:dispRSqr val="0"/>
            <c:dispEq val="0"/>
          </c:trendline>
          <c:cat>
            <c:numRef>
              <c:f>compute!$A$6:$A$10013</c:f>
              <c:numCache>
                <c:formatCode>d\-mmm</c:formatCode>
                <c:ptCount val="10008"/>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numCache>
            </c:numRef>
          </c:cat>
          <c:val>
            <c:numRef>
              <c:f>compute!$D$6:$D$10013</c:f>
              <c:numCache>
                <c:formatCode>0.0%</c:formatCode>
                <c:ptCount val="10008"/>
                <c:pt idx="0">
                  <c:v>0.39393939393939392</c:v>
                </c:pt>
                <c:pt idx="1">
                  <c:v>0.36956521739130432</c:v>
                </c:pt>
                <c:pt idx="2">
                  <c:v>0.20634920634920634</c:v>
                </c:pt>
                <c:pt idx="3">
                  <c:v>0.18421052631578946</c:v>
                </c:pt>
                <c:pt idx="4">
                  <c:v>0.31111111111111112</c:v>
                </c:pt>
                <c:pt idx="5">
                  <c:v>0.3559322033898305</c:v>
                </c:pt>
                <c:pt idx="6">
                  <c:v>0.23125000000000001</c:v>
                </c:pt>
                <c:pt idx="7">
                  <c:v>0.20812182741116753</c:v>
                </c:pt>
                <c:pt idx="8">
                  <c:v>0.11764705882352941</c:v>
                </c:pt>
                <c:pt idx="9">
                  <c:v>0.10526315789473684</c:v>
                </c:pt>
                <c:pt idx="10">
                  <c:v>5.4421768707482991E-2</c:v>
                </c:pt>
                <c:pt idx="11">
                  <c:v>0.11935483870967742</c:v>
                </c:pt>
                <c:pt idx="12">
                  <c:v>5.1873198847262249E-2</c:v>
                </c:pt>
                <c:pt idx="13">
                  <c:v>8.4931506849315067E-2</c:v>
                </c:pt>
                <c:pt idx="14">
                  <c:v>8.0808080808080815E-2</c:v>
                </c:pt>
                <c:pt idx="15">
                  <c:v>6.0747663551401869E-2</c:v>
                </c:pt>
                <c:pt idx="16">
                  <c:v>3.0837004405286344E-2</c:v>
                </c:pt>
                <c:pt idx="17">
                  <c:v>5.3418803418803416E-2</c:v>
                </c:pt>
                <c:pt idx="18">
                  <c:v>5.4766734279918863E-2</c:v>
                </c:pt>
                <c:pt idx="19">
                  <c:v>2.8846153846153848E-2</c:v>
                </c:pt>
                <c:pt idx="20">
                  <c:v>4.8598130841121495E-2</c:v>
                </c:pt>
                <c:pt idx="21">
                  <c:v>1.2477718360071301E-2</c:v>
                </c:pt>
                <c:pt idx="22">
                  <c:v>2.6408450704225352E-2</c:v>
                </c:pt>
                <c:pt idx="23">
                  <c:v>6.8610634648370496E-3</c:v>
                </c:pt>
                <c:pt idx="24">
                  <c:v>3.4071550255536626E-2</c:v>
                </c:pt>
                <c:pt idx="25">
                  <c:v>1.3179571663920923E-2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39"/>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5"/>
        <c:majorTimeUnit val="days"/>
      </c:dateAx>
      <c:valAx>
        <c:axId val="1207600816"/>
        <c:scaling>
          <c:orientation val="minMax"/>
          <c:max val="0.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compute!$A$6:$A$10013</c:f>
              <c:numCache>
                <c:formatCode>d\-mmm</c:formatCode>
                <c:ptCount val="10008"/>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numCache>
            </c:numRef>
          </c:cat>
          <c:val>
            <c:numRef>
              <c:f>compute!$E$6:$E$10013</c:f>
              <c:numCache>
                <c:formatCode>0.0</c:formatCode>
                <c:ptCount val="10008"/>
                <c:pt idx="0">
                  <c:v>2.0869514258092652</c:v>
                </c:pt>
                <c:pt idx="1">
                  <c:v>2.2040123419309841</c:v>
                </c:pt>
                <c:pt idx="2">
                  <c:v>3.6948416950918879</c:v>
                </c:pt>
                <c:pt idx="3">
                  <c:v>4.0996109885980694</c:v>
                </c:pt>
                <c:pt idx="4">
                  <c:v>2.55891942011541</c:v>
                </c:pt>
                <c:pt idx="5">
                  <c:v>2.276426229815518</c:v>
                </c:pt>
                <c:pt idx="6">
                  <c:v>3.3319591826205279</c:v>
                </c:pt>
                <c:pt idx="7">
                  <c:v>3.6661468285944667</c:v>
                </c:pt>
                <c:pt idx="8">
                  <c:v>6.2319013047040608</c:v>
                </c:pt>
                <c:pt idx="9">
                  <c:v>6.9256917232261834</c:v>
                </c:pt>
                <c:pt idx="10">
                  <c:v>13.080092207751859</c:v>
                </c:pt>
                <c:pt idx="11">
                  <c:v>6.1475114816980732</c:v>
                </c:pt>
                <c:pt idx="12">
                  <c:v>13.705989842517504</c:v>
                </c:pt>
                <c:pt idx="13">
                  <c:v>8.5031145747675918</c:v>
                </c:pt>
                <c:pt idx="14">
                  <c:v>8.9197817544539646</c:v>
                </c:pt>
                <c:pt idx="15">
                  <c:v>11.753436288055184</c:v>
                </c:pt>
                <c:pt idx="16">
                  <c:v>22.822592169144759</c:v>
                </c:pt>
                <c:pt idx="17">
                  <c:v>13.319282947041303</c:v>
                </c:pt>
                <c:pt idx="18">
                  <c:v>12.999847947836686</c:v>
                </c:pt>
                <c:pt idx="19">
                  <c:v>24.37403323227419</c:v>
                </c:pt>
                <c:pt idx="20">
                  <c:v>14.606668848830834</c:v>
                </c:pt>
                <c:pt idx="21">
                  <c:v>55.896652780975636</c:v>
                </c:pt>
                <c:pt idx="22">
                  <c:v>26.592241226753817</c:v>
                </c:pt>
                <c:pt idx="23">
                  <c:v>101.37238020000403</c:v>
                </c:pt>
                <c:pt idx="24">
                  <c:v>20.688508110653103</c:v>
                </c:pt>
                <c:pt idx="25">
                  <c:v>52.938359608552602</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compute!$G$5:$G$10013</c:f>
              <c:numCache>
                <c:formatCode>#,##0</c:formatCode>
                <c:ptCount val="10009"/>
                <c:pt idx="0">
                  <c:v>126.92307692307692</c:v>
                </c:pt>
                <c:pt idx="1">
                  <c:v>176.92307692307693</c:v>
                </c:pt>
                <c:pt idx="2">
                  <c:v>242.30769230769232</c:v>
                </c:pt>
                <c:pt idx="3">
                  <c:v>292.30769230769232</c:v>
                </c:pt>
                <c:pt idx="4">
                  <c:v>346.15384615384613</c:v>
                </c:pt>
                <c:pt idx="5">
                  <c:v>453.84615384615387</c:v>
                </c:pt>
                <c:pt idx="6">
                  <c:v>615.38461538461536</c:v>
                </c:pt>
                <c:pt idx="7">
                  <c:v>757.69230769230774</c:v>
                </c:pt>
                <c:pt idx="8">
                  <c:v>915.38461538461536</c:v>
                </c:pt>
                <c:pt idx="9">
                  <c:v>1023.0769230769231</c:v>
                </c:pt>
                <c:pt idx="10">
                  <c:v>1130.7692307692307</c:v>
                </c:pt>
                <c:pt idx="11">
                  <c:v>1192.3076923076924</c:v>
                </c:pt>
                <c:pt idx="12">
                  <c:v>1334.6153846153845</c:v>
                </c:pt>
                <c:pt idx="13">
                  <c:v>1403.8461538461538</c:v>
                </c:pt>
                <c:pt idx="14">
                  <c:v>1523.0769230769231</c:v>
                </c:pt>
                <c:pt idx="15">
                  <c:v>1646.1538461538462</c:v>
                </c:pt>
                <c:pt idx="16">
                  <c:v>1746.1538461538462</c:v>
                </c:pt>
                <c:pt idx="17">
                  <c:v>1800</c:v>
                </c:pt>
                <c:pt idx="18">
                  <c:v>1896.1538461538462</c:v>
                </c:pt>
                <c:pt idx="19">
                  <c:v>2000</c:v>
                </c:pt>
                <c:pt idx="20">
                  <c:v>2057.6923076923076</c:v>
                </c:pt>
                <c:pt idx="21">
                  <c:v>2157.6923076923076</c:v>
                </c:pt>
                <c:pt idx="22">
                  <c:v>2184.6153846153848</c:v>
                </c:pt>
                <c:pt idx="23">
                  <c:v>2242.3076923076924</c:v>
                </c:pt>
                <c:pt idx="24">
                  <c:v>2257.6923076923076</c:v>
                </c:pt>
                <c:pt idx="25">
                  <c:v>2334.6153846153848</c:v>
                </c:pt>
                <c:pt idx="26">
                  <c:v>2365.3846153846152</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compute!$I$5:$I$10013</c:f>
              <c:numCache>
                <c:formatCode>#,##0</c:formatCode>
                <c:ptCount val="10009"/>
                <c:pt idx="0">
                  <c:v>173.07692307692309</c:v>
                </c:pt>
                <c:pt idx="1">
                  <c:v>241.25874125874125</c:v>
                </c:pt>
                <c:pt idx="2">
                  <c:v>330.41958041958043</c:v>
                </c:pt>
                <c:pt idx="3">
                  <c:v>398.60139860139856</c:v>
                </c:pt>
                <c:pt idx="4">
                  <c:v>472.027972027972</c:v>
                </c:pt>
                <c:pt idx="5">
                  <c:v>618.88111888111894</c:v>
                </c:pt>
                <c:pt idx="6">
                  <c:v>839.16083916083915</c:v>
                </c:pt>
                <c:pt idx="7">
                  <c:v>1033.2167832167834</c:v>
                </c:pt>
                <c:pt idx="8">
                  <c:v>1248.2517482517483</c:v>
                </c:pt>
                <c:pt idx="9">
                  <c:v>1395.1048951048949</c:v>
                </c:pt>
                <c:pt idx="10">
                  <c:v>1541.9580419580418</c:v>
                </c:pt>
                <c:pt idx="11">
                  <c:v>1625.8741258741256</c:v>
                </c:pt>
                <c:pt idx="12">
                  <c:v>1819.93006993007</c:v>
                </c:pt>
                <c:pt idx="13">
                  <c:v>1914.3356643356642</c:v>
                </c:pt>
                <c:pt idx="14">
                  <c:v>2076.9230769230771</c:v>
                </c:pt>
                <c:pt idx="15">
                  <c:v>2244.7552447552448</c:v>
                </c:pt>
                <c:pt idx="16">
                  <c:v>2381.1188811188808</c:v>
                </c:pt>
                <c:pt idx="17">
                  <c:v>2454.545454545455</c:v>
                </c:pt>
                <c:pt idx="18">
                  <c:v>2585.6643356643358</c:v>
                </c:pt>
                <c:pt idx="19">
                  <c:v>2727.272727272727</c:v>
                </c:pt>
                <c:pt idx="20">
                  <c:v>2805.9440559440563</c:v>
                </c:pt>
                <c:pt idx="21">
                  <c:v>2942.3076923076924</c:v>
                </c:pt>
                <c:pt idx="22">
                  <c:v>2979.0209790209792</c:v>
                </c:pt>
                <c:pt idx="23">
                  <c:v>3057.6923076923076</c:v>
                </c:pt>
                <c:pt idx="24">
                  <c:v>3078.6713286713284</c:v>
                </c:pt>
                <c:pt idx="25">
                  <c:v>3183.5664335664333</c:v>
                </c:pt>
                <c:pt idx="26">
                  <c:v>3225.5244755244757</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compute!$F$5:$F$10013</c:f>
              <c:numCache>
                <c:formatCode>#,##0</c:formatCode>
                <c:ptCount val="10009"/>
                <c:pt idx="0">
                  <c:v>275</c:v>
                </c:pt>
                <c:pt idx="1">
                  <c:v>383.33333333333331</c:v>
                </c:pt>
                <c:pt idx="2">
                  <c:v>525</c:v>
                </c:pt>
                <c:pt idx="3">
                  <c:v>633.33333333333337</c:v>
                </c:pt>
                <c:pt idx="4">
                  <c:v>750</c:v>
                </c:pt>
                <c:pt idx="5">
                  <c:v>983.33333333333337</c:v>
                </c:pt>
                <c:pt idx="6">
                  <c:v>1333.3333333333333</c:v>
                </c:pt>
                <c:pt idx="7">
                  <c:v>1641.6666666666667</c:v>
                </c:pt>
                <c:pt idx="8">
                  <c:v>1983.3333333333333</c:v>
                </c:pt>
                <c:pt idx="9">
                  <c:v>2216.6666666666665</c:v>
                </c:pt>
                <c:pt idx="10">
                  <c:v>2450</c:v>
                </c:pt>
                <c:pt idx="11">
                  <c:v>2583.3333333333335</c:v>
                </c:pt>
                <c:pt idx="12">
                  <c:v>2891.6666666666665</c:v>
                </c:pt>
                <c:pt idx="13">
                  <c:v>3041.6666666666665</c:v>
                </c:pt>
                <c:pt idx="14">
                  <c:v>3300</c:v>
                </c:pt>
                <c:pt idx="15">
                  <c:v>3566.6666666666665</c:v>
                </c:pt>
                <c:pt idx="16">
                  <c:v>3783.3333333333335</c:v>
                </c:pt>
                <c:pt idx="17">
                  <c:v>3900</c:v>
                </c:pt>
                <c:pt idx="18">
                  <c:v>4108.333333333333</c:v>
                </c:pt>
                <c:pt idx="19">
                  <c:v>4333.333333333333</c:v>
                </c:pt>
                <c:pt idx="20">
                  <c:v>4458.333333333333</c:v>
                </c:pt>
                <c:pt idx="21">
                  <c:v>4675</c:v>
                </c:pt>
                <c:pt idx="22">
                  <c:v>4733.333333333333</c:v>
                </c:pt>
                <c:pt idx="23">
                  <c:v>4858.333333333333</c:v>
                </c:pt>
                <c:pt idx="24">
                  <c:v>4891.666666666667</c:v>
                </c:pt>
                <c:pt idx="25">
                  <c:v>5058.333333333333</c:v>
                </c:pt>
                <c:pt idx="26">
                  <c:v>5125</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compute!$C$5:$C$32</c:f>
              <c:numCache>
                <c:formatCode>0.0%</c:formatCode>
                <c:ptCount val="28"/>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compute!$C$5:$C$32</c:f>
              <c:numCache>
                <c:formatCode>0.0%</c:formatCode>
                <c:ptCount val="28"/>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70665954891236E-2"/>
          <c:y val="0.14745762711864407"/>
          <c:w val="0.87122594421460031"/>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compute!$A$5:$A$31</c:f>
              <c:numCache>
                <c:formatCode>d\-mmm</c:formatCode>
                <c:ptCount val="27"/>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compute!$L$5:$L$31</c:f>
              <c:numCache>
                <c:formatCode>0.0%</c:formatCode>
                <c:ptCount val="27"/>
                <c:pt idx="0">
                  <c:v>1.3838404339723601E-3</c:v>
                </c:pt>
                <c:pt idx="1">
                  <c:v>1.9289896958402596E-3</c:v>
                </c:pt>
                <c:pt idx="2">
                  <c:v>2.6418771921290513E-3</c:v>
                </c:pt>
                <c:pt idx="3">
                  <c:v>3.1870264539969506E-3</c:v>
                </c:pt>
                <c:pt idx="4">
                  <c:v>3.7741102744700728E-3</c:v>
                </c:pt>
                <c:pt idx="5">
                  <c:v>4.9482779154163183E-3</c:v>
                </c:pt>
                <c:pt idx="6">
                  <c:v>6.7095293768356847E-3</c:v>
                </c:pt>
                <c:pt idx="7">
                  <c:v>8.2611080452289383E-3</c:v>
                </c:pt>
                <c:pt idx="8">
                  <c:v>9.9804249480430814E-3</c:v>
                </c:pt>
                <c:pt idx="9">
                  <c:v>1.1154592588989327E-2</c:v>
                </c:pt>
                <c:pt idx="10">
                  <c:v>1.2328760229935572E-2</c:v>
                </c:pt>
                <c:pt idx="11">
                  <c:v>1.299971316761914E-2</c:v>
                </c:pt>
                <c:pt idx="12">
                  <c:v>1.4551291836012392E-2</c:v>
                </c:pt>
                <c:pt idx="13">
                  <c:v>1.5306113890906407E-2</c:v>
                </c:pt>
                <c:pt idx="14">
                  <c:v>1.660608520766832E-2</c:v>
                </c:pt>
                <c:pt idx="15">
                  <c:v>1.7947991083035457E-2</c:v>
                </c:pt>
                <c:pt idx="16">
                  <c:v>1.9038289606771258E-2</c:v>
                </c:pt>
                <c:pt idx="17">
                  <c:v>1.962537342724438E-2</c:v>
                </c:pt>
                <c:pt idx="18">
                  <c:v>2.0673737392374957E-2</c:v>
                </c:pt>
                <c:pt idx="19">
                  <c:v>2.1805970474715976E-2</c:v>
                </c:pt>
                <c:pt idx="20">
                  <c:v>2.2434988853794323E-2</c:v>
                </c:pt>
                <c:pt idx="21">
                  <c:v>2.3525287377530121E-2</c:v>
                </c:pt>
                <c:pt idx="22">
                  <c:v>2.3818829287766685E-2</c:v>
                </c:pt>
                <c:pt idx="23">
                  <c:v>2.4447847666845029E-2</c:v>
                </c:pt>
                <c:pt idx="24">
                  <c:v>2.4615585901265918E-2</c:v>
                </c:pt>
                <c:pt idx="25">
                  <c:v>2.5454277073370384E-2</c:v>
                </c:pt>
                <c:pt idx="26">
                  <c:v>2.5789753542212163E-2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compute!$A$5:$A$31</c:f>
              <c:numCache>
                <c:formatCode>d\-mmm</c:formatCode>
                <c:ptCount val="27"/>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compute!$N$5:$N$31</c:f>
              <c:numCache>
                <c:formatCode>0.00%</c:formatCode>
                <c:ptCount val="27"/>
                <c:pt idx="0">
                  <c:v>1.8870551372350366E-3</c:v>
                </c:pt>
                <c:pt idx="1">
                  <c:v>2.630440494327627E-3</c:v>
                </c:pt>
                <c:pt idx="2">
                  <c:v>3.602559807448706E-3</c:v>
                </c:pt>
                <c:pt idx="3">
                  <c:v>4.3459451645412959E-3</c:v>
                </c:pt>
                <c:pt idx="4">
                  <c:v>5.1465140106410085E-3</c:v>
                </c:pt>
                <c:pt idx="5">
                  <c:v>6.7476517028404338E-3</c:v>
                </c:pt>
                <c:pt idx="6">
                  <c:v>9.1493582411395716E-3</c:v>
                </c:pt>
                <c:pt idx="7">
                  <c:v>1.1265147334403095E-2</c:v>
                </c:pt>
                <c:pt idx="8">
                  <c:v>1.3609670383695109E-2</c:v>
                </c:pt>
                <c:pt idx="9">
                  <c:v>1.5210808075894533E-2</c:v>
                </c:pt>
                <c:pt idx="10">
                  <c:v>1.6811945768093958E-2</c:v>
                </c:pt>
                <c:pt idx="11">
                  <c:v>1.7726881592207918E-2</c:v>
                </c:pt>
                <c:pt idx="12">
                  <c:v>1.9842670685471443E-2</c:v>
                </c:pt>
                <c:pt idx="13">
                  <c:v>2.0871973487599643E-2</c:v>
                </c:pt>
                <c:pt idx="14">
                  <c:v>2.2644661646820441E-2</c:v>
                </c:pt>
                <c:pt idx="15">
                  <c:v>2.4474533295048354E-2</c:v>
                </c:pt>
                <c:pt idx="16">
                  <c:v>2.5961304009233528E-2</c:v>
                </c:pt>
                <c:pt idx="17">
                  <c:v>2.6761872855333248E-2</c:v>
                </c:pt>
                <c:pt idx="18">
                  <c:v>2.8191460080511301E-2</c:v>
                </c:pt>
                <c:pt idx="19">
                  <c:v>2.9735414283703604E-2</c:v>
                </c:pt>
                <c:pt idx="20">
                  <c:v>3.0593166618810445E-2</c:v>
                </c:pt>
                <c:pt idx="21">
                  <c:v>3.207993733299562E-2</c:v>
                </c:pt>
                <c:pt idx="22">
                  <c:v>3.248022175604548E-2</c:v>
                </c:pt>
                <c:pt idx="23">
                  <c:v>3.3337974091152314E-2</c:v>
                </c:pt>
                <c:pt idx="24">
                  <c:v>3.3566708047180802E-2</c:v>
                </c:pt>
                <c:pt idx="25">
                  <c:v>3.4710377827323245E-2</c:v>
                </c:pt>
                <c:pt idx="26">
                  <c:v>3.5167845739380227E-2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compute!$A$5:$A$31</c:f>
              <c:numCache>
                <c:formatCode>d\-mmm</c:formatCode>
                <c:ptCount val="27"/>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compute!$K$5:$K$31</c:f>
              <c:numCache>
                <c:formatCode>0.0%</c:formatCode>
                <c:ptCount val="27"/>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5"/>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compute!$K$4</c:f>
              <c:strCache>
                <c:ptCount val="1"/>
                <c:pt idx="0">
                  <c:v>estimated infections as percentage</c:v>
                </c:pt>
              </c:strCache>
            </c:strRef>
          </c:tx>
          <c:spPr>
            <a:ln w="25400" cap="rnd">
              <a:noFill/>
              <a:round/>
            </a:ln>
            <a:effectLst/>
          </c:spPr>
          <c:marker>
            <c:symbol val="circle"/>
            <c:size val="5"/>
            <c:spPr>
              <a:solidFill>
                <a:schemeClr val="accent5"/>
              </a:solidFill>
              <a:ln w="38100">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AF72-1848-8D14-2279B6F7C74F}"/>
                </c:ext>
              </c:extLst>
            </c:dLbl>
            <c:dLbl>
              <c:idx val="1"/>
              <c:delete val="1"/>
              <c:extLst>
                <c:ext xmlns:c15="http://schemas.microsoft.com/office/drawing/2012/chart" uri="{CE6537A1-D6FC-4f65-9D91-7224C49458BB}"/>
                <c:ext xmlns:c16="http://schemas.microsoft.com/office/drawing/2014/chart" uri="{C3380CC4-5D6E-409C-BE32-E72D297353CC}">
                  <c16:uniqueId val="{00000002-AF72-1848-8D14-2279B6F7C74F}"/>
                </c:ext>
              </c:extLst>
            </c:dLbl>
            <c:dLbl>
              <c:idx val="2"/>
              <c:delete val="1"/>
              <c:extLst>
                <c:ext xmlns:c15="http://schemas.microsoft.com/office/drawing/2012/chart" uri="{CE6537A1-D6FC-4f65-9D91-7224C49458BB}"/>
                <c:ext xmlns:c16="http://schemas.microsoft.com/office/drawing/2014/chart" uri="{C3380CC4-5D6E-409C-BE32-E72D297353CC}">
                  <c16:uniqueId val="{00000003-AF72-1848-8D14-2279B6F7C74F}"/>
                </c:ext>
              </c:extLst>
            </c:dLbl>
            <c:dLbl>
              <c:idx val="3"/>
              <c:delete val="1"/>
              <c:extLst>
                <c:ext xmlns:c15="http://schemas.microsoft.com/office/drawing/2012/chart" uri="{CE6537A1-D6FC-4f65-9D91-7224C49458BB}"/>
                <c:ext xmlns:c16="http://schemas.microsoft.com/office/drawing/2014/chart" uri="{C3380CC4-5D6E-409C-BE32-E72D297353CC}">
                  <c16:uniqueId val="{00000000-1098-8A45-B605-B9194C49FAB8}"/>
                </c:ext>
              </c:extLst>
            </c:dLbl>
            <c:dLbl>
              <c:idx val="4"/>
              <c:delete val="1"/>
              <c:extLst>
                <c:ext xmlns:c15="http://schemas.microsoft.com/office/drawing/2012/chart" uri="{CE6537A1-D6FC-4f65-9D91-7224C49458BB}"/>
                <c:ext xmlns:c16="http://schemas.microsoft.com/office/drawing/2014/chart" uri="{C3380CC4-5D6E-409C-BE32-E72D297353CC}">
                  <c16:uniqueId val="{00000004-AF72-1848-8D14-2279B6F7C74F}"/>
                </c:ext>
              </c:extLst>
            </c:dLbl>
            <c:dLbl>
              <c:idx val="5"/>
              <c:delete val="1"/>
              <c:extLst>
                <c:ext xmlns:c15="http://schemas.microsoft.com/office/drawing/2012/chart" uri="{CE6537A1-D6FC-4f65-9D91-7224C49458BB}"/>
                <c:ext xmlns:c16="http://schemas.microsoft.com/office/drawing/2014/chart" uri="{C3380CC4-5D6E-409C-BE32-E72D297353CC}">
                  <c16:uniqueId val="{00000001-1098-8A45-B605-B9194C49FAB8}"/>
                </c:ext>
              </c:extLst>
            </c:dLbl>
            <c:dLbl>
              <c:idx val="6"/>
              <c:delete val="1"/>
              <c:extLst>
                <c:ext xmlns:c15="http://schemas.microsoft.com/office/drawing/2012/chart" uri="{CE6537A1-D6FC-4f65-9D91-7224C49458BB}"/>
                <c:ext xmlns:c16="http://schemas.microsoft.com/office/drawing/2014/chart" uri="{C3380CC4-5D6E-409C-BE32-E72D297353CC}">
                  <c16:uniqueId val="{0000000A-E7E6-984F-B4E4-5660F27577B3}"/>
                </c:ext>
              </c:extLst>
            </c:dLbl>
            <c:dLbl>
              <c:idx val="7"/>
              <c:delete val="1"/>
              <c:extLst>
                <c:ext xmlns:c15="http://schemas.microsoft.com/office/drawing/2012/chart" uri="{CE6537A1-D6FC-4f65-9D91-7224C49458BB}"/>
                <c:ext xmlns:c16="http://schemas.microsoft.com/office/drawing/2014/chart" uri="{C3380CC4-5D6E-409C-BE32-E72D297353CC}">
                  <c16:uniqueId val="{00000009-E7E6-984F-B4E4-5660F27577B3}"/>
                </c:ext>
              </c:extLst>
            </c:dLbl>
            <c:dLbl>
              <c:idx val="8"/>
              <c:delete val="1"/>
              <c:extLst>
                <c:ext xmlns:c15="http://schemas.microsoft.com/office/drawing/2012/chart" uri="{CE6537A1-D6FC-4f65-9D91-7224C49458BB}"/>
                <c:ext xmlns:c16="http://schemas.microsoft.com/office/drawing/2014/chart" uri="{C3380CC4-5D6E-409C-BE32-E72D297353CC}">
                  <c16:uniqueId val="{00000002-E7E6-984F-B4E4-5660F27577B3}"/>
                </c:ext>
              </c:extLst>
            </c:dLbl>
            <c:dLbl>
              <c:idx val="9"/>
              <c:delete val="1"/>
              <c:extLst>
                <c:ext xmlns:c15="http://schemas.microsoft.com/office/drawing/2012/chart" uri="{CE6537A1-D6FC-4f65-9D91-7224C49458BB}"/>
                <c:ext xmlns:c16="http://schemas.microsoft.com/office/drawing/2014/chart" uri="{C3380CC4-5D6E-409C-BE32-E72D297353CC}">
                  <c16:uniqueId val="{00000003-E7E6-984F-B4E4-5660F27577B3}"/>
                </c:ext>
              </c:extLst>
            </c:dLbl>
            <c:dLbl>
              <c:idx val="10"/>
              <c:delete val="1"/>
              <c:extLst>
                <c:ext xmlns:c15="http://schemas.microsoft.com/office/drawing/2012/chart" uri="{CE6537A1-D6FC-4f65-9D91-7224C49458BB}"/>
                <c:ext xmlns:c16="http://schemas.microsoft.com/office/drawing/2014/chart" uri="{C3380CC4-5D6E-409C-BE32-E72D297353CC}">
                  <c16:uniqueId val="{00000004-E7E6-984F-B4E4-5660F27577B3}"/>
                </c:ext>
              </c:extLst>
            </c:dLbl>
            <c:dLbl>
              <c:idx val="11"/>
              <c:delete val="1"/>
              <c:extLst>
                <c:ext xmlns:c15="http://schemas.microsoft.com/office/drawing/2012/chart" uri="{CE6537A1-D6FC-4f65-9D91-7224C49458BB}"/>
                <c:ext xmlns:c16="http://schemas.microsoft.com/office/drawing/2014/chart" uri="{C3380CC4-5D6E-409C-BE32-E72D297353CC}">
                  <c16:uniqueId val="{00000002-1098-8A45-B605-B9194C49FAB8}"/>
                </c:ext>
              </c:extLst>
            </c:dLbl>
            <c:dLbl>
              <c:idx val="12"/>
              <c:delete val="1"/>
              <c:extLst>
                <c:ext xmlns:c15="http://schemas.microsoft.com/office/drawing/2012/chart" uri="{CE6537A1-D6FC-4f65-9D91-7224C49458BB}"/>
                <c:ext xmlns:c16="http://schemas.microsoft.com/office/drawing/2014/chart" uri="{C3380CC4-5D6E-409C-BE32-E72D297353CC}">
                  <c16:uniqueId val="{00000006-E7E6-984F-B4E4-5660F27577B3}"/>
                </c:ext>
              </c:extLst>
            </c:dLbl>
            <c:dLbl>
              <c:idx val="13"/>
              <c:delete val="1"/>
              <c:extLst>
                <c:ext xmlns:c15="http://schemas.microsoft.com/office/drawing/2012/chart" uri="{CE6537A1-D6FC-4f65-9D91-7224C49458BB}"/>
                <c:ext xmlns:c16="http://schemas.microsoft.com/office/drawing/2014/chart" uri="{C3380CC4-5D6E-409C-BE32-E72D297353CC}">
                  <c16:uniqueId val="{00000007-E7E6-984F-B4E4-5660F27577B3}"/>
                </c:ext>
              </c:extLst>
            </c:dLbl>
            <c:dLbl>
              <c:idx val="14"/>
              <c:delete val="1"/>
              <c:extLst>
                <c:ext xmlns:c15="http://schemas.microsoft.com/office/drawing/2012/chart" uri="{CE6537A1-D6FC-4f65-9D91-7224C49458BB}"/>
                <c:ext xmlns:c16="http://schemas.microsoft.com/office/drawing/2014/chart" uri="{C3380CC4-5D6E-409C-BE32-E72D297353CC}">
                  <c16:uniqueId val="{00000000-AF72-1848-8D14-2279B6F7C74F}"/>
                </c:ext>
              </c:extLst>
            </c:dLbl>
            <c:dLbl>
              <c:idx val="15"/>
              <c:delete val="1"/>
              <c:extLst>
                <c:ext xmlns:c15="http://schemas.microsoft.com/office/drawing/2012/chart" uri="{CE6537A1-D6FC-4f65-9D91-7224C49458BB}"/>
                <c:ext xmlns:c16="http://schemas.microsoft.com/office/drawing/2014/chart" uri="{C3380CC4-5D6E-409C-BE32-E72D297353CC}">
                  <c16:uniqueId val="{00000003-1098-8A45-B605-B9194C49FAB8}"/>
                </c:ext>
              </c:extLst>
            </c:dLbl>
            <c:dLbl>
              <c:idx val="16"/>
              <c:delete val="1"/>
              <c:extLst>
                <c:ext xmlns:c15="http://schemas.microsoft.com/office/drawing/2012/chart" uri="{CE6537A1-D6FC-4f65-9D91-7224C49458BB}"/>
                <c:ext xmlns:c16="http://schemas.microsoft.com/office/drawing/2014/chart" uri="{C3380CC4-5D6E-409C-BE32-E72D297353CC}">
                  <c16:uniqueId val="{00000000-447A-5E43-94E1-C998BAEA1176}"/>
                </c:ext>
              </c:extLst>
            </c:dLbl>
            <c:dLbl>
              <c:idx val="17"/>
              <c:delete val="1"/>
              <c:extLst>
                <c:ext xmlns:c15="http://schemas.microsoft.com/office/drawing/2012/chart" uri="{CE6537A1-D6FC-4f65-9D91-7224C49458BB}"/>
                <c:ext xmlns:c16="http://schemas.microsoft.com/office/drawing/2014/chart" uri="{C3380CC4-5D6E-409C-BE32-E72D297353CC}">
                  <c16:uniqueId val="{00000000-A787-6A46-90CD-4BF42EF80777}"/>
                </c:ext>
              </c:extLst>
            </c:dLbl>
            <c:dLbl>
              <c:idx val="18"/>
              <c:delete val="1"/>
              <c:extLst>
                <c:ext xmlns:c15="http://schemas.microsoft.com/office/drawing/2012/chart" uri="{CE6537A1-D6FC-4f65-9D91-7224C49458BB}"/>
                <c:ext xmlns:c16="http://schemas.microsoft.com/office/drawing/2014/chart" uri="{C3380CC4-5D6E-409C-BE32-E72D297353CC}">
                  <c16:uniqueId val="{00000001-A787-6A46-90CD-4BF42EF80777}"/>
                </c:ext>
              </c:extLst>
            </c:dLbl>
            <c:dLbl>
              <c:idx val="19"/>
              <c:delete val="1"/>
              <c:extLst>
                <c:ext xmlns:c15="http://schemas.microsoft.com/office/drawing/2012/chart" uri="{CE6537A1-D6FC-4f65-9D91-7224C49458BB}"/>
                <c:ext xmlns:c16="http://schemas.microsoft.com/office/drawing/2014/chart" uri="{C3380CC4-5D6E-409C-BE32-E72D297353CC}">
                  <c16:uniqueId val="{00000001-E4ED-2D40-BB0C-D5284EA7E854}"/>
                </c:ext>
              </c:extLst>
            </c:dLbl>
            <c:dLbl>
              <c:idx val="20"/>
              <c:delete val="1"/>
              <c:extLst>
                <c:ext xmlns:c15="http://schemas.microsoft.com/office/drawing/2012/chart" uri="{CE6537A1-D6FC-4f65-9D91-7224C49458BB}"/>
                <c:ext xmlns:c16="http://schemas.microsoft.com/office/drawing/2014/chart" uri="{C3380CC4-5D6E-409C-BE32-E72D297353CC}">
                  <c16:uniqueId val="{00000003-5643-A042-888E-923D3A0AE9AA}"/>
                </c:ext>
              </c:extLst>
            </c:dLbl>
            <c:dLbl>
              <c:idx val="21"/>
              <c:delete val="1"/>
              <c:extLst>
                <c:ext xmlns:c15="http://schemas.microsoft.com/office/drawing/2012/chart" uri="{CE6537A1-D6FC-4f65-9D91-7224C49458BB}"/>
                <c:ext xmlns:c16="http://schemas.microsoft.com/office/drawing/2014/chart" uri="{C3380CC4-5D6E-409C-BE32-E72D297353CC}">
                  <c16:uniqueId val="{00000002-5643-A042-888E-923D3A0AE9AA}"/>
                </c:ext>
              </c:extLst>
            </c:dLbl>
            <c:dLbl>
              <c:idx val="22"/>
              <c:delete val="1"/>
              <c:extLst>
                <c:ext xmlns:c15="http://schemas.microsoft.com/office/drawing/2012/chart" uri="{CE6537A1-D6FC-4f65-9D91-7224C49458BB}"/>
                <c:ext xmlns:c16="http://schemas.microsoft.com/office/drawing/2014/chart" uri="{C3380CC4-5D6E-409C-BE32-E72D297353CC}">
                  <c16:uniqueId val="{00000001-5643-A042-888E-923D3A0AE9AA}"/>
                </c:ext>
              </c:extLst>
            </c:dLbl>
            <c:dLbl>
              <c:idx val="23"/>
              <c:delete val="1"/>
              <c:extLst>
                <c:ext xmlns:c15="http://schemas.microsoft.com/office/drawing/2012/chart" uri="{CE6537A1-D6FC-4f65-9D91-7224C49458BB}"/>
                <c:ext xmlns:c16="http://schemas.microsoft.com/office/drawing/2014/chart" uri="{C3380CC4-5D6E-409C-BE32-E72D297353CC}">
                  <c16:uniqueId val="{00000003-598D-9440-A25B-A2CBBA8DD18C}"/>
                </c:ext>
              </c:extLst>
            </c:dLbl>
            <c:dLbl>
              <c:idx val="24"/>
              <c:delete val="1"/>
              <c:extLst>
                <c:ext xmlns:c15="http://schemas.microsoft.com/office/drawing/2012/chart" uri="{CE6537A1-D6FC-4f65-9D91-7224C49458BB}"/>
                <c:ext xmlns:c16="http://schemas.microsoft.com/office/drawing/2014/chart" uri="{C3380CC4-5D6E-409C-BE32-E72D297353CC}">
                  <c16:uniqueId val="{00000002-598D-9440-A25B-A2CBBA8DD18C}"/>
                </c:ext>
              </c:extLst>
            </c:dLbl>
            <c:dLbl>
              <c:idx val="25"/>
              <c:delete val="1"/>
              <c:extLst>
                <c:ext xmlns:c15="http://schemas.microsoft.com/office/drawing/2012/chart" uri="{CE6537A1-D6FC-4f65-9D91-7224C49458BB}"/>
                <c:ext xmlns:c16="http://schemas.microsoft.com/office/drawing/2014/chart" uri="{C3380CC4-5D6E-409C-BE32-E72D297353CC}">
                  <c16:uniqueId val="{00000001-598D-9440-A25B-A2CBBA8DD18C}"/>
                </c:ext>
              </c:extLst>
            </c:dLbl>
            <c:dLbl>
              <c:idx val="26"/>
              <c:layout>
                <c:manualLayout>
                  <c:x val="8.4859308611789919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8D-9440-A25B-A2CBBA8DD18C}"/>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76200" cap="rnd">
                <a:noFill/>
                <a:prstDash val="sysDot"/>
              </a:ln>
              <a:effectLst/>
            </c:spPr>
            <c:trendlineType val="linear"/>
            <c:forward val="360"/>
            <c:dispRSqr val="0"/>
            <c:dispEq val="0"/>
          </c:trendline>
          <c:trendline>
            <c:spPr>
              <a:ln w="38100" cap="rnd">
                <a:solidFill>
                  <a:schemeClr val="accent4">
                    <a:alpha val="50000"/>
                  </a:schemeClr>
                </a:solidFill>
                <a:prstDash val="sysDot"/>
              </a:ln>
              <a:effectLst/>
            </c:spPr>
            <c:trendlineType val="linear"/>
            <c:forward val="360"/>
            <c:dispRSqr val="0"/>
            <c:dispEq val="0"/>
          </c:trendline>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compute!$K$5:$K$31</c:f>
              <c:numCache>
                <c:formatCode>0.0%</c:formatCode>
                <c:ptCount val="27"/>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compute!$Q$5:$Q$10013</c:f>
              <c:numCache>
                <c:formatCode>0</c:formatCode>
                <c:ptCount val="10009"/>
                <c:pt idx="0">
                  <c:v>397.04761904761904</c:v>
                </c:pt>
                <c:pt idx="1">
                  <c:v>284.83850931677017</c:v>
                </c:pt>
                <c:pt idx="2">
                  <c:v>207.97732426303855</c:v>
                </c:pt>
                <c:pt idx="3">
                  <c:v>172.40225563909775</c:v>
                </c:pt>
                <c:pt idx="4">
                  <c:v>145.58412698412698</c:v>
                </c:pt>
                <c:pt idx="5">
                  <c:v>111.03874092009686</c:v>
                </c:pt>
                <c:pt idx="6">
                  <c:v>81.891071428571422</c:v>
                </c:pt>
                <c:pt idx="7">
                  <c:v>66.510514865844812</c:v>
                </c:pt>
                <c:pt idx="8">
                  <c:v>55.052821128451377</c:v>
                </c:pt>
                <c:pt idx="9">
                  <c:v>49.257787325456498</c:v>
                </c:pt>
                <c:pt idx="10">
                  <c:v>44.566569484936835</c:v>
                </c:pt>
                <c:pt idx="11">
                  <c:v>42.266359447004611</c:v>
                </c:pt>
                <c:pt idx="12">
                  <c:v>37.759571840263483</c:v>
                </c:pt>
                <c:pt idx="13">
                  <c:v>35.897455968688845</c:v>
                </c:pt>
                <c:pt idx="14">
                  <c:v>33.087301587301589</c:v>
                </c:pt>
                <c:pt idx="15">
                  <c:v>30.613484646194927</c:v>
                </c:pt>
                <c:pt idx="16">
                  <c:v>28.860289490245439</c:v>
                </c:pt>
                <c:pt idx="17">
                  <c:v>27.996947496947495</c:v>
                </c:pt>
                <c:pt idx="18">
                  <c:v>26.577223993045493</c:v>
                </c:pt>
                <c:pt idx="19">
                  <c:v>25.197252747252747</c:v>
                </c:pt>
                <c:pt idx="20">
                  <c:v>24.490787716955943</c:v>
                </c:pt>
                <c:pt idx="21">
                  <c:v>23.355742296918766</c:v>
                </c:pt>
                <c:pt idx="22">
                  <c:v>23.067907444668009</c:v>
                </c:pt>
                <c:pt idx="23">
                  <c:v>22.474393530997304</c:v>
                </c:pt>
                <c:pt idx="24">
                  <c:v>22.321246045266488</c:v>
                </c:pt>
                <c:pt idx="25">
                  <c:v>21.585784890562486</c:v>
                </c:pt>
                <c:pt idx="26">
                  <c:v>21.304994192799072</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compute!$R$5:$R$10013</c:f>
              <c:numCache>
                <c:formatCode>0</c:formatCode>
                <c:ptCount val="10009"/>
                <c:pt idx="0">
                  <c:v>158.81904761904764</c:v>
                </c:pt>
                <c:pt idx="1">
                  <c:v>113.9354037267081</c:v>
                </c:pt>
                <c:pt idx="2">
                  <c:v>83.19092970521541</c:v>
                </c:pt>
                <c:pt idx="3">
                  <c:v>68.960902255639098</c:v>
                </c:pt>
                <c:pt idx="4">
                  <c:v>58.23365079365081</c:v>
                </c:pt>
                <c:pt idx="5">
                  <c:v>44.415496368038745</c:v>
                </c:pt>
                <c:pt idx="6">
                  <c:v>32.756428571428572</c:v>
                </c:pt>
                <c:pt idx="7">
                  <c:v>26.604205946337927</c:v>
                </c:pt>
                <c:pt idx="8">
                  <c:v>22.021128451380555</c:v>
                </c:pt>
                <c:pt idx="9">
                  <c:v>19.703114930182601</c:v>
                </c:pt>
                <c:pt idx="10">
                  <c:v>17.82662779397473</c:v>
                </c:pt>
                <c:pt idx="11">
                  <c:v>16.90654377880184</c:v>
                </c:pt>
                <c:pt idx="12">
                  <c:v>15.103828736105392</c:v>
                </c:pt>
                <c:pt idx="13">
                  <c:v>14.358982387475535</c:v>
                </c:pt>
                <c:pt idx="14">
                  <c:v>13.234920634920634</c:v>
                </c:pt>
                <c:pt idx="15">
                  <c:v>12.245393858477968</c:v>
                </c:pt>
                <c:pt idx="16">
                  <c:v>11.544115796098172</c:v>
                </c:pt>
                <c:pt idx="17">
                  <c:v>11.198778998779002</c:v>
                </c:pt>
                <c:pt idx="18">
                  <c:v>10.6308895972182</c:v>
                </c:pt>
                <c:pt idx="19">
                  <c:v>10.078901098901099</c:v>
                </c:pt>
                <c:pt idx="20">
                  <c:v>9.7963150867823785</c:v>
                </c:pt>
                <c:pt idx="21">
                  <c:v>9.3422969187675058</c:v>
                </c:pt>
                <c:pt idx="22">
                  <c:v>9.2271629778672022</c:v>
                </c:pt>
                <c:pt idx="23">
                  <c:v>8.989757412398923</c:v>
                </c:pt>
                <c:pt idx="24">
                  <c:v>8.9284984181065958</c:v>
                </c:pt>
                <c:pt idx="25">
                  <c:v>8.6343139562249931</c:v>
                </c:pt>
                <c:pt idx="26">
                  <c:v>8.5219976771196286</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layout>
                <c:manualLayout>
                  <c:x val="-5.0847457627118765E-2"/>
                  <c:y val="-5.59322033898305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55-7746-9B18-46D322BD3F47}"/>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compute!$A$5:$A$10013</c:f>
              <c:numCache>
                <c:formatCode>d\-mmm</c:formatCode>
                <c:ptCount val="10009"/>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numCache>
            </c:numRef>
          </c:cat>
          <c:val>
            <c:numRef>
              <c:f>compute!$S$5:$S$10013</c:f>
              <c:numCache>
                <c:formatCode>0</c:formatCode>
                <c:ptCount val="10009"/>
                <c:pt idx="0">
                  <c:v>476.45714285714286</c:v>
                </c:pt>
                <c:pt idx="1">
                  <c:v>341.80621118012425</c:v>
                </c:pt>
                <c:pt idx="2">
                  <c:v>249.57278911564626</c:v>
                </c:pt>
                <c:pt idx="3">
                  <c:v>206.88270676691729</c:v>
                </c:pt>
                <c:pt idx="4">
                  <c:v>174.7009523809524</c:v>
                </c:pt>
                <c:pt idx="5">
                  <c:v>133.24648910411622</c:v>
                </c:pt>
                <c:pt idx="6">
                  <c:v>98.269285714285701</c:v>
                </c:pt>
                <c:pt idx="7">
                  <c:v>79.812617839013768</c:v>
                </c:pt>
                <c:pt idx="8">
                  <c:v>66.063385354141658</c:v>
                </c:pt>
                <c:pt idx="9">
                  <c:v>59.109344790547794</c:v>
                </c:pt>
                <c:pt idx="10">
                  <c:v>53.479883381924196</c:v>
                </c:pt>
                <c:pt idx="11">
                  <c:v>50.719631336405527</c:v>
                </c:pt>
                <c:pt idx="12">
                  <c:v>45.311486208316182</c:v>
                </c:pt>
                <c:pt idx="13">
                  <c:v>43.076947162426613</c:v>
                </c:pt>
                <c:pt idx="14">
                  <c:v>39.704761904761909</c:v>
                </c:pt>
                <c:pt idx="15">
                  <c:v>36.73618157543391</c:v>
                </c:pt>
                <c:pt idx="16">
                  <c:v>34.632347388294527</c:v>
                </c:pt>
                <c:pt idx="17">
                  <c:v>33.596336996336994</c:v>
                </c:pt>
                <c:pt idx="18">
                  <c:v>31.892668791654593</c:v>
                </c:pt>
                <c:pt idx="19">
                  <c:v>30.236703296703297</c:v>
                </c:pt>
                <c:pt idx="20">
                  <c:v>29.388945260347132</c:v>
                </c:pt>
                <c:pt idx="21">
                  <c:v>28.026890756302521</c:v>
                </c:pt>
                <c:pt idx="22">
                  <c:v>27.68148893360161</c:v>
                </c:pt>
                <c:pt idx="23">
                  <c:v>26.969272237196765</c:v>
                </c:pt>
                <c:pt idx="24">
                  <c:v>26.785495254319784</c:v>
                </c:pt>
                <c:pt idx="25">
                  <c:v>25.902941868674983</c:v>
                </c:pt>
                <c:pt idx="26">
                  <c:v>25.565993031358886</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4"/>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2">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8" name="Rectangle 17">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2" name="Picture 21">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3" name="Picture 22">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4"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5"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6" name="Picture 25">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dr:relSizeAnchor xmlns:cdr="http://schemas.openxmlformats.org/drawingml/2006/chartDrawing">
    <cdr:from>
      <cdr:x>0.17288</cdr:x>
      <cdr:y>0.21017</cdr:y>
    </cdr:from>
    <cdr:to>
      <cdr:x>0.50678</cdr:x>
      <cdr:y>0.57288</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1295400" y="1574800"/>
          <a:ext cx="2501900" cy="2717800"/>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2">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2">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0.24576</cdr:x>
      <cdr:y>0.31525</cdr:y>
    </cdr:from>
    <cdr:to>
      <cdr:x>0.57119</cdr:x>
      <cdr:y>0.49492</cdr:y>
    </cdr:to>
    <cdr:sp macro="" textlink="compute!$V$38">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841505" y="2362199"/>
          <a:ext cx="2438395" cy="1346201"/>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2">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1" name="Picture 20">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2" name="Picture 21">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3"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4"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5" name="Picture 24">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2">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0.22881</cdr:x>
      <cdr:y>0.48136</cdr:y>
    </cdr:from>
    <cdr:to>
      <cdr:x>0.45932</cdr:x>
      <cdr:y>0.56611</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714473" y="3606794"/>
          <a:ext cx="1727212" cy="63503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0.61526</cdr:x>
      <cdr:y>0.68474</cdr:y>
    </cdr:from>
    <cdr:to>
      <cdr:x>0.95255</cdr:x>
      <cdr:y>0.79491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610125" y="513078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0" name="Picture 19">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1" name="Picture 20">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2"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3"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4" name="Picture 23">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0.15254</cdr:x>
      <cdr:y>0.19492</cdr:y>
    </cdr:from>
    <cdr:to>
      <cdr:x>0.59831</cdr:x>
      <cdr:y>0.40169</cdr:y>
    </cdr:to>
    <cdr:sp macro="" textlink="compute!$V$40">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142995" y="1460534"/>
          <a:ext cx="3340105" cy="1549366"/>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t>Around 5.6%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0.00141</cdr:x>
      <cdr:y>0.94925</cdr:y>
    </cdr:from>
    <cdr:to>
      <cdr:x>1</cdr:x>
      <cdr:y>1</cdr:y>
    </cdr:to>
    <cdr:sp macro="" textlink="">
      <cdr:nvSpPr>
        <cdr:cNvPr id="17" name="Rectangle 16">
          <a:extLst xmlns:a="http://schemas.openxmlformats.org/drawingml/2006/main">
            <a:ext uri="{FF2B5EF4-FFF2-40B4-BE49-F238E27FC236}">
              <a16:creationId xmlns:a16="http://schemas.microsoft.com/office/drawing/2014/main" id="{E22FF774-3F72-B346-B7BE-43C88FCCE052}"/>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8" name="Picture 17">
          <a:extLst xmlns:a="http://schemas.openxmlformats.org/drawingml/2006/main">
            <a:ext uri="{FF2B5EF4-FFF2-40B4-BE49-F238E27FC236}">
              <a16:creationId xmlns:a16="http://schemas.microsoft.com/office/drawing/2014/main" id="{29DE3000-41A4-6D4B-9FF4-D26E1502818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9" name="Picture 18">
          <a:extLst xmlns:a="http://schemas.openxmlformats.org/drawingml/2006/main">
            <a:ext uri="{FF2B5EF4-FFF2-40B4-BE49-F238E27FC236}">
              <a16:creationId xmlns:a16="http://schemas.microsoft.com/office/drawing/2014/main" id="{32AA61E9-E110-274E-9AC3-AA3C642A9E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0.61092</cdr:x>
      <cdr:y>0.95788</cdr:y>
    </cdr:from>
    <cdr:to>
      <cdr:x>0.90387</cdr:x>
      <cdr:y>0.99864</cdr:y>
    </cdr:to>
    <cdr:sp macro="" textlink="">
      <cdr:nvSpPr>
        <cdr:cNvPr id="20" name="TextBox 3">
          <a:extLst xmlns:a="http://schemas.openxmlformats.org/drawingml/2006/main">
            <a:ext uri="{FF2B5EF4-FFF2-40B4-BE49-F238E27FC236}">
              <a16:creationId xmlns:a16="http://schemas.microsoft.com/office/drawing/2014/main" id="{CB2FB21F-75C1-9845-9C4E-D0370C7E9F33}"/>
            </a:ext>
          </a:extLst>
        </cdr:cNvPr>
        <cdr:cNvSpPr txBox="1"/>
      </cdr:nvSpPr>
      <cdr:spPr>
        <a:xfrm xmlns:a="http://schemas.openxmlformats.org/drawingml/2006/main">
          <a:off x="4577621" y="7177395"/>
          <a:ext cx="2195075" cy="305415"/>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0.3635</cdr:x>
      <cdr:y>0.95787</cdr:y>
    </cdr:from>
    <cdr:to>
      <cdr:x>0.63097</cdr:x>
      <cdr:y>0.99665</cdr:y>
    </cdr:to>
    <cdr:sp macro="" textlink="">
      <cdr:nvSpPr>
        <cdr:cNvPr id="21" name="TextBox 1">
          <a:extLst xmlns:a="http://schemas.openxmlformats.org/drawingml/2006/main">
            <a:ext uri="{FF2B5EF4-FFF2-40B4-BE49-F238E27FC236}">
              <a16:creationId xmlns:a16="http://schemas.microsoft.com/office/drawing/2014/main" id="{DA988A68-9194-6C4D-A666-BE7262294167}"/>
            </a:ext>
          </a:extLst>
        </cdr:cNvPr>
        <cdr:cNvSpPr txBox="1"/>
      </cdr:nvSpPr>
      <cdr:spPr>
        <a:xfrm xmlns:a="http://schemas.openxmlformats.org/drawingml/2006/main">
          <a:off x="2723703" y="7177320"/>
          <a:ext cx="2004153" cy="290578"/>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0.03703</cdr:x>
      <cdr:y>0.95837</cdr:y>
    </cdr:from>
    <cdr:to>
      <cdr:x>0.24121</cdr:x>
      <cdr:y>0.98868</cdr:y>
    </cdr:to>
    <cdr:pic>
      <cdr:nvPicPr>
        <cdr:cNvPr id="22" name="Picture 21">
          <a:extLst xmlns:a="http://schemas.openxmlformats.org/drawingml/2006/main">
            <a:ext uri="{FF2B5EF4-FFF2-40B4-BE49-F238E27FC236}">
              <a16:creationId xmlns:a16="http://schemas.microsoft.com/office/drawing/2014/main" id="{61D7EFC6-B371-9C4E-9660-2CD9ED101E9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77463" y="7181066"/>
          <a:ext cx="1529921" cy="227113"/>
        </a:xfrm>
        <a:prstGeom xmlns:a="http://schemas.openxmlformats.org/drawingml/2006/main" prst="rect">
          <a:avLst/>
        </a:prstGeom>
      </cdr:spPr>
    </cdr:pic>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t>April 18,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2">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0.15932</cdr:x>
      <cdr:y>0.23148</cdr:y>
    </cdr:from>
    <cdr:to>
      <cdr:x>0.95085</cdr:x>
      <cdr:y>0.32119</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193800" y="173449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0.45085</cdr:x>
      <cdr:y>0.6034</cdr:y>
    </cdr:from>
    <cdr:to>
      <cdr:x>0.8678</cdr:x>
      <cdr:y>0.71017</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378221" y="45212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6" name="Rectangle 15">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7" name="Picture 16">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8" name="Picture 17">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9"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0"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1" name="Picture 20">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0.36779</cdr:x>
      <cdr:y>0.42518</cdr:y>
    </cdr:from>
    <cdr:to>
      <cdr:x>0.79322</cdr:x>
      <cdr:y>0.6</cdr:y>
    </cdr:to>
    <cdr:sp macro="" textlink="compute!$V$42">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755871" y="3185853"/>
          <a:ext cx="3187747" cy="1309927"/>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26.</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2">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8" name="Picture 17">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9" name="Picture 18">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0"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1"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2" name="Picture 21">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2">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18, 2020, evening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editAs="oneCell">
    <xdr:from>
      <xdr:col>6</xdr:col>
      <xdr:colOff>2761720</xdr:colOff>
      <xdr:row>18</xdr:row>
      <xdr:rowOff>87933</xdr:rowOff>
    </xdr:from>
    <xdr:to>
      <xdr:col>6</xdr:col>
      <xdr:colOff>2987736</xdr:colOff>
      <xdr:row>18</xdr:row>
      <xdr:rowOff>310723</xdr:rowOff>
    </xdr:to>
    <xdr:pic>
      <xdr:nvPicPr>
        <xdr:cNvPr id="11" name="Picture 10">
          <a:extLst>
            <a:ext uri="{FF2B5EF4-FFF2-40B4-BE49-F238E27FC236}">
              <a16:creationId xmlns:a16="http://schemas.microsoft.com/office/drawing/2014/main" id="{C8519714-BD67-0549-9186-9E476B39E5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09529" y="7196897"/>
          <a:ext cx="226016" cy="222790"/>
        </a:xfrm>
        <a:prstGeom prst="rect">
          <a:avLst/>
        </a:prstGeom>
      </xdr:spPr>
    </xdr:pic>
    <xdr:clientData/>
  </xdr:twoCellAnchor>
  <xdr:twoCellAnchor editAs="oneCell">
    <xdr:from>
      <xdr:col>6</xdr:col>
      <xdr:colOff>3006436</xdr:colOff>
      <xdr:row>18</xdr:row>
      <xdr:rowOff>58747</xdr:rowOff>
    </xdr:from>
    <xdr:to>
      <xdr:col>8</xdr:col>
      <xdr:colOff>41266</xdr:colOff>
      <xdr:row>18</xdr:row>
      <xdr:rowOff>342540</xdr:rowOff>
    </xdr:to>
    <xdr:pic>
      <xdr:nvPicPr>
        <xdr:cNvPr id="12" name="Picture 11">
          <a:extLst>
            <a:ext uri="{FF2B5EF4-FFF2-40B4-BE49-F238E27FC236}">
              <a16:creationId xmlns:a16="http://schemas.microsoft.com/office/drawing/2014/main" id="{5CB78546-61B2-F147-BE9A-6488295B67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54245" y="7167711"/>
          <a:ext cx="288256" cy="283793"/>
        </a:xfrm>
        <a:prstGeom prst="rect">
          <a:avLst/>
        </a:prstGeom>
      </xdr:spPr>
    </xdr:pic>
    <xdr:clientData/>
  </xdr:twoCellAnchor>
  <xdr:twoCellAnchor>
    <xdr:from>
      <xdr:col>6</xdr:col>
      <xdr:colOff>481158</xdr:colOff>
      <xdr:row>18</xdr:row>
      <xdr:rowOff>77840</xdr:rowOff>
    </xdr:from>
    <xdr:to>
      <xdr:col>6</xdr:col>
      <xdr:colOff>2679717</xdr:colOff>
      <xdr:row>19</xdr:row>
      <xdr:rowOff>5005</xdr:rowOff>
    </xdr:to>
    <xdr:sp macro="" textlink="">
      <xdr:nvSpPr>
        <xdr:cNvPr id="13" name="TextBox 3">
          <a:extLst>
            <a:ext uri="{FF2B5EF4-FFF2-40B4-BE49-F238E27FC236}">
              <a16:creationId xmlns:a16="http://schemas.microsoft.com/office/drawing/2014/main" id="{970D30E2-4478-7040-8565-2332431848C5}"/>
            </a:ext>
          </a:extLst>
        </xdr:cNvPr>
        <xdr:cNvSpPr txBox="1"/>
      </xdr:nvSpPr>
      <xdr:spPr>
        <a:xfrm>
          <a:off x="4528967" y="7186804"/>
          <a:ext cx="2198559" cy="306647"/>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xdr:txBody>
    </xdr:sp>
    <xdr:clientData/>
  </xdr:twoCellAnchor>
  <xdr:twoCellAnchor>
    <xdr:from>
      <xdr:col>2</xdr:col>
      <xdr:colOff>2307251</xdr:colOff>
      <xdr:row>18</xdr:row>
      <xdr:rowOff>77788</xdr:rowOff>
    </xdr:from>
    <xdr:to>
      <xdr:col>6</xdr:col>
      <xdr:colOff>631605</xdr:colOff>
      <xdr:row>18</xdr:row>
      <xdr:rowOff>370903</xdr:rowOff>
    </xdr:to>
    <xdr:sp macro="" textlink="">
      <xdr:nvSpPr>
        <xdr:cNvPr id="14" name="TextBox 1">
          <a:extLst>
            <a:ext uri="{FF2B5EF4-FFF2-40B4-BE49-F238E27FC236}">
              <a16:creationId xmlns:a16="http://schemas.microsoft.com/office/drawing/2014/main" id="{FD0A8590-7A21-364E-8612-513F25D09B8F}"/>
            </a:ext>
          </a:extLst>
        </xdr:cNvPr>
        <xdr:cNvSpPr txBox="1"/>
      </xdr:nvSpPr>
      <xdr:spPr>
        <a:xfrm>
          <a:off x="2666494" y="7186752"/>
          <a:ext cx="2012920" cy="293115"/>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https://BeachCov2.info</a:t>
          </a:r>
          <a:endParaRPr lang="en-US" sz="1100" b="1">
            <a:solidFill>
              <a:schemeClr val="bg1"/>
            </a:solidFill>
          </a:endParaRPr>
        </a:p>
      </xdr:txBody>
    </xdr:sp>
    <xdr:clientData/>
  </xdr:twoCellAnchor>
  <xdr:twoCellAnchor editAs="oneCell">
    <xdr:from>
      <xdr:col>0</xdr:col>
      <xdr:colOff>212777</xdr:colOff>
      <xdr:row>18</xdr:row>
      <xdr:rowOff>81537</xdr:rowOff>
    </xdr:from>
    <xdr:to>
      <xdr:col>2</xdr:col>
      <xdr:colOff>1389530</xdr:colOff>
      <xdr:row>18</xdr:row>
      <xdr:rowOff>310680</xdr:rowOff>
    </xdr:to>
    <xdr:pic>
      <xdr:nvPicPr>
        <xdr:cNvPr id="5" name="Picture 4">
          <a:extLst>
            <a:ext uri="{FF2B5EF4-FFF2-40B4-BE49-F238E27FC236}">
              <a16:creationId xmlns:a16="http://schemas.microsoft.com/office/drawing/2014/main" id="{2DD3B736-40A5-DA4C-8AE5-3220B2DE2EA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2777" y="7190501"/>
          <a:ext cx="1535996" cy="229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ork/Desktop/SARS-CoV-2%20Analysis%20-%20Miami%20Beach%20-%20old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 Increase"/>
      <sheetName val="Doubling Time"/>
      <sheetName val="Number of Infections"/>
      <sheetName val="Infection Odds"/>
      <sheetName val="dashboard"/>
      <sheetName val="compute"/>
      <sheetName val="Miami Beach morning"/>
      <sheetName val="Miami Beach evening"/>
      <sheetName val="Miami morning"/>
      <sheetName val="Miami evening"/>
      <sheetName val="Melbourne morning"/>
      <sheetName val="Melbourne evening"/>
      <sheetName val="Dade morning"/>
      <sheetName val="Dade evening"/>
      <sheetName val="Florida morning"/>
      <sheetName val="Florida evening"/>
      <sheetName val="Clark (NV) daily"/>
    </sheetNames>
    <sheetDataSet>
      <sheetData sheetId="0" refreshError="1"/>
      <sheetData sheetId="1" refreshError="1"/>
      <sheetData sheetId="2" refreshError="1"/>
      <sheetData sheetId="3" refreshError="1"/>
      <sheetData sheetId="4" refreshError="1"/>
      <sheetData sheetId="5" refreshError="1"/>
      <sheetData sheetId="6">
        <row r="4">
          <cell r="I4" t="str">
            <v>infection percentage, estimating 5x cases infected</v>
          </cell>
          <cell r="K4" t="str">
            <v>infection percentage difference</v>
          </cell>
          <cell r="L4" t="str">
            <v>average infection percentage</v>
          </cell>
        </row>
        <row r="5">
          <cell r="A5">
            <v>43913</v>
          </cell>
          <cell r="I5">
            <v>1.8936763833305979E-3</v>
          </cell>
          <cell r="K5">
            <v>5.0498036888815974E-4</v>
          </cell>
          <cell r="L5">
            <v>2.1461665677746777E-3</v>
          </cell>
        </row>
        <row r="6">
          <cell r="A6">
            <v>43914</v>
          </cell>
          <cell r="I6">
            <v>2.5822859772689972E-3</v>
          </cell>
          <cell r="K6">
            <v>6.8860959393839951E-4</v>
          </cell>
          <cell r="L6">
            <v>2.9265907742381967E-3</v>
          </cell>
        </row>
        <row r="7">
          <cell r="A7">
            <v>43915</v>
          </cell>
          <cell r="I7">
            <v>2.8692066414099967E-3</v>
          </cell>
          <cell r="K7">
            <v>7.6512177104266603E-4</v>
          </cell>
          <cell r="L7">
            <v>3.2517675269313298E-3</v>
          </cell>
        </row>
        <row r="8">
          <cell r="A8">
            <v>43916</v>
          </cell>
          <cell r="I8">
            <v>4.2464258292867953E-3</v>
          </cell>
          <cell r="K8">
            <v>1.1323802211431451E-3</v>
          </cell>
          <cell r="L8">
            <v>4.8126159398583675E-3</v>
          </cell>
        </row>
        <row r="9">
          <cell r="A9">
            <v>43917</v>
          </cell>
          <cell r="I9">
            <v>5.1645719545379944E-3</v>
          </cell>
          <cell r="K9">
            <v>1.377219187876799E-3</v>
          </cell>
          <cell r="L9">
            <v>5.8531815484763935E-3</v>
          </cell>
        </row>
        <row r="10">
          <cell r="A10">
            <v>43918</v>
          </cell>
          <cell r="I10">
            <v>6.5991752752429939E-3</v>
          </cell>
          <cell r="K10">
            <v>1.7597800733981303E-3</v>
          </cell>
          <cell r="L10">
            <v>7.479065311942059E-3</v>
          </cell>
        </row>
        <row r="11">
          <cell r="A11">
            <v>43919</v>
          </cell>
          <cell r="I11">
            <v>7.0582483378685921E-3</v>
          </cell>
          <cell r="K11">
            <v>1.8821995567649581E-3</v>
          </cell>
          <cell r="L11">
            <v>7.9993481162510711E-3</v>
          </cell>
        </row>
        <row r="12">
          <cell r="A12">
            <v>43920</v>
          </cell>
          <cell r="I12">
            <v>1.1132521768670788E-2</v>
          </cell>
          <cell r="K12">
            <v>2.9686724716455424E-3</v>
          </cell>
          <cell r="L12">
            <v>1.261685800449356E-2</v>
          </cell>
        </row>
        <row r="13">
          <cell r="A13">
            <v>43921</v>
          </cell>
          <cell r="I13">
            <v>1.3542655347455187E-2</v>
          </cell>
          <cell r="K13">
            <v>3.6113747593213806E-3</v>
          </cell>
          <cell r="L13">
            <v>1.5348342727115877E-2</v>
          </cell>
        </row>
        <row r="14">
          <cell r="A14">
            <v>43922</v>
          </cell>
          <cell r="I14">
            <v>1.4460801472706385E-2</v>
          </cell>
          <cell r="K14">
            <v>3.8562137260550345E-3</v>
          </cell>
          <cell r="L14">
            <v>1.6388908335733903E-2</v>
          </cell>
        </row>
        <row r="15">
          <cell r="A15">
            <v>43923</v>
          </cell>
          <cell r="I15">
            <v>1.5378947597957585E-2</v>
          </cell>
          <cell r="K15">
            <v>4.1010526927886901E-3</v>
          </cell>
          <cell r="L15">
            <v>1.7429473944351931E-2</v>
          </cell>
        </row>
        <row r="16">
          <cell r="A16">
            <v>43924</v>
          </cell>
          <cell r="I16">
            <v>1.733000811411638E-2</v>
          </cell>
          <cell r="K16">
            <v>4.621335497097704E-3</v>
          </cell>
          <cell r="L16">
            <v>1.9640675862665234E-2</v>
          </cell>
        </row>
        <row r="17">
          <cell r="A17">
            <v>43925</v>
          </cell>
          <cell r="I17">
            <v>1.956798929441618E-2</v>
          </cell>
          <cell r="K17">
            <v>5.2181304785109822E-3</v>
          </cell>
          <cell r="L17">
            <v>2.2177054533671671E-2</v>
          </cell>
        </row>
        <row r="18">
          <cell r="A18">
            <v>43926</v>
          </cell>
          <cell r="I18">
            <v>2.0715671950980178E-2</v>
          </cell>
          <cell r="K18">
            <v>5.5241791869280465E-3</v>
          </cell>
          <cell r="L18">
            <v>2.3477761544444201E-2</v>
          </cell>
        </row>
        <row r="19">
          <cell r="A19">
            <v>43927</v>
          </cell>
          <cell r="I19">
            <v>2.1978122873200577E-2</v>
          </cell>
          <cell r="K19">
            <v>5.8608327661868222E-3</v>
          </cell>
          <cell r="L19">
            <v>2.4908539256293986E-2</v>
          </cell>
        </row>
        <row r="20">
          <cell r="A20">
            <v>43928</v>
          </cell>
          <cell r="I20">
            <v>2.4445640584813171E-2</v>
          </cell>
          <cell r="K20">
            <v>6.518837489283516E-3</v>
          </cell>
          <cell r="L20">
            <v>2.7705059329454929E-2</v>
          </cell>
        </row>
        <row r="21">
          <cell r="A21">
            <v>43929</v>
          </cell>
          <cell r="I21">
            <v>2.5995012171174576E-2</v>
          </cell>
          <cell r="K21">
            <v>6.9320032456465473E-3</v>
          </cell>
          <cell r="L21">
            <v>2.9461013793997848E-2</v>
          </cell>
        </row>
        <row r="22">
          <cell r="A22">
            <v>43930</v>
          </cell>
          <cell r="I22">
            <v>2.662623763228477E-2</v>
          </cell>
          <cell r="K22">
            <v>7.1003300352759438E-3</v>
          </cell>
          <cell r="L22">
            <v>3.0176402649922742E-2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1" totalsRowShown="0" headerRowDxfId="23" dataDxfId="22" headerRowCellStyle="Heading 3">
  <autoFilter ref="A4:V31"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 dataCellStyle="Percent">
      <calculatedColumnFormula>Table2[[#This Row],[cases]]/$B$2</calculatedColumnFormula>
    </tableColumn>
    <tableColumn id="20" xr3:uid="{583731BA-1864-EF40-AEF7-A80834F00231}" name="% increase" dataDxfId="21">
      <calculatedColumnFormula>(Table2[[#This Row],[cases]]-B4)/B4</calculatedColumnFormula>
    </tableColumn>
    <tableColumn id="19" xr3:uid="{C3C6B808-3CB5-8B45-A4B9-4A6CDF5E27BE}" name="doubling time (days)" dataDxfId="20">
      <calculatedColumnFormula>(LN(2)/LN(B5/B4))</calculatedColumnFormula>
    </tableColumn>
    <tableColumn id="22" xr3:uid="{90069003-40F0-4A42-B540-85A67A611F36}" name="estimated infections" dataDxfId="19">
      <calculatedColumnFormula>Table2[[#This Row],[cases]]*100/$T$19</calculatedColumnFormula>
    </tableColumn>
    <tableColumn id="8" xr3:uid="{C899EFA6-17F8-B447-A1DB-6D7083A2F531}" name="infection count, low end of estimate range" dataDxfId="18">
      <calculatedColumnFormula>Table2[[#This Row],[cases]]*100/$T$13</calculatedColumnFormula>
    </tableColumn>
    <tableColumn id="9" xr3:uid="{9DA1C9E0-36F7-DE43-8448-4D8CE8B57839}" name="infection count, high end of estimate range" dataDxfId="17">
      <calculatedColumnFormula>Table2[[#This Row],[cases]]*100/$T$16</calculatedColumnFormula>
    </tableColumn>
    <tableColumn id="11" xr3:uid="{DF5E18EF-399D-9948-A8F2-9862C2232353}" name="infection count difference" dataDxfId="16">
      <calculatedColumnFormula>Table2[[#This Row],[infection count, high end of estimate range]]-Table2[[#This Row],[infection count, low end of estimate range]]</calculatedColumnFormula>
    </tableColumn>
    <tableColumn id="10" xr3:uid="{F5EF272D-BCCD-9A42-A437-406EF6A3644D}" name="average infection count" dataDxfId="5">
      <calculatedColumnFormula>(Table2[[#This Row],[infection count, low end of estimate range]]+Table2[[#This Row],[infection count, high end of estimate range]])/2</calculatedColumnFormula>
    </tableColumn>
    <tableColumn id="21" xr3:uid="{B5888CB3-C5F1-5841-B1D0-5A7380A5C5EF}" name="estimated infections as percentage" dataDxfId="3">
      <calculatedColumnFormula>Table2[[#This Row],[estimated infections]]/$T$6</calculatedColumnFormula>
    </tableColumn>
    <tableColumn id="12" xr3:uid="{8AB0CE19-F28B-1B41-B08C-6F528E4C628D}" name="infection percentage, low end of estimate range" dataDxfId="4">
      <calculatedColumnFormula>Table2[[#This Row],[infection count, low end of estimate range]]/$T$6</calculatedColumnFormula>
    </tableColumn>
    <tableColumn id="13" xr3:uid="{1109EB50-6E0E-5D49-923A-162321C9390D}" name="infection percentage, high end of estimate range" dataDxfId="15">
      <calculatedColumnFormula>Table2[[#This Row],[infection count, high end of estimate range]]/$T$6</calculatedColumnFormula>
    </tableColumn>
    <tableColumn id="14" xr3:uid="{238DA9D3-166B-A04A-B1CF-89D64E5C9BCE}" name="infection percentage difference" dataDxfId="14">
      <calculatedColumnFormula>Table2[[#This Row],[infection percentage, high end of estimate range]]-Table2[[#This Row],[infection percentage, low end of estimate range]]</calculatedColumnFormula>
    </tableColumn>
    <tableColumn id="15" xr3:uid="{DE45558E-71C3-0C4E-A3A2-8B967C3E17AB}" name="average infection percentage" dataDxfId="13">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12">
      <calculatedColumnFormula>$T$6/(Table2[[#This Row],[cases]]*5)</calculatedColumnFormula>
    </tableColumn>
    <tableColumn id="4" xr3:uid="{244EEAB7-EA2F-9142-A896-C40C6D4A9BE9}" name="1-in-X odds, estimating 7x cases infected" dataDxfId="11">
      <calculatedColumnFormula>$T$6/(Table2[[#This Row],[cases]]*7)</calculatedColumnFormula>
    </tableColumn>
    <tableColumn id="5" xr3:uid="{8F986CA1-2145-0B4C-AAAE-6153D0E4F495}" name="1-in-X odds difference" dataDxfId="10">
      <calculatedColumnFormula>Table2[[#This Row],[1-in-X odds, estimating 5x cases infected]]-Table2[[#This Row],[1-in-X odds, estimating 7x cases infected]]</calculatedColumnFormula>
    </tableColumn>
    <tableColumn id="6" xr3:uid="{A840ABA5-36ED-FF4A-9BD9-42132A34A0D4}" name="average 1-in-X odds" dataDxfId="9">
      <calculatedColumnFormula>(Table2[[#This Row],[1-in-X odds, estimating 5x cases infected]]+Table2[[#This Row],[1-in-X odds, estimating 7x cases infected]])/2</calculatedColumnFormula>
    </tableColumn>
    <tableColumn id="16" xr3:uid="{3F9CC5ED-74BF-8D4B-A8C4-40AA15D26E71}" name="constants" dataDxfId="8"/>
    <tableColumn id="17" xr3:uid="{B5DA71D5-91C3-F54E-9A79-5F7DD2472B6E}" name="computed" dataDxfId="7"/>
    <tableColumn id="18" xr3:uid="{22EA3CBE-6B18-9845-9A5C-8FD79B240D43}" name="Column1" dataDxfId="6"/>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29" sqref="L29"/>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tabSelected="1" zoomScaleNormal="100" workbookViewId="0">
      <selection activeCell="L32" sqref="L32"/>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L19" sqref="L19"/>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O26" sqref="O26"/>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zoomScaleNormal="100" workbookViewId="0">
      <selection activeCell="L25" sqref="L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M13" sqref="M13"/>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615</v>
      </c>
      <c r="D6" s="24"/>
      <c r="E6" s="17"/>
      <c r="F6" s="18"/>
      <c r="G6" s="82">
        <f ca="1">compute!U12</f>
        <v>5125</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compute!V44</f>
        <v>doubing in 52.9 days</v>
      </c>
      <c r="D8" s="44"/>
      <c r="E8" s="43"/>
      <c r="F8" s="46"/>
      <c r="G8" s="47" t="str">
        <f ca="1">compute!V46</f>
        <v>+1.3%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5.5877799341459693E-2</v>
      </c>
      <c r="D14" s="18"/>
      <c r="E14" s="17"/>
      <c r="F14" s="18"/>
      <c r="G14" s="19">
        <f ca="1">compute!U18</f>
        <v>25.565993031358886</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48"/>
  <sheetViews>
    <sheetView workbookViewId="0">
      <selection activeCell="B32" sqref="B32"/>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35</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46</v>
      </c>
      <c r="C6" s="71">
        <f>Table2[[#This Row],[cases]]/$B$2</f>
        <v>5.0153732091846751E-4</v>
      </c>
      <c r="D6" s="26">
        <f>(Table2[[#This Row],[cases]]-B5)/B5</f>
        <v>0.39393939393939392</v>
      </c>
      <c r="E6" s="38">
        <f t="shared" si="0"/>
        <v>2.0869514258092652</v>
      </c>
      <c r="F6" s="81">
        <f>Table2[[#This Row],[cases]]*100/$T$19</f>
        <v>383.33333333333331</v>
      </c>
      <c r="G6" s="56">
        <f>Table2[[#This Row],[cases]]*100/$T$13</f>
        <v>176.92307692307693</v>
      </c>
      <c r="H6" s="56">
        <f>Table2[[#This Row],[cases]]*100/$T$16</f>
        <v>418.18181818181819</v>
      </c>
      <c r="I6" s="56">
        <f>Table2[[#This Row],[infection count, high end of estimate range]]-Table2[[#This Row],[infection count, low end of estimate range]]</f>
        <v>241.25874125874125</v>
      </c>
      <c r="J6" s="56">
        <f>(Table2[[#This Row],[infection count, low end of estimate range]]+Table2[[#This Row],[infection count, high end of estimate range]])/2</f>
        <v>297.55244755244757</v>
      </c>
      <c r="K6" s="26">
        <f>Table2[[#This Row],[estimated infections]]/$T$6</f>
        <v>4.1794776743205621E-3</v>
      </c>
      <c r="L6" s="26">
        <f>Table2[[#This Row],[infection count, low end of estimate range]]/$T$6</f>
        <v>1.9289896958402596E-3</v>
      </c>
      <c r="M6" s="26">
        <f>Table2[[#This Row],[infection count, high end of estimate range]]/$T$6</f>
        <v>4.5594301901678864E-3</v>
      </c>
      <c r="N6" s="14">
        <f>Table2[[#This Row],[infection percentage, high end of estimate range]]-Table2[[#This Row],[infection percentage, low end of estimate range]]</f>
        <v>2.630440494327627E-3</v>
      </c>
      <c r="O6" s="26">
        <f>(Table2[[#This Row],[infection percentage, low end of estimate range]]+Table2[[#This Row],[infection percentage, high end of estimate range]])/2</f>
        <v>3.2442099430040729E-3</v>
      </c>
      <c r="P6" s="12">
        <f>$T$6/(Table2[[#This Row],[cases]]*5)</f>
        <v>398.77391304347827</v>
      </c>
      <c r="Q6" s="12">
        <f>$T$6/(Table2[[#This Row],[cases]]*7)</f>
        <v>284.83850931677017</v>
      </c>
      <c r="R6" s="3">
        <f>Table2[[#This Row],[1-in-X odds, estimating 5x cases infected]]-Table2[[#This Row],[1-in-X odds, estimating 7x cases infected]]</f>
        <v>113.9354037267081</v>
      </c>
      <c r="S6" s="3">
        <f>(Table2[[#This Row],[1-in-X odds, estimating 5x cases infected]]+Table2[[#This Row],[1-in-X odds, estimating 7x cases infected]])/2</f>
        <v>341.80621118012425</v>
      </c>
      <c r="T6" s="3">
        <f>B2</f>
        <v>91718</v>
      </c>
      <c r="U6" s="29">
        <f ca="1">OFFSET(compute!A5,COUNTA(compute!A5:A10009)-1,0)</f>
        <v>43939</v>
      </c>
      <c r="V6" s="3"/>
      <c r="X6" t="str">
        <f>"Number of Confirmed COVID-19 Cases " &amp; B1</f>
        <v>Number of Confirmed COVID-19 Cases Miami Beach</v>
      </c>
    </row>
    <row r="7" spans="1:24" x14ac:dyDescent="0.2">
      <c r="A7" s="8">
        <v>43915</v>
      </c>
      <c r="B7" s="9">
        <v>63</v>
      </c>
      <c r="C7" s="71">
        <f>Table2[[#This Row],[cases]]/$B$2</f>
        <v>6.8688806995355323E-4</v>
      </c>
      <c r="D7" s="26">
        <f>(Table2[[#This Row],[cases]]-B6)/B6</f>
        <v>0.36956521739130432</v>
      </c>
      <c r="E7" s="38">
        <f t="shared" si="0"/>
        <v>2.2040123419309841</v>
      </c>
      <c r="F7" s="81">
        <f>Table2[[#This Row],[cases]]*100/$T$19</f>
        <v>525</v>
      </c>
      <c r="G7" s="56">
        <f>Table2[[#This Row],[cases]]*100/$T$13</f>
        <v>242.30769230769232</v>
      </c>
      <c r="H7" s="56">
        <f>Table2[[#This Row],[cases]]*100/$T$16</f>
        <v>572.72727272727275</v>
      </c>
      <c r="I7" s="56">
        <f>Table2[[#This Row],[infection count, high end of estimate range]]-Table2[[#This Row],[infection count, low end of estimate range]]</f>
        <v>330.41958041958043</v>
      </c>
      <c r="J7" s="56">
        <f>(Table2[[#This Row],[infection count, low end of estimate range]]+Table2[[#This Row],[infection count, high end of estimate range]])/2</f>
        <v>407.51748251748256</v>
      </c>
      <c r="K7" s="26">
        <f>Table2[[#This Row],[estimated infections]]/$T$6</f>
        <v>5.7240672496129442E-3</v>
      </c>
      <c r="L7" s="26">
        <f>Table2[[#This Row],[infection count, low end of estimate range]]/$T$6</f>
        <v>2.6418771921290513E-3</v>
      </c>
      <c r="M7" s="26">
        <f>Table2[[#This Row],[infection count, high end of estimate range]]/$T$6</f>
        <v>6.2444369995777573E-3</v>
      </c>
      <c r="N7" s="14">
        <f>Table2[[#This Row],[infection percentage, high end of estimate range]]-Table2[[#This Row],[infection percentage, low end of estimate range]]</f>
        <v>3.602559807448706E-3</v>
      </c>
      <c r="O7" s="26">
        <f>(Table2[[#This Row],[infection percentage, low end of estimate range]]+Table2[[#This Row],[infection percentage, high end of estimate range]])/2</f>
        <v>4.4431570958534047E-3</v>
      </c>
      <c r="P7" s="12">
        <f>$T$6/(Table2[[#This Row],[cases]]*5)</f>
        <v>291.16825396825396</v>
      </c>
      <c r="Q7" s="12">
        <f>$T$6/(Table2[[#This Row],[cases]]*7)</f>
        <v>207.97732426303855</v>
      </c>
      <c r="R7" s="3">
        <f>Table2[[#This Row],[1-in-X odds, estimating 5x cases infected]]-Table2[[#This Row],[1-in-X odds, estimating 7x cases infected]]</f>
        <v>83.19092970521541</v>
      </c>
      <c r="S7" s="3">
        <f>(Table2[[#This Row],[1-in-X odds, estimating 5x cases infected]]+Table2[[#This Row],[1-in-X odds, estimating 7x cases infected]])/2</f>
        <v>249.57278911564626</v>
      </c>
      <c r="V7" s="3"/>
    </row>
    <row r="8" spans="1:24" x14ac:dyDescent="0.2">
      <c r="A8" s="8">
        <v>43916</v>
      </c>
      <c r="B8" s="9">
        <v>76</v>
      </c>
      <c r="C8" s="71">
        <f>Table2[[#This Row],[cases]]/$B$2</f>
        <v>8.2862687803920716E-4</v>
      </c>
      <c r="D8" s="26">
        <f>(Table2[[#This Row],[cases]]-B7)/B7</f>
        <v>0.20634920634920634</v>
      </c>
      <c r="E8" s="38">
        <f t="shared" si="0"/>
        <v>3.6948416950918879</v>
      </c>
      <c r="F8" s="81">
        <f>Table2[[#This Row],[cases]]*100/$T$19</f>
        <v>633.33333333333337</v>
      </c>
      <c r="G8" s="56">
        <f>Table2[[#This Row],[cases]]*100/$T$13</f>
        <v>292.30769230769232</v>
      </c>
      <c r="H8" s="56">
        <f>Table2[[#This Row],[cases]]*100/$T$16</f>
        <v>690.90909090909088</v>
      </c>
      <c r="I8" s="56">
        <f>Table2[[#This Row],[infection count, high end of estimate range]]-Table2[[#This Row],[infection count, low end of estimate range]]</f>
        <v>398.60139860139856</v>
      </c>
      <c r="J8" s="56">
        <f>(Table2[[#This Row],[infection count, low end of estimate range]]+Table2[[#This Row],[infection count, high end of estimate range]])/2</f>
        <v>491.60839160839157</v>
      </c>
      <c r="K8" s="26">
        <f>Table2[[#This Row],[estimated infections]]/$T$6</f>
        <v>6.9052239836600599E-3</v>
      </c>
      <c r="L8" s="26">
        <f>Table2[[#This Row],[infection count, low end of estimate range]]/$T$6</f>
        <v>3.1870264539969506E-3</v>
      </c>
      <c r="M8" s="26">
        <f>Table2[[#This Row],[infection count, high end of estimate range]]/$T$6</f>
        <v>7.5329716185382461E-3</v>
      </c>
      <c r="N8" s="14">
        <f>Table2[[#This Row],[infection percentage, high end of estimate range]]-Table2[[#This Row],[infection percentage, low end of estimate range]]</f>
        <v>4.3459451645412959E-3</v>
      </c>
      <c r="O8" s="26">
        <f>(Table2[[#This Row],[infection percentage, low end of estimate range]]+Table2[[#This Row],[infection percentage, high end of estimate range]])/2</f>
        <v>5.3599990362675981E-3</v>
      </c>
      <c r="P8" s="12">
        <f>$T$6/(Table2[[#This Row],[cases]]*5)</f>
        <v>241.36315789473684</v>
      </c>
      <c r="Q8" s="12">
        <f>$T$6/(Table2[[#This Row],[cases]]*7)</f>
        <v>172.40225563909775</v>
      </c>
      <c r="R8" s="3">
        <f>Table2[[#This Row],[1-in-X odds, estimating 5x cases infected]]-Table2[[#This Row],[1-in-X odds, estimating 7x cases infected]]</f>
        <v>68.960902255639098</v>
      </c>
      <c r="S8" s="3">
        <f>(Table2[[#This Row],[1-in-X odds, estimating 5x cases infected]]+Table2[[#This Row],[1-in-X odds, estimating 7x cases infected]])/2</f>
        <v>206.88270676691729</v>
      </c>
      <c r="T8" s="34" t="s">
        <v>33</v>
      </c>
      <c r="U8" s="34" t="s">
        <v>25</v>
      </c>
      <c r="V8" s="3"/>
    </row>
    <row r="9" spans="1:24" x14ac:dyDescent="0.2">
      <c r="A9" s="8">
        <v>43917</v>
      </c>
      <c r="B9" s="9">
        <v>90</v>
      </c>
      <c r="C9" s="71">
        <f>Table2[[#This Row],[cases]]/$B$2</f>
        <v>9.8126867136221906E-4</v>
      </c>
      <c r="D9" s="26">
        <f>(Table2[[#This Row],[cases]]-B8)/B8</f>
        <v>0.18421052631578946</v>
      </c>
      <c r="E9" s="38">
        <f t="shared" si="0"/>
        <v>4.0996109885980694</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evening</v>
      </c>
      <c r="U9" s="3">
        <f ca="1">OFFSET(compute!B4,COUNTA(compute!B4:B10009)-1,0)</f>
        <v>615</v>
      </c>
      <c r="V9" s="3"/>
    </row>
    <row r="10" spans="1:24" x14ac:dyDescent="0.2">
      <c r="A10" s="8">
        <v>43918</v>
      </c>
      <c r="B10" s="9">
        <v>118</v>
      </c>
      <c r="C10" s="71">
        <f>Table2[[#This Row],[cases]]/$B$2</f>
        <v>1.2865522580082426E-3</v>
      </c>
      <c r="D10" s="26">
        <f>(Table2[[#This Row],[cases]]-B9)/B9</f>
        <v>0.31111111111111112</v>
      </c>
      <c r="E10" s="38">
        <f t="shared" si="0"/>
        <v>2.55891942011541</v>
      </c>
      <c r="F10" s="81">
        <f>Table2[[#This Row],[cases]]*100/$T$19</f>
        <v>983.33333333333337</v>
      </c>
      <c r="G10" s="56">
        <f>Table2[[#This Row],[cases]]*100/$T$13</f>
        <v>453.84615384615387</v>
      </c>
      <c r="H10" s="56">
        <f>Table2[[#This Row],[cases]]*100/$T$16</f>
        <v>1072.7272727272727</v>
      </c>
      <c r="I10" s="56">
        <f>Table2[[#This Row],[infection count, high end of estimate range]]-Table2[[#This Row],[infection count, low end of estimate range]]</f>
        <v>618.88111888111894</v>
      </c>
      <c r="J10" s="56">
        <f>(Table2[[#This Row],[infection count, low end of estimate range]]+Table2[[#This Row],[infection count, high end of estimate range]])/2</f>
        <v>763.28671328671328</v>
      </c>
      <c r="K10" s="26">
        <f>Table2[[#This Row],[estimated infections]]/$T$6</f>
        <v>1.0721268816735356E-2</v>
      </c>
      <c r="L10" s="26">
        <f>Table2[[#This Row],[infection count, low end of estimate range]]/$T$6</f>
        <v>4.9482779154163183E-3</v>
      </c>
      <c r="M10" s="26">
        <f>Table2[[#This Row],[infection count, high end of estimate range]]/$T$6</f>
        <v>1.1695929618256752E-2</v>
      </c>
      <c r="N10" s="14">
        <f>Table2[[#This Row],[infection percentage, high end of estimate range]]-Table2[[#This Row],[infection percentage, low end of estimate range]]</f>
        <v>6.7476517028404338E-3</v>
      </c>
      <c r="O10" s="26">
        <f>(Table2[[#This Row],[infection percentage, low end of estimate range]]+Table2[[#This Row],[infection percentage, high end of estimate range]])/2</f>
        <v>8.3221037668365361E-3</v>
      </c>
      <c r="P10" s="12">
        <f>$T$6/(Table2[[#This Row],[cases]]*5)</f>
        <v>155.4542372881356</v>
      </c>
      <c r="Q10" s="12">
        <f>$T$6/(Table2[[#This Row],[cases]]*7)</f>
        <v>111.03874092009686</v>
      </c>
      <c r="R10" s="3">
        <f>Table2[[#This Row],[1-in-X odds, estimating 5x cases infected]]-Table2[[#This Row],[1-in-X odds, estimating 7x cases infected]]</f>
        <v>44.415496368038745</v>
      </c>
      <c r="S10" s="3">
        <f>(Table2[[#This Row],[1-in-X odds, estimating 5x cases infected]]+Table2[[#This Row],[1-in-X odds, estimating 7x cases infected]])/2</f>
        <v>133.24648910411622</v>
      </c>
      <c r="V10" s="3"/>
    </row>
    <row r="11" spans="1:24" x14ac:dyDescent="0.2">
      <c r="A11" s="8">
        <v>43919</v>
      </c>
      <c r="B11" s="9">
        <v>160</v>
      </c>
      <c r="C11" s="71">
        <f>Table2[[#This Row],[cases]]/$B$2</f>
        <v>1.7444776379772781E-3</v>
      </c>
      <c r="D11" s="26">
        <f>(Table2[[#This Row],[cases]]-B10)/B10</f>
        <v>0.3559322033898305</v>
      </c>
      <c r="E11" s="38">
        <f t="shared" si="0"/>
        <v>2.276426229815518</v>
      </c>
      <c r="F11" s="81">
        <f>Table2[[#This Row],[cases]]*100/$T$19</f>
        <v>1333.3333333333333</v>
      </c>
      <c r="G11" s="56">
        <f>Table2[[#This Row],[cases]]*100/$T$13</f>
        <v>615.38461538461536</v>
      </c>
      <c r="H11" s="56">
        <f>Table2[[#This Row],[cases]]*100/$T$16</f>
        <v>1454.5454545454545</v>
      </c>
      <c r="I11" s="56">
        <f>Table2[[#This Row],[infection count, high end of estimate range]]-Table2[[#This Row],[infection count, low end of estimate range]]</f>
        <v>839.16083916083915</v>
      </c>
      <c r="J11" s="56">
        <f>(Table2[[#This Row],[infection count, low end of estimate range]]+Table2[[#This Row],[infection count, high end of estimate range]])/2</f>
        <v>1034.9650349650349</v>
      </c>
      <c r="K11" s="26">
        <f>Table2[[#This Row],[estimated infections]]/$T$6</f>
        <v>1.4537313649810651E-2</v>
      </c>
      <c r="L11" s="26">
        <f>Table2[[#This Row],[infection count, low end of estimate range]]/$T$6</f>
        <v>6.7095293768356847E-3</v>
      </c>
      <c r="M11" s="26">
        <f>Table2[[#This Row],[infection count, high end of estimate range]]/$T$6</f>
        <v>1.5858887617975256E-2</v>
      </c>
      <c r="N11" s="14">
        <f>Table2[[#This Row],[infection percentage, high end of estimate range]]-Table2[[#This Row],[infection percentage, low end of estimate range]]</f>
        <v>9.1493582411395716E-3</v>
      </c>
      <c r="O11" s="26">
        <f>(Table2[[#This Row],[infection percentage, low end of estimate range]]+Table2[[#This Row],[infection percentage, high end of estimate range]])/2</f>
        <v>1.1284208497405471E-2</v>
      </c>
      <c r="P11" s="12">
        <f>$T$6/(Table2[[#This Row],[cases]]*5)</f>
        <v>114.64749999999999</v>
      </c>
      <c r="Q11" s="12">
        <f>$T$6/(Table2[[#This Row],[cases]]*7)</f>
        <v>81.891071428571422</v>
      </c>
      <c r="R11" s="3">
        <f>Table2[[#This Row],[1-in-X odds, estimating 5x cases infected]]-Table2[[#This Row],[1-in-X odds, estimating 7x cases infected]]</f>
        <v>32.756428571428572</v>
      </c>
      <c r="S11" s="3">
        <f>(Table2[[#This Row],[1-in-X odds, estimating 5x cases infected]]+Table2[[#This Row],[1-in-X odds, estimating 7x cases infected]])/2</f>
        <v>98.269285714285701</v>
      </c>
      <c r="T11" s="3" t="s">
        <v>36</v>
      </c>
      <c r="U11" s="34" t="s">
        <v>27</v>
      </c>
      <c r="V11" s="3"/>
    </row>
    <row r="12" spans="1:24" x14ac:dyDescent="0.2">
      <c r="A12" s="8">
        <v>43920</v>
      </c>
      <c r="B12" s="9">
        <v>197</v>
      </c>
      <c r="C12" s="71">
        <f>Table2[[#This Row],[cases]]/$B$2</f>
        <v>2.1478880917595237E-3</v>
      </c>
      <c r="D12" s="26">
        <f>(Table2[[#This Row],[cases]]-B11)/B11</f>
        <v>0.23125000000000001</v>
      </c>
      <c r="E12" s="38">
        <f t="shared" si="0"/>
        <v>3.3319591826205279</v>
      </c>
      <c r="F12" s="81">
        <f>Table2[[#This Row],[cases]]*100/$T$19</f>
        <v>1641.6666666666667</v>
      </c>
      <c r="G12" s="56">
        <f>Table2[[#This Row],[cases]]*100/$T$13</f>
        <v>757.69230769230774</v>
      </c>
      <c r="H12" s="56">
        <f>Table2[[#This Row],[cases]]*100/$T$16</f>
        <v>1790.909090909091</v>
      </c>
      <c r="I12" s="56">
        <f>Table2[[#This Row],[infection count, high end of estimate range]]-Table2[[#This Row],[infection count, low end of estimate range]]</f>
        <v>1033.2167832167834</v>
      </c>
      <c r="J12" s="56">
        <f>(Table2[[#This Row],[infection count, low end of estimate range]]+Table2[[#This Row],[infection count, high end of estimate range]])/2</f>
        <v>1274.3006993006993</v>
      </c>
      <c r="K12" s="26">
        <f>Table2[[#This Row],[estimated infections]]/$T$6</f>
        <v>1.7899067431329366E-2</v>
      </c>
      <c r="L12" s="26">
        <f>Table2[[#This Row],[infection count, low end of estimate range]]/$T$6</f>
        <v>8.2611080452289383E-3</v>
      </c>
      <c r="M12" s="26">
        <f>Table2[[#This Row],[infection count, high end of estimate range]]/$T$6</f>
        <v>1.9526255379632033E-2</v>
      </c>
      <c r="N12" s="14">
        <f>Table2[[#This Row],[infection percentage, high end of estimate range]]-Table2[[#This Row],[infection percentage, low end of estimate range]]</f>
        <v>1.1265147334403095E-2</v>
      </c>
      <c r="O12" s="26">
        <f>(Table2[[#This Row],[infection percentage, low end of estimate range]]+Table2[[#This Row],[infection percentage, high end of estimate range]])/2</f>
        <v>1.3893681712430486E-2</v>
      </c>
      <c r="P12" s="12">
        <f>$T$6/(Table2[[#This Row],[cases]]*5)</f>
        <v>93.114720812182739</v>
      </c>
      <c r="Q12" s="12">
        <f>$T$6/(Table2[[#This Row],[cases]]*7)</f>
        <v>66.510514865844812</v>
      </c>
      <c r="R12" s="3">
        <f>Table2[[#This Row],[1-in-X odds, estimating 5x cases infected]]-Table2[[#This Row],[1-in-X odds, estimating 7x cases infected]]</f>
        <v>26.604205946337927</v>
      </c>
      <c r="S12" s="3">
        <f>(Table2[[#This Row],[1-in-X odds, estimating 5x cases infected]]+Table2[[#This Row],[1-in-X odds, estimating 7x cases infected]])/2</f>
        <v>79.812617839013768</v>
      </c>
      <c r="T12" s="34" t="s">
        <v>37</v>
      </c>
      <c r="U12" s="35">
        <f ca="1">OFFSET(compute!F4,COUNTA(compute!F:F)-1,0)</f>
        <v>5125</v>
      </c>
      <c r="V12" s="3"/>
    </row>
    <row r="13" spans="1:24" x14ac:dyDescent="0.2">
      <c r="A13" s="8">
        <v>43921</v>
      </c>
      <c r="B13" s="9">
        <v>238</v>
      </c>
      <c r="C13" s="71">
        <f>Table2[[#This Row],[cases]]/$B$2</f>
        <v>2.5949104864912012E-3</v>
      </c>
      <c r="D13" s="26">
        <f>(Table2[[#This Row],[cases]]-B12)/B12</f>
        <v>0.20812182741116753</v>
      </c>
      <c r="E13" s="38">
        <f t="shared" si="0"/>
        <v>3.6661468285944667</v>
      </c>
      <c r="F13" s="81">
        <f>Table2[[#This Row],[cases]]*100/$T$19</f>
        <v>1983.3333333333333</v>
      </c>
      <c r="G13" s="56">
        <f>Table2[[#This Row],[cases]]*100/$T$13</f>
        <v>915.38461538461536</v>
      </c>
      <c r="H13" s="56">
        <f>Table2[[#This Row],[cases]]*100/$T$16</f>
        <v>2163.6363636363635</v>
      </c>
      <c r="I13" s="56">
        <f>Table2[[#This Row],[infection count, high end of estimate range]]-Table2[[#This Row],[infection count, low end of estimate range]]</f>
        <v>1248.2517482517483</v>
      </c>
      <c r="J13" s="56">
        <f>(Table2[[#This Row],[infection count, low end of estimate range]]+Table2[[#This Row],[infection count, high end of estimate range]])/2</f>
        <v>1539.5104895104894</v>
      </c>
      <c r="K13" s="26">
        <f>Table2[[#This Row],[estimated infections]]/$T$6</f>
        <v>2.1624254054093343E-2</v>
      </c>
      <c r="L13" s="26">
        <f>Table2[[#This Row],[infection count, low end of estimate range]]/$T$6</f>
        <v>9.9804249480430814E-3</v>
      </c>
      <c r="M13" s="26">
        <f>Table2[[#This Row],[infection count, high end of estimate range]]/$T$6</f>
        <v>2.3590095331738191E-2</v>
      </c>
      <c r="N13" s="14">
        <f>Table2[[#This Row],[infection percentage, high end of estimate range]]-Table2[[#This Row],[infection percentage, low end of estimate range]]</f>
        <v>1.3609670383695109E-2</v>
      </c>
      <c r="O13" s="26">
        <f>(Table2[[#This Row],[infection percentage, low end of estimate range]]+Table2[[#This Row],[infection percentage, high end of estimate range]])/2</f>
        <v>1.6785260139890637E-2</v>
      </c>
      <c r="P13" s="12">
        <f>$T$6/(Table2[[#This Row],[cases]]*5)</f>
        <v>77.073949579831933</v>
      </c>
      <c r="Q13" s="12">
        <f>$T$6/(Table2[[#This Row],[cases]]*7)</f>
        <v>55.052821128451377</v>
      </c>
      <c r="R13" s="3">
        <f>Table2[[#This Row],[1-in-X odds, estimating 5x cases infected]]-Table2[[#This Row],[1-in-X odds, estimating 7x cases infected]]</f>
        <v>22.021128451380555</v>
      </c>
      <c r="S13" s="3">
        <f>(Table2[[#This Row],[1-in-X odds, estimating 5x cases infected]]+Table2[[#This Row],[1-in-X odds, estimating 7x cases infected]])/2</f>
        <v>66.063385354141658</v>
      </c>
      <c r="T13" s="3">
        <v>26</v>
      </c>
      <c r="V13" s="3"/>
    </row>
    <row r="14" spans="1:24" x14ac:dyDescent="0.2">
      <c r="A14" s="8">
        <v>43922</v>
      </c>
      <c r="B14" s="9">
        <v>266</v>
      </c>
      <c r="C14" s="71">
        <f>Table2[[#This Row],[cases]]/$B$2</f>
        <v>2.900194073137225E-3</v>
      </c>
      <c r="D14" s="26">
        <f>(Table2[[#This Row],[cases]]-B13)/B13</f>
        <v>0.11764705882352941</v>
      </c>
      <c r="E14" s="38">
        <f t="shared" si="0"/>
        <v>6.2319013047040608</v>
      </c>
      <c r="F14" s="81">
        <f>Table2[[#This Row],[cases]]*100/$T$19</f>
        <v>2216.6666666666665</v>
      </c>
      <c r="G14" s="56">
        <f>Table2[[#This Row],[cases]]*100/$T$13</f>
        <v>1023.0769230769231</v>
      </c>
      <c r="H14" s="56">
        <f>Table2[[#This Row],[cases]]*100/$T$16</f>
        <v>2418.181818181818</v>
      </c>
      <c r="I14" s="56">
        <f>Table2[[#This Row],[infection count, high end of estimate range]]-Table2[[#This Row],[infection count, low end of estimate range]]</f>
        <v>1395.1048951048949</v>
      </c>
      <c r="J14" s="56">
        <f>(Table2[[#This Row],[infection count, low end of estimate range]]+Table2[[#This Row],[infection count, high end of estimate range]])/2</f>
        <v>1720.6293706293704</v>
      </c>
      <c r="K14" s="26">
        <f>Table2[[#This Row],[estimated infections]]/$T$6</f>
        <v>2.4168283942810207E-2</v>
      </c>
      <c r="L14" s="26">
        <f>Table2[[#This Row],[infection count, low end of estimate range]]/$T$6</f>
        <v>1.1154592588989327E-2</v>
      </c>
      <c r="M14" s="26">
        <f>Table2[[#This Row],[infection count, high end of estimate range]]/$T$6</f>
        <v>2.636540066488386E-2</v>
      </c>
      <c r="N14" s="14">
        <f>Table2[[#This Row],[infection percentage, high end of estimate range]]-Table2[[#This Row],[infection percentage, low end of estimate range]]</f>
        <v>1.5210808075894533E-2</v>
      </c>
      <c r="O14" s="26">
        <f>(Table2[[#This Row],[infection percentage, low end of estimate range]]+Table2[[#This Row],[infection percentage, high end of estimate range]])/2</f>
        <v>1.8759996626936594E-2</v>
      </c>
      <c r="P14" s="12">
        <f>$T$6/(Table2[[#This Row],[cases]]*5)</f>
        <v>68.960902255639098</v>
      </c>
      <c r="Q14" s="12">
        <f>$T$6/(Table2[[#This Row],[cases]]*7)</f>
        <v>49.257787325456498</v>
      </c>
      <c r="R14" s="3">
        <f>Table2[[#This Row],[1-in-X odds, estimating 5x cases infected]]-Table2[[#This Row],[1-in-X odds, estimating 7x cases infected]]</f>
        <v>19.703114930182601</v>
      </c>
      <c r="S14" s="3">
        <f>(Table2[[#This Row],[1-in-X odds, estimating 5x cases infected]]+Table2[[#This Row],[1-in-X odds, estimating 7x cases infected]])/2</f>
        <v>59.109344790547794</v>
      </c>
      <c r="U14" s="34" t="s">
        <v>28</v>
      </c>
      <c r="V14" s="3"/>
    </row>
    <row r="15" spans="1:24" x14ac:dyDescent="0.2">
      <c r="A15" s="8">
        <v>43923</v>
      </c>
      <c r="B15" s="9">
        <v>294</v>
      </c>
      <c r="C15" s="71">
        <f>Table2[[#This Row],[cases]]/$B$2</f>
        <v>3.2054776597832488E-3</v>
      </c>
      <c r="D15" s="26">
        <f>(Table2[[#This Row],[cases]]-B14)/B14</f>
        <v>0.10526315789473684</v>
      </c>
      <c r="E15" s="38">
        <f t="shared" si="0"/>
        <v>6.9256917232261834</v>
      </c>
      <c r="F15" s="81">
        <f>Table2[[#This Row],[cases]]*100/$T$19</f>
        <v>2450</v>
      </c>
      <c r="G15" s="56">
        <f>Table2[[#This Row],[cases]]*100/$T$13</f>
        <v>1130.7692307692307</v>
      </c>
      <c r="H15" s="56">
        <f>Table2[[#This Row],[cases]]*100/$T$16</f>
        <v>2672.7272727272725</v>
      </c>
      <c r="I15" s="56">
        <f>Table2[[#This Row],[infection count, high end of estimate range]]-Table2[[#This Row],[infection count, low end of estimate range]]</f>
        <v>1541.9580419580418</v>
      </c>
      <c r="J15" s="56">
        <f>(Table2[[#This Row],[infection count, low end of estimate range]]+Table2[[#This Row],[infection count, high end of estimate range]])/2</f>
        <v>1901.7482517482517</v>
      </c>
      <c r="K15" s="26">
        <f>Table2[[#This Row],[estimated infections]]/$T$6</f>
        <v>2.6712313831527071E-2</v>
      </c>
      <c r="L15" s="26">
        <f>Table2[[#This Row],[infection count, low end of estimate range]]/$T$6</f>
        <v>1.2328760229935572E-2</v>
      </c>
      <c r="M15" s="26">
        <f>Table2[[#This Row],[infection count, high end of estimate range]]/$T$6</f>
        <v>2.914070599802953E-2</v>
      </c>
      <c r="N15" s="14">
        <f>Table2[[#This Row],[infection percentage, high end of estimate range]]-Table2[[#This Row],[infection percentage, low end of estimate range]]</f>
        <v>1.6811945768093958E-2</v>
      </c>
      <c r="O15" s="26">
        <f>(Table2[[#This Row],[infection percentage, low end of estimate range]]+Table2[[#This Row],[infection percentage, high end of estimate range]])/2</f>
        <v>2.0734733113982551E-2</v>
      </c>
      <c r="P15" s="12">
        <f>$T$6/(Table2[[#This Row],[cases]]*5)</f>
        <v>62.393197278911565</v>
      </c>
      <c r="Q15" s="12">
        <f>$T$6/(Table2[[#This Row],[cases]]*7)</f>
        <v>44.566569484936835</v>
      </c>
      <c r="R15" s="3">
        <f>Table2[[#This Row],[1-in-X odds, estimating 5x cases infected]]-Table2[[#This Row],[1-in-X odds, estimating 7x cases infected]]</f>
        <v>17.82662779397473</v>
      </c>
      <c r="S15" s="3">
        <f>(Table2[[#This Row],[1-in-X odds, estimating 5x cases infected]]+Table2[[#This Row],[1-in-X odds, estimating 7x cases infected]])/2</f>
        <v>53.479883381924196</v>
      </c>
      <c r="T15" s="34" t="s">
        <v>38</v>
      </c>
      <c r="U15" s="27">
        <f ca="1">OFFSET(compute!K4,COUNTA(compute!K:K)-1,0)</f>
        <v>5.5877799341459693E-2</v>
      </c>
      <c r="V15" s="3"/>
    </row>
    <row r="16" spans="1:24" x14ac:dyDescent="0.2">
      <c r="A16" s="8">
        <v>43924</v>
      </c>
      <c r="B16" s="9">
        <v>310</v>
      </c>
      <c r="C16" s="71">
        <f>Table2[[#This Row],[cases]]/$B$2</f>
        <v>3.3799254235809765E-3</v>
      </c>
      <c r="D16" s="26">
        <f>(Table2[[#This Row],[cases]]-B15)/B15</f>
        <v>5.4421768707482991E-2</v>
      </c>
      <c r="E16" s="38">
        <f t="shared" si="0"/>
        <v>13.080092207751859</v>
      </c>
      <c r="F16" s="81">
        <f>Table2[[#This Row],[cases]]*100/$T$19</f>
        <v>2583.3333333333335</v>
      </c>
      <c r="G16" s="56">
        <f>Table2[[#This Row],[cases]]*100/$T$13</f>
        <v>1192.3076923076924</v>
      </c>
      <c r="H16" s="56">
        <f>Table2[[#This Row],[cases]]*100/$T$16</f>
        <v>2818.181818181818</v>
      </c>
      <c r="I16" s="56">
        <f>Table2[[#This Row],[infection count, high end of estimate range]]-Table2[[#This Row],[infection count, low end of estimate range]]</f>
        <v>1625.8741258741256</v>
      </c>
      <c r="J16" s="56">
        <f>(Table2[[#This Row],[infection count, low end of estimate range]]+Table2[[#This Row],[infection count, high end of estimate range]])/2</f>
        <v>2005.2447552447552</v>
      </c>
      <c r="K16" s="26">
        <f>Table2[[#This Row],[estimated infections]]/$T$6</f>
        <v>2.816604519650814E-2</v>
      </c>
      <c r="L16" s="26">
        <f>Table2[[#This Row],[infection count, low end of estimate range]]/$T$6</f>
        <v>1.299971316761914E-2</v>
      </c>
      <c r="M16" s="26">
        <f>Table2[[#This Row],[infection count, high end of estimate range]]/$T$6</f>
        <v>3.0726594759827058E-2</v>
      </c>
      <c r="N16" s="14">
        <f>Table2[[#This Row],[infection percentage, high end of estimate range]]-Table2[[#This Row],[infection percentage, low end of estimate range]]</f>
        <v>1.7726881592207918E-2</v>
      </c>
      <c r="O16" s="26">
        <f>(Table2[[#This Row],[infection percentage, low end of estimate range]]+Table2[[#This Row],[infection percentage, high end of estimate range]])/2</f>
        <v>2.1863153963723098E-2</v>
      </c>
      <c r="P16" s="12">
        <f>$T$6/(Table2[[#This Row],[cases]]*5)</f>
        <v>59.172903225806451</v>
      </c>
      <c r="Q16" s="12">
        <f>$T$6/(Table2[[#This Row],[cases]]*7)</f>
        <v>42.266359447004611</v>
      </c>
      <c r="R16" s="3">
        <f>Table2[[#This Row],[1-in-X odds, estimating 5x cases infected]]-Table2[[#This Row],[1-in-X odds, estimating 7x cases infected]]</f>
        <v>16.90654377880184</v>
      </c>
      <c r="S16" s="3">
        <f>(Table2[[#This Row],[1-in-X odds, estimating 5x cases infected]]+Table2[[#This Row],[1-in-X odds, estimating 7x cases infected]])/2</f>
        <v>50.719631336405527</v>
      </c>
      <c r="T16" s="3">
        <v>11</v>
      </c>
      <c r="V16" s="3"/>
    </row>
    <row r="17" spans="1:22" x14ac:dyDescent="0.2">
      <c r="A17" s="8">
        <v>43925</v>
      </c>
      <c r="B17" s="9">
        <v>347</v>
      </c>
      <c r="C17" s="71">
        <f>Table2[[#This Row],[cases]]/$B$2</f>
        <v>3.7833358773632221E-3</v>
      </c>
      <c r="D17" s="26">
        <f>(Table2[[#This Row],[cases]]-B16)/B16</f>
        <v>0.11935483870967742</v>
      </c>
      <c r="E17" s="38">
        <f t="shared" si="0"/>
        <v>6.1475114816980732</v>
      </c>
      <c r="F17" s="81">
        <f>Table2[[#This Row],[cases]]*100/$T$19</f>
        <v>2891.6666666666665</v>
      </c>
      <c r="G17" s="56">
        <f>Table2[[#This Row],[cases]]*100/$T$13</f>
        <v>1334.6153846153845</v>
      </c>
      <c r="H17" s="56">
        <f>Table2[[#This Row],[cases]]*100/$T$16</f>
        <v>3154.5454545454545</v>
      </c>
      <c r="I17" s="56">
        <f>Table2[[#This Row],[infection count, high end of estimate range]]-Table2[[#This Row],[infection count, low end of estimate range]]</f>
        <v>1819.93006993007</v>
      </c>
      <c r="J17" s="56">
        <f>(Table2[[#This Row],[infection count, low end of estimate range]]+Table2[[#This Row],[infection count, high end of estimate range]])/2</f>
        <v>2244.5804195804194</v>
      </c>
      <c r="K17" s="26">
        <f>Table2[[#This Row],[estimated infections]]/$T$6</f>
        <v>3.152779897802685E-2</v>
      </c>
      <c r="L17" s="26">
        <f>Table2[[#This Row],[infection count, low end of estimate range]]/$T$6</f>
        <v>1.4551291836012392E-2</v>
      </c>
      <c r="M17" s="26">
        <f>Table2[[#This Row],[infection count, high end of estimate range]]/$T$6</f>
        <v>3.4393962521483835E-2</v>
      </c>
      <c r="N17" s="14">
        <f>Table2[[#This Row],[infection percentage, high end of estimate range]]-Table2[[#This Row],[infection percentage, low end of estimate range]]</f>
        <v>1.9842670685471443E-2</v>
      </c>
      <c r="O17" s="26">
        <f>(Table2[[#This Row],[infection percentage, low end of estimate range]]+Table2[[#This Row],[infection percentage, high end of estimate range]])/2</f>
        <v>2.4472627178748114E-2</v>
      </c>
      <c r="P17" s="12">
        <f>$T$6/(Table2[[#This Row],[cases]]*5)</f>
        <v>52.863400576368875</v>
      </c>
      <c r="Q17" s="12">
        <f>$T$6/(Table2[[#This Row],[cases]]*7)</f>
        <v>37.759571840263483</v>
      </c>
      <c r="R17" s="3">
        <f>Table2[[#This Row],[1-in-X odds, estimating 5x cases infected]]-Table2[[#This Row],[1-in-X odds, estimating 7x cases infected]]</f>
        <v>15.103828736105392</v>
      </c>
      <c r="S17" s="3">
        <f>(Table2[[#This Row],[1-in-X odds, estimating 5x cases infected]]+Table2[[#This Row],[1-in-X odds, estimating 7x cases infected]])/2</f>
        <v>45.311486208316182</v>
      </c>
      <c r="U17" s="34" t="s">
        <v>29</v>
      </c>
      <c r="V17" s="3"/>
    </row>
    <row r="18" spans="1:22" x14ac:dyDescent="0.2">
      <c r="A18" s="8">
        <v>43926</v>
      </c>
      <c r="B18" s="9">
        <v>365</v>
      </c>
      <c r="C18" s="71">
        <f>Table2[[#This Row],[cases]]/$B$2</f>
        <v>3.9795896116356661E-3</v>
      </c>
      <c r="D18" s="26">
        <f>(Table2[[#This Row],[cases]]-B17)/B17</f>
        <v>5.1873198847262249E-2</v>
      </c>
      <c r="E18" s="38">
        <f t="shared" si="0"/>
        <v>13.705989842517504</v>
      </c>
      <c r="F18" s="81">
        <f>Table2[[#This Row],[cases]]*100/$T$19</f>
        <v>3041.6666666666665</v>
      </c>
      <c r="G18" s="56">
        <f>Table2[[#This Row],[cases]]*100/$T$13</f>
        <v>1403.8461538461538</v>
      </c>
      <c r="H18" s="56">
        <f>Table2[[#This Row],[cases]]*100/$T$16</f>
        <v>3318.181818181818</v>
      </c>
      <c r="I18" s="56">
        <f>Table2[[#This Row],[infection count, high end of estimate range]]-Table2[[#This Row],[infection count, low end of estimate range]]</f>
        <v>1914.3356643356642</v>
      </c>
      <c r="J18" s="56">
        <f>(Table2[[#This Row],[infection count, low end of estimate range]]+Table2[[#This Row],[infection count, high end of estimate range]])/2</f>
        <v>2361.0139860139861</v>
      </c>
      <c r="K18" s="26">
        <f>Table2[[#This Row],[estimated infections]]/$T$6</f>
        <v>3.3163246763630548E-2</v>
      </c>
      <c r="L18" s="26">
        <f>Table2[[#This Row],[infection count, low end of estimate range]]/$T$6</f>
        <v>1.5306113890906407E-2</v>
      </c>
      <c r="M18" s="26">
        <f>Table2[[#This Row],[infection count, high end of estimate range]]/$T$6</f>
        <v>3.6178087378506051E-2</v>
      </c>
      <c r="N18" s="14">
        <f>Table2[[#This Row],[infection percentage, high end of estimate range]]-Table2[[#This Row],[infection percentage, low end of estimate range]]</f>
        <v>2.0871973487599643E-2</v>
      </c>
      <c r="O18" s="26">
        <f>(Table2[[#This Row],[infection percentage, low end of estimate range]]+Table2[[#This Row],[infection percentage, high end of estimate range]])/2</f>
        <v>2.5742100634706229E-2</v>
      </c>
      <c r="P18" s="12">
        <f>$T$6/(Table2[[#This Row],[cases]]*5)</f>
        <v>50.256438356164381</v>
      </c>
      <c r="Q18" s="12">
        <f>$T$6/(Table2[[#This Row],[cases]]*7)</f>
        <v>35.897455968688845</v>
      </c>
      <c r="R18" s="3">
        <f>Table2[[#This Row],[1-in-X odds, estimating 5x cases infected]]-Table2[[#This Row],[1-in-X odds, estimating 7x cases infected]]</f>
        <v>14.358982387475535</v>
      </c>
      <c r="S18" s="3">
        <f>(Table2[[#This Row],[1-in-X odds, estimating 5x cases infected]]+Table2[[#This Row],[1-in-X odds, estimating 7x cases infected]])/2</f>
        <v>43.076947162426613</v>
      </c>
      <c r="T18" s="34" t="s">
        <v>59</v>
      </c>
      <c r="U18" s="3">
        <f ca="1">OFFSET(compute!S4,COUNTA(compute!S:S)-1,0)</f>
        <v>25.565993031358886</v>
      </c>
      <c r="V18" s="3"/>
    </row>
    <row r="19" spans="1:22" x14ac:dyDescent="0.2">
      <c r="A19" s="8">
        <v>43927</v>
      </c>
      <c r="B19" s="9">
        <v>396</v>
      </c>
      <c r="C19" s="71">
        <f>Table2[[#This Row],[cases]]/$B$2</f>
        <v>4.3175821539937634E-3</v>
      </c>
      <c r="D19" s="26">
        <f>(Table2[[#This Row],[cases]]-B18)/B18</f>
        <v>8.4931506849315067E-2</v>
      </c>
      <c r="E19" s="38">
        <f t="shared" si="0"/>
        <v>8.5031145747675918</v>
      </c>
      <c r="F19" s="81">
        <f>Table2[[#This Row],[cases]]*100/$T$19</f>
        <v>3300</v>
      </c>
      <c r="G19" s="35">
        <f>Table2[[#This Row],[cases]]*100/$T$13</f>
        <v>1523.0769230769231</v>
      </c>
      <c r="H19" s="35">
        <f>Table2[[#This Row],[cases]]*100/$T$16</f>
        <v>3600</v>
      </c>
      <c r="I19" s="35">
        <f>Table2[[#This Row],[infection count, high end of estimate range]]-Table2[[#This Row],[infection count, low end of estimate range]]</f>
        <v>2076.9230769230771</v>
      </c>
      <c r="J19" s="35">
        <f>(Table2[[#This Row],[infection count, low end of estimate range]]+Table2[[#This Row],[infection count, high end of estimate range]])/2</f>
        <v>2561.5384615384614</v>
      </c>
      <c r="K19" s="26">
        <f>Table2[[#This Row],[estimated infections]]/$T$6</f>
        <v>3.5979851283281364E-2</v>
      </c>
      <c r="L19" s="27">
        <f>Table2[[#This Row],[infection count, low end of estimate range]]/$T$6</f>
        <v>1.660608520766832E-2</v>
      </c>
      <c r="M19" s="26">
        <f>Table2[[#This Row],[infection count, high end of estimate range]]/$T$6</f>
        <v>3.9250746854488761E-2</v>
      </c>
      <c r="N19" s="15">
        <f>Table2[[#This Row],[infection percentage, high end of estimate range]]-Table2[[#This Row],[infection percentage, low end of estimate range]]</f>
        <v>2.2644661646820441E-2</v>
      </c>
      <c r="O19" s="27">
        <f>(Table2[[#This Row],[infection percentage, low end of estimate range]]+Table2[[#This Row],[infection percentage, high end of estimate range]])/2</f>
        <v>2.792841603107854E-2</v>
      </c>
      <c r="P19" s="3">
        <f>$T$6/(Table2[[#This Row],[cases]]*5)</f>
        <v>46.322222222222223</v>
      </c>
      <c r="Q19" s="3">
        <f>$T$6/(Table2[[#This Row],[cases]]*7)</f>
        <v>33.087301587301589</v>
      </c>
      <c r="R19" s="3">
        <f>Table2[[#This Row],[1-in-X odds, estimating 5x cases infected]]-Table2[[#This Row],[1-in-X odds, estimating 7x cases infected]]</f>
        <v>13.234920634920634</v>
      </c>
      <c r="S19" s="3">
        <f>(Table2[[#This Row],[1-in-X odds, estimating 5x cases infected]]+Table2[[#This Row],[1-in-X odds, estimating 7x cases infected]])/2</f>
        <v>39.704761904761909</v>
      </c>
      <c r="T19" s="3">
        <v>12</v>
      </c>
      <c r="V19" s="32" t="s">
        <v>23</v>
      </c>
    </row>
    <row r="20" spans="1:22" x14ac:dyDescent="0.2">
      <c r="A20" s="8">
        <v>43928</v>
      </c>
      <c r="B20" s="9">
        <v>428</v>
      </c>
      <c r="C20" s="71">
        <f>Table2[[#This Row],[cases]]/$B$2</f>
        <v>4.6664776815892187E-3</v>
      </c>
      <c r="D20" s="26">
        <f>(Table2[[#This Row],[cases]]-B19)/B19</f>
        <v>8.0808080808080815E-2</v>
      </c>
      <c r="E20" s="38">
        <f t="shared" si="0"/>
        <v>8.9197817544539646</v>
      </c>
      <c r="F20" s="81">
        <f>Table2[[#This Row],[cases]]*100/$T$19</f>
        <v>3566.6666666666665</v>
      </c>
      <c r="G20" s="35">
        <f>Table2[[#This Row],[cases]]*100/$T$13</f>
        <v>1646.1538461538462</v>
      </c>
      <c r="H20" s="35">
        <f>Table2[[#This Row],[cases]]*100/$T$16</f>
        <v>3890.909090909091</v>
      </c>
      <c r="I20" s="35">
        <f>Table2[[#This Row],[infection count, high end of estimate range]]-Table2[[#This Row],[infection count, low end of estimate range]]</f>
        <v>2244.7552447552448</v>
      </c>
      <c r="J20" s="35">
        <f>(Table2[[#This Row],[infection count, low end of estimate range]]+Table2[[#This Row],[infection count, high end of estimate range]])/2</f>
        <v>2768.5314685314688</v>
      </c>
      <c r="K20" s="26">
        <f>Table2[[#This Row],[estimated infections]]/$T$6</f>
        <v>3.8887314013243489E-2</v>
      </c>
      <c r="L20" s="27">
        <f>Table2[[#This Row],[infection count, low end of estimate range]]/$T$6</f>
        <v>1.7947991083035457E-2</v>
      </c>
      <c r="M20" s="26">
        <f>Table2[[#This Row],[infection count, high end of estimate range]]/$T$6</f>
        <v>4.242252437808381E-2</v>
      </c>
      <c r="N20" s="15">
        <f>Table2[[#This Row],[infection percentage, high end of estimate range]]-Table2[[#This Row],[infection percentage, low end of estimate range]]</f>
        <v>2.4474533295048354E-2</v>
      </c>
      <c r="O20" s="27">
        <f>(Table2[[#This Row],[infection percentage, low end of estimate range]]+Table2[[#This Row],[infection percentage, high end of estimate range]])/2</f>
        <v>3.0185257730559634E-2</v>
      </c>
      <c r="P20" s="3">
        <f>$T$6/(Table2[[#This Row],[cases]]*5)</f>
        <v>42.858878504672894</v>
      </c>
      <c r="Q20" s="3">
        <f>$T$6/(Table2[[#This Row],[cases]]*7)</f>
        <v>30.613484646194927</v>
      </c>
      <c r="R20" s="3">
        <f>Table2[[#This Row],[1-in-X odds, estimating 5x cases infected]]-Table2[[#This Row],[1-in-X odds, estimating 7x cases infected]]</f>
        <v>12.245393858477968</v>
      </c>
      <c r="S20" s="3">
        <f>(Table2[[#This Row],[1-in-X odds, estimating 5x cases infected]]+Table2[[#This Row],[1-in-X odds, estimating 7x cases infected]])/2</f>
        <v>36.73618157543391</v>
      </c>
      <c r="U20" s="34" t="s">
        <v>30</v>
      </c>
      <c r="V20" s="66" t="s">
        <v>22</v>
      </c>
    </row>
    <row r="21" spans="1:22" x14ac:dyDescent="0.2">
      <c r="A21" s="8">
        <v>43929</v>
      </c>
      <c r="B21" s="9">
        <v>454</v>
      </c>
      <c r="C21" s="71">
        <f>Table2[[#This Row],[cases]]/$B$2</f>
        <v>4.949955297760527E-3</v>
      </c>
      <c r="D21" s="26">
        <f>(Table2[[#This Row],[cases]]-B20)/B20</f>
        <v>6.0747663551401869E-2</v>
      </c>
      <c r="E21" s="38">
        <f t="shared" si="0"/>
        <v>11.753436288055184</v>
      </c>
      <c r="F21" s="81">
        <f>Table2[[#This Row],[cases]]*100/$T$19</f>
        <v>3783.3333333333335</v>
      </c>
      <c r="G21" s="35">
        <f>Table2[[#This Row],[cases]]*100/$T$13</f>
        <v>1746.1538461538462</v>
      </c>
      <c r="H21" s="35">
        <f>Table2[[#This Row],[cases]]*100/$T$16</f>
        <v>4127.272727272727</v>
      </c>
      <c r="I21" s="35">
        <f>Table2[[#This Row],[infection count, high end of estimate range]]-Table2[[#This Row],[infection count, low end of estimate range]]</f>
        <v>2381.1188811188808</v>
      </c>
      <c r="J21" s="35">
        <f>(Table2[[#This Row],[infection count, low end of estimate range]]+Table2[[#This Row],[infection count, high end of estimate range]])/2</f>
        <v>2936.7132867132868</v>
      </c>
      <c r="K21" s="26">
        <f>Table2[[#This Row],[estimated infections]]/$T$6</f>
        <v>4.1249627481337724E-2</v>
      </c>
      <c r="L21" s="27">
        <f>Table2[[#This Row],[infection count, low end of estimate range]]/$T$6</f>
        <v>1.9038289606771258E-2</v>
      </c>
      <c r="M21" s="27">
        <f>Table2[[#This Row],[infection count, high end of estimate range]]/$T$6</f>
        <v>4.4999593616004786E-2</v>
      </c>
      <c r="N21" s="15">
        <f>Table2[[#This Row],[infection percentage, high end of estimate range]]-Table2[[#This Row],[infection percentage, low end of estimate range]]</f>
        <v>2.5961304009233528E-2</v>
      </c>
      <c r="O21" s="27">
        <f>(Table2[[#This Row],[infection percentage, low end of estimate range]]+Table2[[#This Row],[infection percentage, high end of estimate range]])/2</f>
        <v>3.2018941611388019E-2</v>
      </c>
      <c r="P21" s="3">
        <f>$T$6/(Table2[[#This Row],[cases]]*5)</f>
        <v>40.404405286343611</v>
      </c>
      <c r="Q21" s="3">
        <f>$T$6/(Table2[[#This Row],[cases]]*7)</f>
        <v>28.860289490245439</v>
      </c>
      <c r="R21" s="3">
        <f>Table2[[#This Row],[1-in-X odds, estimating 5x cases infected]]-Table2[[#This Row],[1-in-X odds, estimating 7x cases infected]]</f>
        <v>11.544115796098172</v>
      </c>
      <c r="S21" s="3">
        <f>(Table2[[#This Row],[1-in-X odds, estimating 5x cases infected]]+Table2[[#This Row],[1-in-X odds, estimating 7x cases infected]])/2</f>
        <v>34.632347388294527</v>
      </c>
      <c r="U21" s="3">
        <f ca="1">OFFSET(compute!E4,COUNTA(compute!E:E)-1,0)</f>
        <v>52.938359608552602</v>
      </c>
      <c r="V21" s="31"/>
    </row>
    <row r="22" spans="1:22" x14ac:dyDescent="0.2">
      <c r="A22" s="8">
        <v>43930</v>
      </c>
      <c r="B22" s="9">
        <v>468</v>
      </c>
      <c r="C22" s="71">
        <f>Table2[[#This Row],[cases]]/$B$2</f>
        <v>5.1025970910835387E-3</v>
      </c>
      <c r="D22" s="26">
        <f>(Table2[[#This Row],[cases]]-B21)/B21</f>
        <v>3.0837004405286344E-2</v>
      </c>
      <c r="E22" s="38">
        <f t="shared" ref="E22" si="1">(LN(2)/LN(B22/B21))</f>
        <v>22.822592169144759</v>
      </c>
      <c r="F22" s="81">
        <f>Table2[[#This Row],[cases]]*100/$T$19</f>
        <v>3900</v>
      </c>
      <c r="G22" s="35">
        <f>Table2[[#This Row],[cases]]*100/$T$13</f>
        <v>1800</v>
      </c>
      <c r="H22" s="35">
        <f>Table2[[#This Row],[cases]]*100/$T$16</f>
        <v>4254.545454545455</v>
      </c>
      <c r="I22" s="35">
        <f>Table2[[#This Row],[infection count, high end of estimate range]]-Table2[[#This Row],[infection count, low end of estimate range]]</f>
        <v>2454.545454545455</v>
      </c>
      <c r="J22" s="35">
        <f>(Table2[[#This Row],[infection count, low end of estimate range]]+Table2[[#This Row],[infection count, high end of estimate range]])/2</f>
        <v>3027.2727272727275</v>
      </c>
      <c r="K22" s="26">
        <f>Table2[[#This Row],[estimated infections]]/$T$6</f>
        <v>4.2521642425696157E-2</v>
      </c>
      <c r="L22" s="27">
        <f>Table2[[#This Row],[infection count, low end of estimate range]]/$T$6</f>
        <v>1.962537342724438E-2</v>
      </c>
      <c r="M22" s="27">
        <f>Table2[[#This Row],[infection count, high end of estimate range]]/$T$6</f>
        <v>4.6387246282577628E-2</v>
      </c>
      <c r="N22" s="15">
        <f>Table2[[#This Row],[infection percentage, high end of estimate range]]-Table2[[#This Row],[infection percentage, low end of estimate range]]</f>
        <v>2.6761872855333248E-2</v>
      </c>
      <c r="O22" s="27">
        <f>(Table2[[#This Row],[infection percentage, low end of estimate range]]+Table2[[#This Row],[infection percentage, high end of estimate range]])/2</f>
        <v>3.3006309854911001E-2</v>
      </c>
      <c r="P22" s="3">
        <f>$T$6/(Table2[[#This Row],[cases]]*5)</f>
        <v>39.195726495726497</v>
      </c>
      <c r="Q22" s="3">
        <f>$T$6/(Table2[[#This Row],[cases]]*7)</f>
        <v>27.996947496947495</v>
      </c>
      <c r="R22" s="3">
        <f>Table2[[#This Row],[1-in-X odds, estimating 5x cases infected]]-Table2[[#This Row],[1-in-X odds, estimating 7x cases infected]]</f>
        <v>11.198778998779002</v>
      </c>
      <c r="S22" s="3">
        <f>(Table2[[#This Row],[1-in-X odds, estimating 5x cases infected]]+Table2[[#This Row],[1-in-X odds, estimating 7x cases infected]])/2</f>
        <v>33.596336996336994</v>
      </c>
      <c r="V22" s="31"/>
    </row>
    <row r="23" spans="1:22" x14ac:dyDescent="0.2">
      <c r="A23" s="8">
        <v>43931</v>
      </c>
      <c r="B23" s="9">
        <v>493</v>
      </c>
      <c r="C23" s="71">
        <f>Table2[[#This Row],[cases]]/$B$2</f>
        <v>5.3751717220174881E-3</v>
      </c>
      <c r="D23" s="26">
        <f>(Table2[[#This Row],[cases]]-B22)/B22</f>
        <v>5.3418803418803416E-2</v>
      </c>
      <c r="E23" s="38">
        <f t="shared" ref="E23" si="2">(LN(2)/LN(B23/B22))</f>
        <v>13.319282947041303</v>
      </c>
      <c r="F23" s="81">
        <f>Table2[[#This Row],[cases]]*100/$T$19</f>
        <v>4108.333333333333</v>
      </c>
      <c r="G23" s="35">
        <f>Table2[[#This Row],[cases]]*100/$T$13</f>
        <v>1896.1538461538462</v>
      </c>
      <c r="H23" s="35">
        <f>Table2[[#This Row],[cases]]*100/$T$16</f>
        <v>4481.818181818182</v>
      </c>
      <c r="I23" s="35">
        <f>Table2[[#This Row],[infection count, high end of estimate range]]-Table2[[#This Row],[infection count, low end of estimate range]]</f>
        <v>2585.6643356643358</v>
      </c>
      <c r="J23" s="35">
        <f>(Table2[[#This Row],[infection count, low end of estimate range]]+Table2[[#This Row],[infection count, high end of estimate range]])/2</f>
        <v>3188.9860139860139</v>
      </c>
      <c r="K23" s="26">
        <f>Table2[[#This Row],[estimated infections]]/$T$6</f>
        <v>4.4793097683479069E-2</v>
      </c>
      <c r="L23" s="27">
        <f>Table2[[#This Row],[infection count, low end of estimate range]]/$T$6</f>
        <v>2.0673737392374957E-2</v>
      </c>
      <c r="M23" s="27">
        <f>Table2[[#This Row],[infection count, high end of estimate range]]/$T$6</f>
        <v>4.8865197472886257E-2</v>
      </c>
      <c r="N23" s="15">
        <f>Table2[[#This Row],[infection percentage, high end of estimate range]]-Table2[[#This Row],[infection percentage, low end of estimate range]]</f>
        <v>2.8191460080511301E-2</v>
      </c>
      <c r="O23" s="27">
        <f>(Table2[[#This Row],[infection percentage, low end of estimate range]]+Table2[[#This Row],[infection percentage, high end of estimate range]])/2</f>
        <v>3.476946743263061E-2</v>
      </c>
      <c r="P23" s="3">
        <f>$T$6/(Table2[[#This Row],[cases]]*5)</f>
        <v>37.208113590263693</v>
      </c>
      <c r="Q23" s="3">
        <f>$T$6/(Table2[[#This Row],[cases]]*7)</f>
        <v>26.577223993045493</v>
      </c>
      <c r="R23" s="3">
        <f>Table2[[#This Row],[1-in-X odds, estimating 5x cases infected]]-Table2[[#This Row],[1-in-X odds, estimating 7x cases infected]]</f>
        <v>10.6308895972182</v>
      </c>
      <c r="S23" s="3">
        <f>(Table2[[#This Row],[1-in-X odds, estimating 5x cases infected]]+Table2[[#This Row],[1-in-X odds, estimating 7x cases infected]])/2</f>
        <v>31.892668791654593</v>
      </c>
      <c r="V23" s="31" t="s">
        <v>48</v>
      </c>
    </row>
    <row r="24" spans="1:22" x14ac:dyDescent="0.2">
      <c r="A24" s="8">
        <v>43932</v>
      </c>
      <c r="B24" s="9">
        <v>520</v>
      </c>
      <c r="C24" s="71">
        <f>Table2[[#This Row],[cases]]/$B$2</f>
        <v>5.6695523234261544E-3</v>
      </c>
      <c r="D24" s="26">
        <f>(Table2[[#This Row],[cases]]-B23)/B23</f>
        <v>5.4766734279918863E-2</v>
      </c>
      <c r="E24" s="38">
        <f t="shared" ref="E24" si="3">(LN(2)/LN(B24/B23))</f>
        <v>12.999847947836686</v>
      </c>
      <c r="F24" s="81">
        <f>Table2[[#This Row],[cases]]*100/$T$19</f>
        <v>4333.333333333333</v>
      </c>
      <c r="G24" s="35">
        <f>Table2[[#This Row],[cases]]*100/$T$13</f>
        <v>2000</v>
      </c>
      <c r="H24" s="35">
        <f>Table2[[#This Row],[cases]]*100/$T$16</f>
        <v>4727.272727272727</v>
      </c>
      <c r="I24" s="35">
        <f>Table2[[#This Row],[infection count, high end of estimate range]]-Table2[[#This Row],[infection count, low end of estimate range]]</f>
        <v>2727.272727272727</v>
      </c>
      <c r="J24" s="35">
        <f>(Table2[[#This Row],[infection count, low end of estimate range]]+Table2[[#This Row],[infection count, high end of estimate range]])/2</f>
        <v>3363.6363636363635</v>
      </c>
      <c r="K24" s="26">
        <f>Table2[[#This Row],[estimated infections]]/$T$6</f>
        <v>4.7246269361884613E-2</v>
      </c>
      <c r="L24" s="27">
        <f>Table2[[#This Row],[infection count, low end of estimate range]]/$T$6</f>
        <v>2.1805970474715976E-2</v>
      </c>
      <c r="M24" s="27">
        <f>Table2[[#This Row],[infection count, high end of estimate range]]/$T$6</f>
        <v>5.154138475841958E-2</v>
      </c>
      <c r="N24" s="15">
        <f>Table2[[#This Row],[infection percentage, high end of estimate range]]-Table2[[#This Row],[infection percentage, low end of estimate range]]</f>
        <v>2.9735414283703604E-2</v>
      </c>
      <c r="O24" s="27">
        <f>(Table2[[#This Row],[infection percentage, low end of estimate range]]+Table2[[#This Row],[infection percentage, high end of estimate range]])/2</f>
        <v>3.6673677616567778E-2</v>
      </c>
      <c r="P24" s="3">
        <f>$T$6/(Table2[[#This Row],[cases]]*5)</f>
        <v>35.276153846153846</v>
      </c>
      <c r="Q24" s="3">
        <f>$T$6/(Table2[[#This Row],[cases]]*7)</f>
        <v>25.197252747252747</v>
      </c>
      <c r="R24" s="3">
        <f>Table2[[#This Row],[1-in-X odds, estimating 5x cases infected]]-Table2[[#This Row],[1-in-X odds, estimating 7x cases infected]]</f>
        <v>10.078901098901099</v>
      </c>
      <c r="S24" s="3">
        <f>(Table2[[#This Row],[1-in-X odds, estimating 5x cases infected]]+Table2[[#This Row],[1-in-X odds, estimating 7x cases infected]])/2</f>
        <v>30.236703296703297</v>
      </c>
      <c r="V24" s="31"/>
    </row>
    <row r="25" spans="1:22" x14ac:dyDescent="0.2">
      <c r="A25" s="8">
        <v>43933</v>
      </c>
      <c r="B25" s="9">
        <v>535</v>
      </c>
      <c r="C25" s="71">
        <f>Table2[[#This Row],[cases]]/$B$2</f>
        <v>5.833097101986524E-3</v>
      </c>
      <c r="D25" s="26">
        <f>(Table2[[#This Row],[cases]]-B24)/B24</f>
        <v>2.8846153846153848E-2</v>
      </c>
      <c r="E25" s="38">
        <f t="shared" ref="E25" si="4">(LN(2)/LN(B25/B24))</f>
        <v>24.37403323227419</v>
      </c>
      <c r="F25" s="81">
        <f>Table2[[#This Row],[cases]]*100/$T$19</f>
        <v>4458.333333333333</v>
      </c>
      <c r="G25" s="35">
        <f>Table2[[#This Row],[cases]]*100/$T$13</f>
        <v>2057.6923076923076</v>
      </c>
      <c r="H25" s="35">
        <f>Table2[[#This Row],[cases]]*100/$T$16</f>
        <v>4863.636363636364</v>
      </c>
      <c r="I25" s="35">
        <f>Table2[[#This Row],[infection count, high end of estimate range]]-Table2[[#This Row],[infection count, low end of estimate range]]</f>
        <v>2805.9440559440563</v>
      </c>
      <c r="J25" s="35">
        <f>(Table2[[#This Row],[infection count, low end of estimate range]]+Table2[[#This Row],[infection count, high end of estimate range]])/2</f>
        <v>3460.6643356643358</v>
      </c>
      <c r="K25" s="26">
        <f>Table2[[#This Row],[estimated infections]]/$T$6</f>
        <v>4.8609142516554363E-2</v>
      </c>
      <c r="L25" s="27">
        <f>Table2[[#This Row],[infection count, low end of estimate range]]/$T$6</f>
        <v>2.2434988853794323E-2</v>
      </c>
      <c r="M25" s="27">
        <f>Table2[[#This Row],[infection count, high end of estimate range]]/$T$6</f>
        <v>5.3028155472604768E-2</v>
      </c>
      <c r="N25" s="15">
        <f>Table2[[#This Row],[infection percentage, high end of estimate range]]-Table2[[#This Row],[infection percentage, low end of estimate range]]</f>
        <v>3.0593166618810445E-2</v>
      </c>
      <c r="O25" s="27">
        <f>(Table2[[#This Row],[infection percentage, low end of estimate range]]+Table2[[#This Row],[infection percentage, high end of estimate range]])/2</f>
        <v>3.7731572163199542E-2</v>
      </c>
      <c r="P25" s="3">
        <f>$T$6/(Table2[[#This Row],[cases]]*5)</f>
        <v>34.287102803738321</v>
      </c>
      <c r="Q25" s="3">
        <f>$T$6/(Table2[[#This Row],[cases]]*7)</f>
        <v>24.490787716955943</v>
      </c>
      <c r="R25" s="3">
        <f>Table2[[#This Row],[1-in-X odds, estimating 5x cases infected]]-Table2[[#This Row],[1-in-X odds, estimating 7x cases infected]]</f>
        <v>9.7963150867823785</v>
      </c>
      <c r="S25" s="3">
        <f>(Table2[[#This Row],[1-in-X odds, estimating 5x cases infected]]+Table2[[#This Row],[1-in-X odds, estimating 7x cases infected]])/2</f>
        <v>29.388945260347132</v>
      </c>
      <c r="V25" s="31"/>
    </row>
    <row r="26" spans="1:22" x14ac:dyDescent="0.2">
      <c r="A26" s="8">
        <v>43934</v>
      </c>
      <c r="B26" s="9">
        <v>561</v>
      </c>
      <c r="C26" s="71">
        <f>Table2[[#This Row],[cases]]/$B$2</f>
        <v>6.1165747181578314E-3</v>
      </c>
      <c r="D26" s="26">
        <f>(Table2[[#This Row],[cases]]-B25)/B25</f>
        <v>4.8598130841121495E-2</v>
      </c>
      <c r="E26" s="38">
        <f t="shared" ref="E26" si="5">(LN(2)/LN(B26/B25))</f>
        <v>14.606668848830834</v>
      </c>
      <c r="F26" s="81">
        <f>Table2[[#This Row],[cases]]*100/$T$19</f>
        <v>4675</v>
      </c>
      <c r="G26" s="35">
        <f>Table2[[#This Row],[cases]]*100/$T$13</f>
        <v>2157.6923076923076</v>
      </c>
      <c r="H26" s="35">
        <f>Table2[[#This Row],[cases]]*100/$T$16</f>
        <v>5100</v>
      </c>
      <c r="I26" s="35">
        <f>Table2[[#This Row],[infection count, high end of estimate range]]-Table2[[#This Row],[infection count, low end of estimate range]]</f>
        <v>2942.3076923076924</v>
      </c>
      <c r="J26" s="35">
        <f>(Table2[[#This Row],[infection count, low end of estimate range]]+Table2[[#This Row],[infection count, high end of estimate range]])/2</f>
        <v>3628.8461538461538</v>
      </c>
      <c r="K26" s="26">
        <f>Table2[[#This Row],[estimated infections]]/$T$6</f>
        <v>5.0971455984648598E-2</v>
      </c>
      <c r="L26" s="27">
        <f>Table2[[#This Row],[infection count, low end of estimate range]]/$T$6</f>
        <v>2.3525287377530121E-2</v>
      </c>
      <c r="M26" s="27">
        <f>Table2[[#This Row],[infection count, high end of estimate range]]/$T$6</f>
        <v>5.5605224710525744E-2</v>
      </c>
      <c r="N26" s="15">
        <f>Table2[[#This Row],[infection percentage, high end of estimate range]]-Table2[[#This Row],[infection percentage, low end of estimate range]]</f>
        <v>3.207993733299562E-2</v>
      </c>
      <c r="O26" s="27">
        <f>(Table2[[#This Row],[infection percentage, low end of estimate range]]+Table2[[#This Row],[infection percentage, high end of estimate range]])/2</f>
        <v>3.9565256044027934E-2</v>
      </c>
      <c r="P26" s="3">
        <f>$T$6/(Table2[[#This Row],[cases]]*5)</f>
        <v>32.698039215686272</v>
      </c>
      <c r="Q26" s="3">
        <f>$T$6/(Table2[[#This Row],[cases]]*7)</f>
        <v>23.355742296918766</v>
      </c>
      <c r="R26" s="3">
        <f>Table2[[#This Row],[1-in-X odds, estimating 5x cases infected]]-Table2[[#This Row],[1-in-X odds, estimating 7x cases infected]]</f>
        <v>9.3422969187675058</v>
      </c>
      <c r="S26" s="3">
        <f>(Table2[[#This Row],[1-in-X odds, estimating 5x cases infected]]+Table2[[#This Row],[1-in-X odds, estimating 7x cases infected]])/2</f>
        <v>28.026890756302521</v>
      </c>
      <c r="V26" s="31"/>
    </row>
    <row r="27" spans="1:22" x14ac:dyDescent="0.2">
      <c r="A27" s="8">
        <v>43935</v>
      </c>
      <c r="B27" s="9">
        <v>568</v>
      </c>
      <c r="C27" s="71">
        <f>Table2[[#This Row],[cases]]/$B$2</f>
        <v>6.1928956148193373E-3</v>
      </c>
      <c r="D27" s="26">
        <f>(Table2[[#This Row],[cases]]-B26)/B26</f>
        <v>1.2477718360071301E-2</v>
      </c>
      <c r="E27" s="38">
        <f t="shared" ref="E27" si="6">(LN(2)/LN(B27/B26))</f>
        <v>55.896652780975636</v>
      </c>
      <c r="F27" s="81">
        <f>Table2[[#This Row],[cases]]*100/$T$19</f>
        <v>4733.333333333333</v>
      </c>
      <c r="G27" s="35">
        <f>Table2[[#This Row],[cases]]*100/$T$13</f>
        <v>2184.6153846153848</v>
      </c>
      <c r="H27" s="35">
        <f>Table2[[#This Row],[cases]]*100/$T$16</f>
        <v>5163.636363636364</v>
      </c>
      <c r="I27" s="35">
        <f>Table2[[#This Row],[infection count, high end of estimate range]]-Table2[[#This Row],[infection count, low end of estimate range]]</f>
        <v>2979.0209790209792</v>
      </c>
      <c r="J27" s="35">
        <f>(Table2[[#This Row],[infection count, low end of estimate range]]+Table2[[#This Row],[infection count, high end of estimate range]])/2</f>
        <v>3674.1258741258744</v>
      </c>
      <c r="K27" s="26">
        <f>Table2[[#This Row],[estimated infections]]/$T$6</f>
        <v>5.1607463456827811E-2</v>
      </c>
      <c r="L27" s="27">
        <f>Table2[[#This Row],[infection count, low end of estimate range]]/$T$6</f>
        <v>2.3818829287766685E-2</v>
      </c>
      <c r="M27" s="27">
        <f>Table2[[#This Row],[infection count, high end of estimate range]]/$T$6</f>
        <v>5.6299051043812165E-2</v>
      </c>
      <c r="N27" s="15">
        <f>Table2[[#This Row],[infection percentage, high end of estimate range]]-Table2[[#This Row],[infection percentage, low end of estimate range]]</f>
        <v>3.248022175604548E-2</v>
      </c>
      <c r="O27" s="27">
        <f>(Table2[[#This Row],[infection percentage, low end of estimate range]]+Table2[[#This Row],[infection percentage, high end of estimate range]])/2</f>
        <v>4.0058940165789425E-2</v>
      </c>
      <c r="P27" s="3">
        <f>$T$6/(Table2[[#This Row],[cases]]*5)</f>
        <v>32.295070422535211</v>
      </c>
      <c r="Q27" s="3">
        <f>$T$6/(Table2[[#This Row],[cases]]*7)</f>
        <v>23.067907444668009</v>
      </c>
      <c r="R27" s="3">
        <f>Table2[[#This Row],[1-in-X odds, estimating 5x cases infected]]-Table2[[#This Row],[1-in-X odds, estimating 7x cases infected]]</f>
        <v>9.2271629778672022</v>
      </c>
      <c r="S27" s="3">
        <f>(Table2[[#This Row],[1-in-X odds, estimating 5x cases infected]]+Table2[[#This Row],[1-in-X odds, estimating 7x cases infected]])/2</f>
        <v>27.68148893360161</v>
      </c>
      <c r="V27" s="31"/>
    </row>
    <row r="28" spans="1:22" x14ac:dyDescent="0.2">
      <c r="A28" s="8">
        <v>43936</v>
      </c>
      <c r="B28" s="9">
        <v>583</v>
      </c>
      <c r="C28" s="71">
        <f>Table2[[#This Row],[cases]]/$B$2</f>
        <v>6.3564403933797069E-3</v>
      </c>
      <c r="D28" s="26">
        <f>(Table2[[#This Row],[cases]]-B27)/B27</f>
        <v>2.6408450704225352E-2</v>
      </c>
      <c r="E28" s="38">
        <f t="shared" ref="E28" si="7">(LN(2)/LN(B28/B27))</f>
        <v>26.592241226753817</v>
      </c>
      <c r="F28" s="81">
        <f>Table2[[#This Row],[cases]]*100/$T$19</f>
        <v>4858.333333333333</v>
      </c>
      <c r="G28" s="35">
        <f>Table2[[#This Row],[cases]]*100/$T$13</f>
        <v>2242.3076923076924</v>
      </c>
      <c r="H28" s="35">
        <f>Table2[[#This Row],[cases]]*100/$T$16</f>
        <v>5300</v>
      </c>
      <c r="I28" s="35">
        <f>Table2[[#This Row],[infection count, high end of estimate range]]-Table2[[#This Row],[infection count, low end of estimate range]]</f>
        <v>3057.6923076923076</v>
      </c>
      <c r="J28" s="35">
        <f>(Table2[[#This Row],[infection count, low end of estimate range]]+Table2[[#This Row],[infection count, high end of estimate range]])/2</f>
        <v>3771.1538461538462</v>
      </c>
      <c r="K28" s="26">
        <f>Table2[[#This Row],[estimated infections]]/$T$6</f>
        <v>5.2970336611497561E-2</v>
      </c>
      <c r="L28" s="27">
        <f>Table2[[#This Row],[infection count, low end of estimate range]]/$T$6</f>
        <v>2.4447847666845029E-2</v>
      </c>
      <c r="M28" s="27">
        <f>Table2[[#This Row],[infection count, high end of estimate range]]/$T$6</f>
        <v>5.778582175799734E-2</v>
      </c>
      <c r="N28" s="15">
        <f>Table2[[#This Row],[infection percentage, high end of estimate range]]-Table2[[#This Row],[infection percentage, low end of estimate range]]</f>
        <v>3.3337974091152314E-2</v>
      </c>
      <c r="O28" s="27">
        <f>(Table2[[#This Row],[infection percentage, low end of estimate range]]+Table2[[#This Row],[infection percentage, high end of estimate range]])/2</f>
        <v>4.1116834712421182E-2</v>
      </c>
      <c r="P28" s="3">
        <f>$T$6/(Table2[[#This Row],[cases]]*5)</f>
        <v>31.464150943396227</v>
      </c>
      <c r="Q28" s="3">
        <f>$T$6/(Table2[[#This Row],[cases]]*7)</f>
        <v>22.474393530997304</v>
      </c>
      <c r="R28" s="3">
        <f>Table2[[#This Row],[1-in-X odds, estimating 5x cases infected]]-Table2[[#This Row],[1-in-X odds, estimating 7x cases infected]]</f>
        <v>8.989757412398923</v>
      </c>
      <c r="S28" s="3">
        <f>(Table2[[#This Row],[1-in-X odds, estimating 5x cases infected]]+Table2[[#This Row],[1-in-X odds, estimating 7x cases infected]])/2</f>
        <v>26.969272237196765</v>
      </c>
      <c r="V28" s="31"/>
    </row>
    <row r="29" spans="1:22" x14ac:dyDescent="0.2">
      <c r="A29" s="8">
        <v>43937</v>
      </c>
      <c r="B29" s="9">
        <v>587</v>
      </c>
      <c r="C29" s="71">
        <f>Table2[[#This Row],[cases]]/$B$2</f>
        <v>6.4000523343291397E-3</v>
      </c>
      <c r="D29" s="26">
        <f>(Table2[[#This Row],[cases]]-B28)/B28</f>
        <v>6.8610634648370496E-3</v>
      </c>
      <c r="E29" s="38">
        <f t="shared" ref="E29:E30" si="8">(LN(2)/LN(B29/B28))</f>
        <v>101.37238020000403</v>
      </c>
      <c r="F29" s="81">
        <f>Table2[[#This Row],[cases]]*100/$T$19</f>
        <v>4891.666666666667</v>
      </c>
      <c r="G29" s="35">
        <f>Table2[[#This Row],[cases]]*100/$T$13</f>
        <v>2257.6923076923076</v>
      </c>
      <c r="H29" s="35">
        <f>Table2[[#This Row],[cases]]*100/$T$16</f>
        <v>5336.363636363636</v>
      </c>
      <c r="I29" s="35">
        <f>Table2[[#This Row],[infection count, high end of estimate range]]-Table2[[#This Row],[infection count, low end of estimate range]]</f>
        <v>3078.6713286713284</v>
      </c>
      <c r="J29" s="35">
        <f>(Table2[[#This Row],[infection count, low end of estimate range]]+Table2[[#This Row],[infection count, high end of estimate range]])/2</f>
        <v>3797.0279720279718</v>
      </c>
      <c r="K29" s="26">
        <f>Table2[[#This Row],[estimated infections]]/$T$6</f>
        <v>5.3333769452742832E-2</v>
      </c>
      <c r="L29" s="27">
        <f>Table2[[#This Row],[infection count, low end of estimate range]]/$T$6</f>
        <v>2.4615585901265918E-2</v>
      </c>
      <c r="M29" s="27">
        <f>Table2[[#This Row],[infection count, high end of estimate range]]/$T$6</f>
        <v>5.818229394844672E-2</v>
      </c>
      <c r="N29" s="15">
        <f>Table2[[#This Row],[infection percentage, high end of estimate range]]-Table2[[#This Row],[infection percentage, low end of estimate range]]</f>
        <v>3.3566708047180802E-2</v>
      </c>
      <c r="O29" s="27">
        <f>(Table2[[#This Row],[infection percentage, low end of estimate range]]+Table2[[#This Row],[infection percentage, high end of estimate range]])/2</f>
        <v>4.1398939924856319E-2</v>
      </c>
      <c r="P29" s="3">
        <f>$T$6/(Table2[[#This Row],[cases]]*5)</f>
        <v>31.249744463373084</v>
      </c>
      <c r="Q29" s="3">
        <f>$T$6/(Table2[[#This Row],[cases]]*7)</f>
        <v>22.321246045266488</v>
      </c>
      <c r="R29" s="3">
        <f>Table2[[#This Row],[1-in-X odds, estimating 5x cases infected]]-Table2[[#This Row],[1-in-X odds, estimating 7x cases infected]]</f>
        <v>8.9284984181065958</v>
      </c>
      <c r="S29" s="3">
        <f>(Table2[[#This Row],[1-in-X odds, estimating 5x cases infected]]+Table2[[#This Row],[1-in-X odds, estimating 7x cases infected]])/2</f>
        <v>26.785495254319784</v>
      </c>
      <c r="V29" s="31"/>
    </row>
    <row r="30" spans="1:22" x14ac:dyDescent="0.2">
      <c r="A30" s="8">
        <v>43938</v>
      </c>
      <c r="B30" s="9">
        <v>607</v>
      </c>
      <c r="C30" s="71">
        <f>Table2[[#This Row],[cases]]/$B$2</f>
        <v>6.6181120390762993E-3</v>
      </c>
      <c r="D30" s="26">
        <f>(Table2[[#This Row],[cases]]-B29)/B29</f>
        <v>3.4071550255536626E-2</v>
      </c>
      <c r="E30" s="38">
        <f t="shared" si="8"/>
        <v>20.688508110653103</v>
      </c>
      <c r="F30" s="81">
        <f>Table2[[#This Row],[cases]]*100/$T$19</f>
        <v>5058.333333333333</v>
      </c>
      <c r="G30" s="35">
        <f>Table2[[#This Row],[cases]]*100/$T$13</f>
        <v>2334.6153846153848</v>
      </c>
      <c r="H30" s="35">
        <f>Table2[[#This Row],[cases]]*100/$T$16</f>
        <v>5518.181818181818</v>
      </c>
      <c r="I30" s="35">
        <f>Table2[[#This Row],[infection count, high end of estimate range]]-Table2[[#This Row],[infection count, low end of estimate range]]</f>
        <v>3183.5664335664333</v>
      </c>
      <c r="J30" s="35">
        <f>(Table2[[#This Row],[infection count, low end of estimate range]]+Table2[[#This Row],[infection count, high end of estimate range]])/2</f>
        <v>3926.3986013986014</v>
      </c>
      <c r="K30" s="26">
        <f>Table2[[#This Row],[estimated infections]]/$T$6</f>
        <v>5.5150933658969156E-2</v>
      </c>
      <c r="L30" s="27">
        <f>Table2[[#This Row],[infection count, low end of estimate range]]/$T$6</f>
        <v>2.5454277073370384E-2</v>
      </c>
      <c r="M30" s="27">
        <f>Table2[[#This Row],[infection count, high end of estimate range]]/$T$6</f>
        <v>6.0164654900693629E-2</v>
      </c>
      <c r="N30" s="15">
        <f>Table2[[#This Row],[infection percentage, high end of estimate range]]-Table2[[#This Row],[infection percentage, low end of estimate range]]</f>
        <v>3.4710377827323245E-2</v>
      </c>
      <c r="O30" s="27">
        <f>(Table2[[#This Row],[infection percentage, low end of estimate range]]+Table2[[#This Row],[infection percentage, high end of estimate range]])/2</f>
        <v>4.2809465987032003E-2</v>
      </c>
      <c r="P30" s="3">
        <f>$T$6/(Table2[[#This Row],[cases]]*5)</f>
        <v>30.220098846787479</v>
      </c>
      <c r="Q30" s="3">
        <f>$T$6/(Table2[[#This Row],[cases]]*7)</f>
        <v>21.585784890562486</v>
      </c>
      <c r="R30" s="3">
        <f>Table2[[#This Row],[1-in-X odds, estimating 5x cases infected]]-Table2[[#This Row],[1-in-X odds, estimating 7x cases infected]]</f>
        <v>8.6343139562249931</v>
      </c>
      <c r="S30" s="3">
        <f>(Table2[[#This Row],[1-in-X odds, estimating 5x cases infected]]+Table2[[#This Row],[1-in-X odds, estimating 7x cases infected]])/2</f>
        <v>25.902941868674983</v>
      </c>
      <c r="V30" s="31"/>
    </row>
    <row r="31" spans="1:22" x14ac:dyDescent="0.2">
      <c r="A31" s="8">
        <v>43939</v>
      </c>
      <c r="B31" s="9">
        <v>615</v>
      </c>
      <c r="C31" s="71">
        <f>Table2[[#This Row],[cases]]/$B$2</f>
        <v>6.7053359209751631E-3</v>
      </c>
      <c r="D31" s="26">
        <f>(Table2[[#This Row],[cases]]-B30)/B30</f>
        <v>1.3179571663920923E-2</v>
      </c>
      <c r="E31" s="38">
        <f t="shared" ref="E31" si="9">(LN(2)/LN(B31/B30))</f>
        <v>52.938359608552602</v>
      </c>
      <c r="F31" s="81">
        <f>Table2[[#This Row],[cases]]*100/$T$19</f>
        <v>5125</v>
      </c>
      <c r="G31" s="35">
        <f>Table2[[#This Row],[cases]]*100/$T$13</f>
        <v>2365.3846153846152</v>
      </c>
      <c r="H31" s="35">
        <f>Table2[[#This Row],[cases]]*100/$T$16</f>
        <v>5590.909090909091</v>
      </c>
      <c r="I31" s="35">
        <f>Table2[[#This Row],[infection count, high end of estimate range]]-Table2[[#This Row],[infection count, low end of estimate range]]</f>
        <v>3225.5244755244757</v>
      </c>
      <c r="J31" s="35">
        <f>(Table2[[#This Row],[infection count, low end of estimate range]]+Table2[[#This Row],[infection count, high end of estimate range]])/2</f>
        <v>3978.1468531468531</v>
      </c>
      <c r="K31" s="26">
        <f>Table2[[#This Row],[estimated infections]]/$T$6</f>
        <v>5.5877799341459693E-2</v>
      </c>
      <c r="L31" s="27">
        <f>Table2[[#This Row],[infection count, low end of estimate range]]/$T$6</f>
        <v>2.5789753542212163E-2</v>
      </c>
      <c r="M31" s="27">
        <f>Table2[[#This Row],[infection count, high end of estimate range]]/$T$6</f>
        <v>6.0957599281592389E-2</v>
      </c>
      <c r="N31" s="15">
        <f>Table2[[#This Row],[infection percentage, high end of estimate range]]-Table2[[#This Row],[infection percentage, low end of estimate range]]</f>
        <v>3.5167845739380227E-2</v>
      </c>
      <c r="O31" s="27">
        <f>(Table2[[#This Row],[infection percentage, low end of estimate range]]+Table2[[#This Row],[infection percentage, high end of estimate range]])/2</f>
        <v>4.3373676411902276E-2</v>
      </c>
      <c r="P31" s="3">
        <f>$T$6/(Table2[[#This Row],[cases]]*5)</f>
        <v>29.8269918699187</v>
      </c>
      <c r="Q31" s="3">
        <f>$T$6/(Table2[[#This Row],[cases]]*7)</f>
        <v>21.304994192799072</v>
      </c>
      <c r="R31" s="3">
        <f>Table2[[#This Row],[1-in-X odds, estimating 5x cases infected]]-Table2[[#This Row],[1-in-X odds, estimating 7x cases infected]]</f>
        <v>8.5219976771196286</v>
      </c>
      <c r="S31" s="3">
        <f>(Table2[[#This Row],[1-in-X odds, estimating 5x cases infected]]+Table2[[#This Row],[1-in-X odds, estimating 7x cases infected]])/2</f>
        <v>25.565993031358886</v>
      </c>
      <c r="V31" s="31"/>
    </row>
    <row r="32" spans="1:22" x14ac:dyDescent="0.2">
      <c r="V32" s="55" t="str">
        <f ca="1">"updated " &amp; TEXT($U6,"MMMM d, yyyy") &amp; ", " &amp; T9</f>
        <v>updated April 18, 2020, evening</v>
      </c>
    </row>
    <row r="33" spans="21:22" x14ac:dyDescent="0.2">
      <c r="U33" s="34" t="s">
        <v>32</v>
      </c>
      <c r="V33" s="36"/>
    </row>
    <row r="34" spans="21:22" x14ac:dyDescent="0.2">
      <c r="U34" s="27">
        <f ca="1">OFFSET(compute!D4,COUNTA(compute!D:D)-1,0)</f>
        <v>1.3179571663920923E-2</v>
      </c>
    </row>
    <row r="35" spans="21:22" x14ac:dyDescent="0.2">
      <c r="V35" s="33" t="s">
        <v>24</v>
      </c>
    </row>
    <row r="36" spans="21:22" x14ac:dyDescent="0.2">
      <c r="V36" s="1" t="str">
        <f ca="1">"There have been " &amp;TEXT( U9,"0") &amp; " confirmed cases of COVID-19 disease in " &amp; B1 &amp; " since the start of the outbreak."</f>
        <v>There have been 615 confirmed cases of COVID-19 disease in Miami Beach since the start of the outbreak.</v>
      </c>
    </row>
    <row r="38" spans="21:22" x14ac:dyDescent="0.2">
      <c r="V38" s="1" t="str">
        <f ca="1">"Around " &amp;TEXT(ROUND(U12,-3),"#,##0") &amp;" people in " &amp; B1 &amp; " may have already been infected with the SARS-CoV-2 virus."</f>
        <v>Around 5,000 people in Miami Beach may have already been infected with the SARS-CoV-2 virus.</v>
      </c>
    </row>
    <row r="40" spans="21:22" x14ac:dyDescent="0.2">
      <c r="V40" s="1" t="str">
        <f ca="1">"Around " &amp; TEXT(U15,"0.0%") &amp; " of the total population of " &amp; B1 &amp; " may have already been infected with the SARS-CoV-2 virus, based on an estimated population of " &amp; TEXT(T6,"0,000") &amp; "."</f>
        <v>Around 5.6% of the total population of Miami Beach may have already been infected with the SARS-CoV-2 virus, based on an estimated population of 91,718.</v>
      </c>
    </row>
    <row r="42" spans="21:22" x14ac:dyDescent="0.2">
      <c r="V42"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26.</v>
      </c>
    </row>
    <row r="44" spans="21:22" x14ac:dyDescent="0.2">
      <c r="V44" s="1" t="str">
        <f ca="1">"doubing in " &amp; TEXT(U21,"0.0") &amp; " days"</f>
        <v>doubing in 52.9 days</v>
      </c>
    </row>
    <row r="46" spans="21:22" x14ac:dyDescent="0.2">
      <c r="V46" s="1" t="str">
        <f ca="1">TEXT(U34, "+0.0%;-0.0%") &amp; " per day"</f>
        <v>+1.3% per day</v>
      </c>
    </row>
    <row r="48" spans="21:22" x14ac:dyDescent="0.2">
      <c r="V48" t="str">
        <f ca="1">"The current rate of increase is " &amp; V46</f>
        <v>The current rate of increase is +1.3%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27"/>
  <sheetViews>
    <sheetView workbookViewId="0">
      <selection activeCell="B27" sqref="A1:B27"/>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1"/>
  <sheetViews>
    <sheetView workbookViewId="0">
      <selection activeCell="B32" sqref="B32"/>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row r="31" spans="1:4" x14ac:dyDescent="0.2">
      <c r="A31" s="8">
        <v>43939</v>
      </c>
      <c r="B31" s="9">
        <v>615</v>
      </c>
      <c r="C31" s="26">
        <f t="shared" ref="C31" si="14">(B31-B30)/B30</f>
        <v>1.3179571663920923E-2</v>
      </c>
      <c r="D31" s="38">
        <f t="shared" ref="D31" si="15">(LN(2)/LN(B31/B30))</f>
        <v>52.938359608552602</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2020-04-19T02:26:27Z</dcterms:modified>
</cp:coreProperties>
</file>