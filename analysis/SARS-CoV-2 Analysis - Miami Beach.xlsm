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0821529C-AEC9-C048-8E1F-97521F1D72CE}" xr6:coauthVersionLast="45" xr6:coauthVersionMax="45" xr10:uidLastSave="{00000000-0000-0000-0000-000000000000}"/>
  <bookViews>
    <workbookView xWindow="0" yWindow="460" windowWidth="28800" windowHeight="17540" activeTab="3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state="hidden" r:id="rId11"/>
    <sheet name="Miami Beach evening" sheetId="10" r:id="rId12"/>
    <sheet name="Miami morning" sheetId="11" state="hidden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" i="5" l="1"/>
  <c r="M7" i="5"/>
  <c r="C63" i="1"/>
  <c r="D63" i="1"/>
  <c r="E63" i="1"/>
  <c r="F63" i="1"/>
  <c r="G63" i="1"/>
  <c r="J63" i="1" s="1"/>
  <c r="H63" i="1"/>
  <c r="I63" i="1" s="1"/>
  <c r="C64" i="1"/>
  <c r="D64" i="1"/>
  <c r="E64" i="1"/>
  <c r="F64" i="1"/>
  <c r="G64" i="1"/>
  <c r="H64" i="1"/>
  <c r="C65" i="1"/>
  <c r="D65" i="1"/>
  <c r="E65" i="1"/>
  <c r="F65" i="1"/>
  <c r="G65" i="1"/>
  <c r="J65" i="1" s="1"/>
  <c r="H65" i="1"/>
  <c r="C66" i="1"/>
  <c r="D66" i="1"/>
  <c r="E66" i="1"/>
  <c r="F66" i="1"/>
  <c r="G66" i="1"/>
  <c r="H66" i="1"/>
  <c r="I66" i="1" s="1"/>
  <c r="J66" i="1"/>
  <c r="C63" i="12"/>
  <c r="D63" i="12"/>
  <c r="C64" i="12"/>
  <c r="D64" i="12"/>
  <c r="C65" i="12"/>
  <c r="D65" i="12"/>
  <c r="C66" i="12"/>
  <c r="D66" i="12"/>
  <c r="C63" i="10"/>
  <c r="D63" i="10"/>
  <c r="C64" i="10"/>
  <c r="D64" i="10"/>
  <c r="C65" i="10"/>
  <c r="D65" i="10"/>
  <c r="C66" i="10"/>
  <c r="D66" i="10"/>
  <c r="J64" i="1" l="1"/>
  <c r="I65" i="1"/>
  <c r="I64" i="1"/>
  <c r="C61" i="12"/>
  <c r="D61" i="12"/>
  <c r="C62" i="12"/>
  <c r="D62" i="12"/>
  <c r="C61" i="1"/>
  <c r="D61" i="1"/>
  <c r="E61" i="1"/>
  <c r="F61" i="1"/>
  <c r="G61" i="1"/>
  <c r="H61" i="1"/>
  <c r="C62" i="1"/>
  <c r="D62" i="1"/>
  <c r="E62" i="1"/>
  <c r="F62" i="1"/>
  <c r="G62" i="1"/>
  <c r="H62" i="1"/>
  <c r="C61" i="10"/>
  <c r="D61" i="10"/>
  <c r="C62" i="10"/>
  <c r="D62" i="10"/>
  <c r="I62" i="1" l="1"/>
  <c r="J61" i="1"/>
  <c r="J62" i="1"/>
  <c r="I61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73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67" i="1" s="1"/>
  <c r="U9" i="1"/>
  <c r="C6" i="6" s="1"/>
  <c r="X6" i="1"/>
  <c r="T9" i="1"/>
  <c r="T6" i="1"/>
  <c r="M63" i="1" l="1"/>
  <c r="Q63" i="1"/>
  <c r="L64" i="1"/>
  <c r="P64" i="1"/>
  <c r="K65" i="1"/>
  <c r="M64" i="1"/>
  <c r="Q64" i="1"/>
  <c r="L65" i="1"/>
  <c r="P65" i="1"/>
  <c r="K66" i="1"/>
  <c r="K63" i="1"/>
  <c r="M65" i="1"/>
  <c r="N65" i="1" s="1"/>
  <c r="Q65" i="1"/>
  <c r="L66" i="1"/>
  <c r="P66" i="1"/>
  <c r="L63" i="1"/>
  <c r="O63" i="1" s="1"/>
  <c r="P63" i="1"/>
  <c r="K64" i="1"/>
  <c r="M66" i="1"/>
  <c r="Q66" i="1"/>
  <c r="K61" i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71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O66" i="1" l="1"/>
  <c r="N64" i="1"/>
  <c r="O65" i="1"/>
  <c r="R64" i="1"/>
  <c r="S64" i="1"/>
  <c r="N66" i="1"/>
  <c r="S66" i="1"/>
  <c r="R66" i="1"/>
  <c r="O64" i="1"/>
  <c r="R63" i="1"/>
  <c r="S63" i="1"/>
  <c r="S65" i="1"/>
  <c r="R65" i="1"/>
  <c r="N63" i="1"/>
  <c r="N61" i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9" i="1" s="1"/>
  <c r="C8" i="6" s="1"/>
  <c r="U69" i="1"/>
  <c r="V81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83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75" i="1" l="1"/>
  <c r="U18" i="1"/>
  <c r="V77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<sst xmlns="http://schemas.openxmlformats.org/spreadsheetml/2006/main" count="165" uniqueCount="65">
  <si>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</si>
  <si>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</si>
  <si>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</si>
  <si>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</si>
  <si>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</si>
  <si>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</si>
  <si>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</si>
  <si>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</si>
  <si>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</si>
  <si>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</si>
  <si>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</si>
  <si>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</si>
  <si>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</si>
  <si>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</si>
  <si>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</si>
  <si>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</si>
  <si>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</si>
  <si>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</si>
  <si>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</si>
  <si>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</si>
  <si>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</si>
  <si>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</si>
  <si>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</si>
  <si>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</si>
  <si>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</si>
  <si>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</si>
  <si>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</si>
  <si>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</si>
  <si>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</si>
  <si>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</si>
  <si>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</si>
  <si>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</si>
  <si>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</si>
  <si>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</si>
  <si>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</si>
  <si>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</si>
  <si>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</si>
  <si>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</si>
  <si>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</si>
  <si>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</si>
  <si>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</si>
  <si>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</si>
  <si>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</si>
  <si>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</si>
  <si>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</si>
  <si>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</si>
  <si>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</si>
  <si>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</si>
  <si>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</si>
  <si>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</si>
  <si>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</si>
  <si>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</si>
  <si>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</si>
  <si>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</si>
  <si>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</si>
  <si>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</si>
  <si>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</si>
  <si>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</si>
  <si>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</si>
  <si>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</si>
  <si>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</si>
  <si>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</si>
  <si>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</si>
  <si>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10 - 16</t>
  </si>
  <si>
    <t>May 17 - 23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</si>
</sst>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$-409]mmmm\ d\,\ yyyy;@"/>
    <numFmt numFmtId="166" formatCode="0.0"/>
    <numFmt numFmtId="172" formatCode="[$-409]d\-mmm;@"/>
  </numFmts>
  <fonts count="23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  <font>
      <sz val="12"/>
      <color theme="3"/>
      <name val="Helvetica"/>
      <family val="2"/>
    </font>
    <font>
      <b/>
      <sz val="13"/>
      <color rgb="FF000000"/>
      <name val="Arial"/>
      <family val="2"/>
    </font>
    <font>
      <sz val="12"/>
      <color rgb="FF242852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  <xf numFmtId="0" fontId="9" fillId="0" borderId="0" xfId="0" applyFont="1"/>
    <xf numFmtId="3" fontId="21" fillId="0" borderId="0" xfId="0" applyNumberFormat="1" applyFont="1"/>
    <xf numFmtId="1" fontId="9" fillId="0" borderId="0" xfId="0" applyNumberFormat="1" applyFont="1" applyBorder="1"/>
    <xf numFmtId="0" fontId="5" fillId="0" borderId="0" xfId="0" applyFont="1"/>
    <xf numFmtId="1" fontId="5" fillId="0" borderId="0" xfId="0" applyNumberFormat="1" applyFont="1"/>
    <xf numFmtId="3" fontId="5" fillId="0" borderId="0" xfId="0" applyNumberFormat="1" applyFont="1"/>
    <xf numFmtId="172" fontId="2" fillId="0" borderId="0" xfId="0" applyNumberFormat="1" applyFont="1"/>
    <xf numFmtId="172" fontId="20" fillId="6" borderId="2" xfId="1" applyNumberFormat="1" applyFont="1" applyFill="1" applyBorder="1" applyAlignment="1">
      <alignment horizontal="right" vertical="top"/>
    </xf>
    <xf numFmtId="172" fontId="6" fillId="0" borderId="0" xfId="0" applyNumberFormat="1" applyFont="1"/>
    <xf numFmtId="172" fontId="0" fillId="0" borderId="0" xfId="0" applyNumberFormat="1" applyFont="1"/>
    <xf numFmtId="172" fontId="22" fillId="7" borderId="5" xfId="0" applyNumberFormat="1" applyFont="1" applyFill="1" applyBorder="1" applyAlignment="1">
      <alignment horizontal="right" vertical="top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72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2783931669558"/>
          <c:y val="0.14237288135593221"/>
          <c:w val="0.87066675563859597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compute!$A$6:$A$10048</c:f>
              <c:numCache>
                <c:formatCode>[$-409]d\-mmm;@</c:formatCode>
                <c:ptCount val="1004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</c:numCache>
            </c:numRef>
          </c:cat>
          <c:val>
            <c:numRef>
              <c:f>compute!$D$6:$D$10048</c:f>
              <c:numCache>
                <c:formatCode>0.0%</c:formatCode>
                <c:ptCount val="10043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  <c:pt idx="52">
                  <c:v>1.3768986995956725E-2</c:v>
                </c:pt>
                <c:pt idx="53">
                  <c:v>1.8001509108548024E-2</c:v>
                </c:pt>
                <c:pt idx="54">
                  <c:v>1.5353663701821263E-2</c:v>
                </c:pt>
                <c:pt idx="55">
                  <c:v>1.2410053185942226E-2</c:v>
                </c:pt>
                <c:pt idx="56">
                  <c:v>4.5323444581788219E-3</c:v>
                </c:pt>
                <c:pt idx="57">
                  <c:v>5.0246103363412635E-3</c:v>
                </c:pt>
                <c:pt idx="58">
                  <c:v>1.8161412100806039E-2</c:v>
                </c:pt>
                <c:pt idx="59">
                  <c:v>8.7183084477402539E-3</c:v>
                </c:pt>
                <c:pt idx="60">
                  <c:v>8.7423008146234847E-3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in val="43941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4354811157079945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compute!$A$6:$A$10048</c:f>
              <c:numCache>
                <c:formatCode>[$-409]d\-mmm;@</c:formatCode>
                <c:ptCount val="1004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</c:numCache>
            </c:numRef>
          </c:cat>
          <c:val>
            <c:numRef>
              <c:f>compute!$E$6:$E$10048</c:f>
              <c:numCache>
                <c:formatCode>0.0</c:formatCode>
                <c:ptCount val="10043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  <c:pt idx="52">
                  <c:v>50.686972970738736</c:v>
                </c:pt>
                <c:pt idx="53">
                  <c:v>38.850491503432927</c:v>
                </c:pt>
                <c:pt idx="54">
                  <c:v>45.491086389368192</c:v>
                </c:pt>
                <c:pt idx="55">
                  <c:v>56.199544485007138</c:v>
                </c:pt>
                <c:pt idx="56">
                  <c:v>153.27978576692436</c:v>
                </c:pt>
                <c:pt idx="57">
                  <c:v>138.29671887650707</c:v>
                </c:pt>
                <c:pt idx="58">
                  <c:v>38.511463832788742</c:v>
                </c:pt>
                <c:pt idx="59">
                  <c:v>79.850850515336333</c:v>
                </c:pt>
                <c:pt idx="60">
                  <c:v>79.632656259409558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14159882557054"/>
          <c:y val="0.14576271186440679"/>
          <c:w val="0.79964980648605366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compute!$G$5:$G$10048</c:f>
              <c:numCache>
                <c:formatCode>#,##0</c:formatCode>
                <c:ptCount val="10044"/>
                <c:pt idx="0">
                  <c:v>389.74358974358972</c:v>
                </c:pt>
                <c:pt idx="1">
                  <c:v>502.56410256410254</c:v>
                </c:pt>
                <c:pt idx="2">
                  <c:v>656.41025641025647</c:v>
                </c:pt>
                <c:pt idx="3">
                  <c:v>884.61538461538464</c:v>
                </c:pt>
                <c:pt idx="4">
                  <c:v>1189.7435897435898</c:v>
                </c:pt>
                <c:pt idx="5">
                  <c:v>1546.1538461538462</c:v>
                </c:pt>
                <c:pt idx="6">
                  <c:v>2082.0512820512822</c:v>
                </c:pt>
                <c:pt idx="7">
                  <c:v>2387.1794871794873</c:v>
                </c:pt>
                <c:pt idx="8">
                  <c:v>3023.0769230769229</c:v>
                </c:pt>
                <c:pt idx="9">
                  <c:v>3515.3846153846152</c:v>
                </c:pt>
                <c:pt idx="10">
                  <c:v>4300</c:v>
                </c:pt>
                <c:pt idx="11">
                  <c:v>5023.0769230769229</c:v>
                </c:pt>
                <c:pt idx="12">
                  <c:v>5874.3589743589746</c:v>
                </c:pt>
                <c:pt idx="13">
                  <c:v>6310.2564102564102</c:v>
                </c:pt>
                <c:pt idx="14">
                  <c:v>7184.6153846153848</c:v>
                </c:pt>
                <c:pt idx="15">
                  <c:v>7948.7179487179483</c:v>
                </c:pt>
                <c:pt idx="16">
                  <c:v>8505.1282051282051</c:v>
                </c:pt>
                <c:pt idx="17">
                  <c:v>9197.4358974358965</c:v>
                </c:pt>
                <c:pt idx="18">
                  <c:v>9784.6153846153848</c:v>
                </c:pt>
                <c:pt idx="19">
                  <c:v>10489.74358974359</c:v>
                </c:pt>
                <c:pt idx="20">
                  <c:v>10956.410256410256</c:v>
                </c:pt>
                <c:pt idx="21">
                  <c:v>11505.128205128205</c:v>
                </c:pt>
                <c:pt idx="22">
                  <c:v>11917.948717948719</c:v>
                </c:pt>
                <c:pt idx="23">
                  <c:v>12453.846153846154</c:v>
                </c:pt>
                <c:pt idx="24">
                  <c:v>12866.666666666666</c:v>
                </c:pt>
                <c:pt idx="25">
                  <c:v>13653.846153846154</c:v>
                </c:pt>
                <c:pt idx="26">
                  <c:v>14033.333333333334</c:v>
                </c:pt>
                <c:pt idx="27">
                  <c:v>14474.358974358975</c:v>
                </c:pt>
                <c:pt idx="28">
                  <c:v>15005.128205128205</c:v>
                </c:pt>
                <c:pt idx="29">
                  <c:v>15548.717948717949</c:v>
                </c:pt>
                <c:pt idx="30">
                  <c:v>15966.666666666666</c:v>
                </c:pt>
                <c:pt idx="31">
                  <c:v>16443.589743589742</c:v>
                </c:pt>
                <c:pt idx="32">
                  <c:v>17071.794871794871</c:v>
                </c:pt>
                <c:pt idx="33">
                  <c:v>17205.128205128207</c:v>
                </c:pt>
                <c:pt idx="34">
                  <c:v>17951.282051282051</c:v>
                </c:pt>
                <c:pt idx="35">
                  <c:v>18356.410256410258</c:v>
                </c:pt>
                <c:pt idx="36">
                  <c:v>18882.051282051281</c:v>
                </c:pt>
                <c:pt idx="37">
                  <c:v>19020.51282051282</c:v>
                </c:pt>
                <c:pt idx="38">
                  <c:v>19205.128205128207</c:v>
                </c:pt>
                <c:pt idx="39">
                  <c:v>19705.128205128207</c:v>
                </c:pt>
                <c:pt idx="40">
                  <c:v>20092.307692307691</c:v>
                </c:pt>
                <c:pt idx="41">
                  <c:v>20328.205128205129</c:v>
                </c:pt>
                <c:pt idx="42">
                  <c:v>20938.461538461539</c:v>
                </c:pt>
                <c:pt idx="43">
                  <c:v>21217.948717948719</c:v>
                </c:pt>
                <c:pt idx="44">
                  <c:v>21502.564102564102</c:v>
                </c:pt>
                <c:pt idx="45">
                  <c:v>21876.923076923078</c:v>
                </c:pt>
                <c:pt idx="46">
                  <c:v>22035.897435897437</c:v>
                </c:pt>
                <c:pt idx="47">
                  <c:v>22346.153846153848</c:v>
                </c:pt>
                <c:pt idx="48">
                  <c:v>22623.076923076922</c:v>
                </c:pt>
                <c:pt idx="49">
                  <c:v>22751.282051282051</c:v>
                </c:pt>
                <c:pt idx="50">
                  <c:v>23115.384615384617</c:v>
                </c:pt>
                <c:pt idx="51">
                  <c:v>23258.974358974359</c:v>
                </c:pt>
                <c:pt idx="52">
                  <c:v>23464.102564102563</c:v>
                </c:pt>
                <c:pt idx="53">
                  <c:v>23787.179487179488</c:v>
                </c:pt>
                <c:pt idx="54">
                  <c:v>24215.384615384617</c:v>
                </c:pt>
                <c:pt idx="55">
                  <c:v>24587.179487179488</c:v>
                </c:pt>
                <c:pt idx="56">
                  <c:v>24892.307692307691</c:v>
                </c:pt>
                <c:pt idx="57">
                  <c:v>25005.128205128207</c:v>
                </c:pt>
                <c:pt idx="58">
                  <c:v>25130.76923076923</c:v>
                </c:pt>
                <c:pt idx="59">
                  <c:v>25587.179487179488</c:v>
                </c:pt>
                <c:pt idx="60">
                  <c:v>25810.25641025641</c:v>
                </c:pt>
                <c:pt idx="61">
                  <c:v>26035.897435897437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compute!$I$5:$I$10048</c:f>
              <c:numCache>
                <c:formatCode>#,##0</c:formatCode>
                <c:ptCount val="10044"/>
                <c:pt idx="0">
                  <c:v>173.21937321937321</c:v>
                </c:pt>
                <c:pt idx="1">
                  <c:v>223.36182336182344</c:v>
                </c:pt>
                <c:pt idx="2">
                  <c:v>291.73789173789169</c:v>
                </c:pt>
                <c:pt idx="3">
                  <c:v>393.16239316239319</c:v>
                </c:pt>
                <c:pt idx="4">
                  <c:v>528.77492877492864</c:v>
                </c:pt>
                <c:pt idx="5">
                  <c:v>687.1794871794873</c:v>
                </c:pt>
                <c:pt idx="6">
                  <c:v>925.35612535612518</c:v>
                </c:pt>
                <c:pt idx="7">
                  <c:v>1060.968660968661</c:v>
                </c:pt>
                <c:pt idx="8">
                  <c:v>1343.5897435897441</c:v>
                </c:pt>
                <c:pt idx="9">
                  <c:v>1562.3931623931621</c:v>
                </c:pt>
                <c:pt idx="10">
                  <c:v>1911.1111111111113</c:v>
                </c:pt>
                <c:pt idx="11">
                  <c:v>2232.4786324786328</c:v>
                </c:pt>
                <c:pt idx="12">
                  <c:v>2610.8262108262097</c:v>
                </c:pt>
                <c:pt idx="13">
                  <c:v>2804.5584045584055</c:v>
                </c:pt>
                <c:pt idx="14">
                  <c:v>3193.1623931623926</c:v>
                </c:pt>
                <c:pt idx="15">
                  <c:v>3532.7635327635335</c:v>
                </c:pt>
                <c:pt idx="16">
                  <c:v>3780.0569800569792</c:v>
                </c:pt>
                <c:pt idx="17">
                  <c:v>4087.7492877492878</c:v>
                </c:pt>
                <c:pt idx="18">
                  <c:v>4348.7179487179492</c:v>
                </c:pt>
                <c:pt idx="19">
                  <c:v>4662.1082621082624</c:v>
                </c:pt>
                <c:pt idx="20">
                  <c:v>4869.5156695156693</c:v>
                </c:pt>
                <c:pt idx="21">
                  <c:v>5113.3903133903132</c:v>
                </c:pt>
                <c:pt idx="22">
                  <c:v>5296.8660968660952</c:v>
                </c:pt>
                <c:pt idx="23">
                  <c:v>5535.0427350427362</c:v>
                </c:pt>
                <c:pt idx="24">
                  <c:v>5718.5185185185201</c:v>
                </c:pt>
                <c:pt idx="25">
                  <c:v>6068.3760683760684</c:v>
                </c:pt>
                <c:pt idx="26">
                  <c:v>6237.0370370370347</c:v>
                </c:pt>
                <c:pt idx="27">
                  <c:v>6433.0484330484342</c:v>
                </c:pt>
                <c:pt idx="28">
                  <c:v>6668.9458689458679</c:v>
                </c:pt>
                <c:pt idx="29">
                  <c:v>6910.5413105413099</c:v>
                </c:pt>
                <c:pt idx="30">
                  <c:v>7096.2962962962974</c:v>
                </c:pt>
                <c:pt idx="31">
                  <c:v>7308.2621082621081</c:v>
                </c:pt>
                <c:pt idx="32">
                  <c:v>7587.464387464388</c:v>
                </c:pt>
                <c:pt idx="33">
                  <c:v>7646.7236467236435</c:v>
                </c:pt>
                <c:pt idx="34">
                  <c:v>7978.3475783475806</c:v>
                </c:pt>
                <c:pt idx="35">
                  <c:v>8158.4045584045562</c:v>
                </c:pt>
                <c:pt idx="36">
                  <c:v>8392.0227920227917</c:v>
                </c:pt>
                <c:pt idx="37">
                  <c:v>8453.5612535612527</c:v>
                </c:pt>
                <c:pt idx="38">
                  <c:v>8535.612535612534</c:v>
                </c:pt>
                <c:pt idx="39">
                  <c:v>8757.8347578347566</c:v>
                </c:pt>
                <c:pt idx="40">
                  <c:v>8929.9145299145312</c:v>
                </c:pt>
                <c:pt idx="41">
                  <c:v>9034.7578347578346</c:v>
                </c:pt>
                <c:pt idx="42">
                  <c:v>9305.9829059829062</c:v>
                </c:pt>
                <c:pt idx="43">
                  <c:v>9430.1994301994309</c:v>
                </c:pt>
                <c:pt idx="44">
                  <c:v>9556.6951566951575</c:v>
                </c:pt>
                <c:pt idx="45">
                  <c:v>9723.076923076922</c:v>
                </c:pt>
                <c:pt idx="46">
                  <c:v>9793.732193732194</c:v>
                </c:pt>
                <c:pt idx="47">
                  <c:v>9931.6239316239298</c:v>
                </c:pt>
                <c:pt idx="48">
                  <c:v>10054.700854700855</c:v>
                </c:pt>
                <c:pt idx="49">
                  <c:v>10111.680911680913</c:v>
                </c:pt>
                <c:pt idx="50">
                  <c:v>10273.504273504273</c:v>
                </c:pt>
                <c:pt idx="51">
                  <c:v>10337.32193732194</c:v>
                </c:pt>
                <c:pt idx="52">
                  <c:v>10428.490028490029</c:v>
                </c:pt>
                <c:pt idx="53">
                  <c:v>10572.079772079775</c:v>
                </c:pt>
                <c:pt idx="54">
                  <c:v>10762.393162393164</c:v>
                </c:pt>
                <c:pt idx="55">
                  <c:v>10927.635327635329</c:v>
                </c:pt>
                <c:pt idx="56">
                  <c:v>11063.247863247863</c:v>
                </c:pt>
                <c:pt idx="57">
                  <c:v>11113.390313390311</c:v>
                </c:pt>
                <c:pt idx="58">
                  <c:v>11169.23076923077</c:v>
                </c:pt>
                <c:pt idx="59">
                  <c:v>11372.079772079775</c:v>
                </c:pt>
                <c:pt idx="60">
                  <c:v>11471.225071225072</c:v>
                </c:pt>
                <c:pt idx="61">
                  <c:v>11571.509971509971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compute!$F$5:$F$10048</c:f>
              <c:numCache>
                <c:formatCode>#,##0</c:formatCode>
                <c:ptCount val="10044"/>
                <c:pt idx="0">
                  <c:v>460.60606060606062</c:v>
                </c:pt>
                <c:pt idx="1">
                  <c:v>593.93939393939399</c:v>
                </c:pt>
                <c:pt idx="2">
                  <c:v>775.75757575757575</c:v>
                </c:pt>
                <c:pt idx="3">
                  <c:v>1045.4545454545455</c:v>
                </c:pt>
                <c:pt idx="4">
                  <c:v>1406.060606060606</c:v>
                </c:pt>
                <c:pt idx="5">
                  <c:v>1827.2727272727273</c:v>
                </c:pt>
                <c:pt idx="6">
                  <c:v>2460.6060606060605</c:v>
                </c:pt>
                <c:pt idx="7">
                  <c:v>2821.212121212121</c:v>
                </c:pt>
                <c:pt idx="8">
                  <c:v>3572.7272727272725</c:v>
                </c:pt>
                <c:pt idx="9">
                  <c:v>4154.545454545455</c:v>
                </c:pt>
                <c:pt idx="10">
                  <c:v>5081.818181818182</c:v>
                </c:pt>
                <c:pt idx="11">
                  <c:v>5936.363636363636</c:v>
                </c:pt>
                <c:pt idx="12">
                  <c:v>6942.424242424242</c:v>
                </c:pt>
                <c:pt idx="13">
                  <c:v>7457.575757575758</c:v>
                </c:pt>
                <c:pt idx="14">
                  <c:v>8490.9090909090901</c:v>
                </c:pt>
                <c:pt idx="15">
                  <c:v>9393.939393939394</c:v>
                </c:pt>
                <c:pt idx="16">
                  <c:v>10051.515151515152</c:v>
                </c:pt>
                <c:pt idx="17">
                  <c:v>10869.69696969697</c:v>
                </c:pt>
                <c:pt idx="18">
                  <c:v>11563.636363636364</c:v>
                </c:pt>
                <c:pt idx="19">
                  <c:v>12396.969696969696</c:v>
                </c:pt>
                <c:pt idx="20">
                  <c:v>12948.484848484848</c:v>
                </c:pt>
                <c:pt idx="21">
                  <c:v>13596.969696969696</c:v>
                </c:pt>
                <c:pt idx="22">
                  <c:v>14084.848484848484</c:v>
                </c:pt>
                <c:pt idx="23">
                  <c:v>14718.181818181818</c:v>
                </c:pt>
                <c:pt idx="24">
                  <c:v>15206.060606060606</c:v>
                </c:pt>
                <c:pt idx="25">
                  <c:v>16136.363636363636</c:v>
                </c:pt>
                <c:pt idx="26">
                  <c:v>16584.848484848484</c:v>
                </c:pt>
                <c:pt idx="27">
                  <c:v>17106.060606060608</c:v>
                </c:pt>
                <c:pt idx="28">
                  <c:v>17733.333333333332</c:v>
                </c:pt>
                <c:pt idx="29">
                  <c:v>18375.757575757576</c:v>
                </c:pt>
                <c:pt idx="30">
                  <c:v>18869.696969696968</c:v>
                </c:pt>
                <c:pt idx="31">
                  <c:v>19433.333333333332</c:v>
                </c:pt>
                <c:pt idx="32">
                  <c:v>20175.757575757576</c:v>
                </c:pt>
                <c:pt idx="33">
                  <c:v>20333.333333333332</c:v>
                </c:pt>
                <c:pt idx="34">
                  <c:v>21215.151515151516</c:v>
                </c:pt>
                <c:pt idx="35">
                  <c:v>21693.939393939392</c:v>
                </c:pt>
                <c:pt idx="36">
                  <c:v>22315.151515151516</c:v>
                </c:pt>
                <c:pt idx="37">
                  <c:v>22478.78787878788</c:v>
                </c:pt>
                <c:pt idx="38">
                  <c:v>22696.969696969696</c:v>
                </c:pt>
                <c:pt idx="39">
                  <c:v>23287.878787878788</c:v>
                </c:pt>
                <c:pt idx="40">
                  <c:v>23745.454545454544</c:v>
                </c:pt>
                <c:pt idx="41">
                  <c:v>24024.242424242424</c:v>
                </c:pt>
                <c:pt idx="42">
                  <c:v>24745.454545454544</c:v>
                </c:pt>
                <c:pt idx="43">
                  <c:v>25075.757575757576</c:v>
                </c:pt>
                <c:pt idx="44">
                  <c:v>25412.121212121212</c:v>
                </c:pt>
                <c:pt idx="45">
                  <c:v>25854.545454545456</c:v>
                </c:pt>
                <c:pt idx="46">
                  <c:v>26042.424242424244</c:v>
                </c:pt>
                <c:pt idx="47">
                  <c:v>26409.090909090908</c:v>
                </c:pt>
                <c:pt idx="48">
                  <c:v>26736.363636363636</c:v>
                </c:pt>
                <c:pt idx="49">
                  <c:v>26887.878787878788</c:v>
                </c:pt>
                <c:pt idx="50">
                  <c:v>27318.18181818182</c:v>
                </c:pt>
                <c:pt idx="51">
                  <c:v>27487.878787878788</c:v>
                </c:pt>
                <c:pt idx="52">
                  <c:v>27730.303030303032</c:v>
                </c:pt>
                <c:pt idx="53">
                  <c:v>28112.121212121212</c:v>
                </c:pt>
                <c:pt idx="54">
                  <c:v>28618.18181818182</c:v>
                </c:pt>
                <c:pt idx="55">
                  <c:v>29057.575757575756</c:v>
                </c:pt>
                <c:pt idx="56">
                  <c:v>29418.18181818182</c:v>
                </c:pt>
                <c:pt idx="57">
                  <c:v>29551.515151515152</c:v>
                </c:pt>
                <c:pt idx="58">
                  <c:v>29700</c:v>
                </c:pt>
                <c:pt idx="59">
                  <c:v>30239.39393939394</c:v>
                </c:pt>
                <c:pt idx="60">
                  <c:v>30503.030303030304</c:v>
                </c:pt>
                <c:pt idx="61">
                  <c:v>30769.696969696968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294007740557851E-2"/>
          <c:y val="0.14745762711864407"/>
          <c:w val="0.8525818764179901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compute!$A$5:$A$66</c:f>
              <c:numCache>
                <c:formatCode>[$-409]d\-mmm;@</c:formatCode>
                <c:ptCount val="6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compute!$L$5:$L$66</c:f>
              <c:numCache>
                <c:formatCode>0.0%</c:formatCode>
                <c:ptCount val="62"/>
                <c:pt idx="0">
                  <c:v>8.2763219981480632E-4</c:v>
                </c:pt>
                <c:pt idx="1">
                  <c:v>1.0672099418664609E-3</c:v>
                </c:pt>
                <c:pt idx="2">
                  <c:v>1.3939068628459898E-3</c:v>
                </c:pt>
                <c:pt idx="3">
                  <c:v>1.878507295632291E-3</c:v>
                </c:pt>
                <c:pt idx="4">
                  <c:v>2.5264561889083567E-3</c:v>
                </c:pt>
                <c:pt idx="5">
                  <c:v>3.2833040558442649E-3</c:v>
                </c:pt>
                <c:pt idx="6">
                  <c:v>4.421298330589624E-3</c:v>
                </c:pt>
                <c:pt idx="7">
                  <c:v>5.0692472238656897E-3</c:v>
                </c:pt>
                <c:pt idx="8">
                  <c:v>6.4195944972477411E-3</c:v>
                </c:pt>
                <c:pt idx="9">
                  <c:v>7.465024644382234E-3</c:v>
                </c:pt>
                <c:pt idx="10">
                  <c:v>9.1311789413778318E-3</c:v>
                </c:pt>
                <c:pt idx="11">
                  <c:v>1.0666654469981615E-2</c:v>
                </c:pt>
                <c:pt idx="12">
                  <c:v>1.2474377432735011E-2</c:v>
                </c:pt>
                <c:pt idx="13">
                  <c:v>1.3400018708843674E-2</c:v>
                </c:pt>
                <c:pt idx="14">
                  <c:v>1.5256746209743998E-2</c:v>
                </c:pt>
                <c:pt idx="15">
                  <c:v>1.6879340917275654E-2</c:v>
                </c:pt>
                <c:pt idx="16">
                  <c:v>1.8060894781484954E-2</c:v>
                </c:pt>
                <c:pt idx="17">
                  <c:v>1.9531030925892832E-2</c:v>
                </c:pt>
                <c:pt idx="18">
                  <c:v>2.0777924174298034E-2</c:v>
                </c:pt>
                <c:pt idx="19">
                  <c:v>2.2275285062120877E-2</c:v>
                </c:pt>
                <c:pt idx="20">
                  <c:v>2.3266265722425444E-2</c:v>
                </c:pt>
                <c:pt idx="21">
                  <c:v>2.4431484740585766E-2</c:v>
                </c:pt>
                <c:pt idx="22">
                  <c:v>2.5308121478547503E-2</c:v>
                </c:pt>
                <c:pt idx="23">
                  <c:v>2.6446115753292861E-2</c:v>
                </c:pt>
                <c:pt idx="24">
                  <c:v>2.7322752491254595E-2</c:v>
                </c:pt>
                <c:pt idx="25">
                  <c:v>2.8994351736933186E-2</c:v>
                </c:pt>
                <c:pt idx="26">
                  <c:v>2.9800204142016024E-2</c:v>
                </c:pt>
                <c:pt idx="27">
                  <c:v>3.0736735315490673E-2</c:v>
                </c:pt>
                <c:pt idx="28">
                  <c:v>3.1863839692870044E-2</c:v>
                </c:pt>
                <c:pt idx="29">
                  <c:v>3.3018168813664379E-2</c:v>
                </c:pt>
                <c:pt idx="30">
                  <c:v>3.39056954489921E-2</c:v>
                </c:pt>
                <c:pt idx="31">
                  <c:v>3.4918455904028638E-2</c:v>
                </c:pt>
                <c:pt idx="32">
                  <c:v>3.6252468331361719E-2</c:v>
                </c:pt>
                <c:pt idx="33">
                  <c:v>3.6535605662877314E-2</c:v>
                </c:pt>
                <c:pt idx="34">
                  <c:v>3.8120085729628023E-2</c:v>
                </c:pt>
                <c:pt idx="35">
                  <c:v>3.8980387621540789E-2</c:v>
                </c:pt>
                <c:pt idx="36">
                  <c:v>4.009660210155417E-2</c:v>
                </c:pt>
                <c:pt idx="37">
                  <c:v>4.0390629330435752E-2</c:v>
                </c:pt>
                <c:pt idx="38">
                  <c:v>4.0782665635611184E-2</c:v>
                </c:pt>
                <c:pt idx="39">
                  <c:v>4.1844430628794657E-2</c:v>
                </c:pt>
                <c:pt idx="40">
                  <c:v>4.2666617879926462E-2</c:v>
                </c:pt>
                <c:pt idx="41">
                  <c:v>4.3167553158761744E-2</c:v>
                </c:pt>
                <c:pt idx="42">
                  <c:v>4.4463450945313877E-2</c:v>
                </c:pt>
                <c:pt idx="43">
                  <c:v>4.5056950351760022E-2</c:v>
                </c:pt>
                <c:pt idx="44">
                  <c:v>4.5661339655572147E-2</c:v>
                </c:pt>
                <c:pt idx="45">
                  <c:v>4.6456302163289005E-2</c:v>
                </c:pt>
                <c:pt idx="46">
                  <c:v>4.6793888981634515E-2</c:v>
                </c:pt>
                <c:pt idx="47">
                  <c:v>4.7452727772276569E-2</c:v>
                </c:pt>
                <c:pt idx="48">
                  <c:v>4.8040782230039714E-2</c:v>
                </c:pt>
                <c:pt idx="49">
                  <c:v>4.8313029664189322E-2</c:v>
                </c:pt>
                <c:pt idx="50">
                  <c:v>4.9086212377174213E-2</c:v>
                </c:pt>
                <c:pt idx="51">
                  <c:v>4.9391129503421768E-2</c:v>
                </c:pt>
                <c:pt idx="52">
                  <c:v>4.9826725398061135E-2</c:v>
                </c:pt>
                <c:pt idx="53">
                  <c:v>5.0512788932118156E-2</c:v>
                </c:pt>
                <c:pt idx="54">
                  <c:v>5.1422095362177844E-2</c:v>
                </c:pt>
                <c:pt idx="55">
                  <c:v>5.2211612921211702E-2</c:v>
                </c:pt>
                <c:pt idx="56">
                  <c:v>5.2859561814487768E-2</c:v>
                </c:pt>
                <c:pt idx="57">
                  <c:v>5.3099139556539422E-2</c:v>
                </c:pt>
                <c:pt idx="58">
                  <c:v>5.3365942042006037E-2</c:v>
                </c:pt>
                <c:pt idx="59">
                  <c:v>5.433514290757864E-2</c:v>
                </c:pt>
                <c:pt idx="60">
                  <c:v>5.4808853442998955E-2</c:v>
                </c:pt>
                <c:pt idx="61">
                  <c:v>5.528800892710227E-2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compute!$A$5:$A$66</c:f>
              <c:numCache>
                <c:formatCode>[$-409]d\-mmm;@</c:formatCode>
                <c:ptCount val="6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compute!$N$5:$N$66</c:f>
              <c:numCache>
                <c:formatCode>0.00%</c:formatCode>
                <c:ptCount val="62"/>
                <c:pt idx="0">
                  <c:v>3.6783653325102512E-4</c:v>
                </c:pt>
                <c:pt idx="1">
                  <c:v>4.7431552971842722E-4</c:v>
                </c:pt>
                <c:pt idx="2">
                  <c:v>6.1951416126488409E-4</c:v>
                </c:pt>
                <c:pt idx="3">
                  <c:v>8.3489213139212922E-4</c:v>
                </c:pt>
                <c:pt idx="4">
                  <c:v>1.1228694172926027E-3</c:v>
                </c:pt>
                <c:pt idx="5">
                  <c:v>1.4592462470418956E-3</c:v>
                </c:pt>
                <c:pt idx="6">
                  <c:v>1.9650214802620549E-3</c:v>
                </c:pt>
                <c:pt idx="7">
                  <c:v>2.2529987661625284E-3</c:v>
                </c:pt>
                <c:pt idx="8">
                  <c:v>2.8531531098878868E-3</c:v>
                </c:pt>
                <c:pt idx="9">
                  <c:v>3.3177887308365479E-3</c:v>
                </c:pt>
                <c:pt idx="10">
                  <c:v>4.0583017517234806E-3</c:v>
                </c:pt>
                <c:pt idx="11">
                  <c:v>4.740735319991831E-3</c:v>
                </c:pt>
                <c:pt idx="12">
                  <c:v>5.5441677478822223E-3</c:v>
                </c:pt>
                <c:pt idx="13">
                  <c:v>5.9555638705971921E-3</c:v>
                </c:pt>
                <c:pt idx="14">
                  <c:v>6.7807760932195524E-3</c:v>
                </c:pt>
                <c:pt idx="15">
                  <c:v>7.5019292965669629E-3</c:v>
                </c:pt>
                <c:pt idx="16">
                  <c:v>8.0270643473266436E-3</c:v>
                </c:pt>
                <c:pt idx="17">
                  <c:v>8.6804581892857002E-3</c:v>
                </c:pt>
                <c:pt idx="18">
                  <c:v>9.2346329663546833E-3</c:v>
                </c:pt>
                <c:pt idx="19">
                  <c:v>9.9001266942759444E-3</c:v>
                </c:pt>
                <c:pt idx="20">
                  <c:v>1.0340562543300198E-2</c:v>
                </c:pt>
                <c:pt idx="21">
                  <c:v>1.0858437662482564E-2</c:v>
                </c:pt>
                <c:pt idx="22">
                  <c:v>1.1248053990465551E-2</c:v>
                </c:pt>
                <c:pt idx="23">
                  <c:v>1.175382922368572E-2</c:v>
                </c:pt>
                <c:pt idx="24">
                  <c:v>1.214344555166871E-2</c:v>
                </c:pt>
                <c:pt idx="25">
                  <c:v>1.2886378549748081E-2</c:v>
                </c:pt>
                <c:pt idx="26">
                  <c:v>1.3244535174229338E-2</c:v>
                </c:pt>
                <c:pt idx="27">
                  <c:v>1.3660771251329192E-2</c:v>
                </c:pt>
                <c:pt idx="28">
                  <c:v>1.4161706530164464E-2</c:v>
                </c:pt>
                <c:pt idx="29">
                  <c:v>1.4674741694961947E-2</c:v>
                </c:pt>
                <c:pt idx="30">
                  <c:v>1.5069197977329828E-2</c:v>
                </c:pt>
                <c:pt idx="31">
                  <c:v>1.5519313735123844E-2</c:v>
                </c:pt>
                <c:pt idx="32">
                  <c:v>1.6112208147271871E-2</c:v>
                </c:pt>
                <c:pt idx="33">
                  <c:v>1.6238046961278799E-2</c:v>
                </c:pt>
                <c:pt idx="34">
                  <c:v>1.6942260324279125E-2</c:v>
                </c:pt>
                <c:pt idx="35">
                  <c:v>1.7324616720684784E-2</c:v>
                </c:pt>
                <c:pt idx="36">
                  <c:v>1.782071204513519E-2</c:v>
                </c:pt>
                <c:pt idx="37">
                  <c:v>1.7951390813526993E-2</c:v>
                </c:pt>
                <c:pt idx="38">
                  <c:v>1.8125629171382746E-2</c:v>
                </c:pt>
                <c:pt idx="39">
                  <c:v>1.8597524723908729E-2</c:v>
                </c:pt>
                <c:pt idx="40">
                  <c:v>1.8962941279967324E-2</c:v>
                </c:pt>
                <c:pt idx="41">
                  <c:v>1.9185579181671887E-2</c:v>
                </c:pt>
                <c:pt idx="42">
                  <c:v>1.9761533753472831E-2</c:v>
                </c:pt>
                <c:pt idx="43">
                  <c:v>2.00253112674489E-2</c:v>
                </c:pt>
                <c:pt idx="44">
                  <c:v>2.0293928735809846E-2</c:v>
                </c:pt>
                <c:pt idx="45">
                  <c:v>2.0647245405906213E-2</c:v>
                </c:pt>
                <c:pt idx="46">
                  <c:v>2.079728399183757E-2</c:v>
                </c:pt>
                <c:pt idx="47">
                  <c:v>2.1090101232122911E-2</c:v>
                </c:pt>
                <c:pt idx="48">
                  <c:v>2.1351458768906539E-2</c:v>
                </c:pt>
                <c:pt idx="49">
                  <c:v>2.1472457628528591E-2</c:v>
                </c:pt>
                <c:pt idx="50">
                  <c:v>2.1816094389855198E-2</c:v>
                </c:pt>
                <c:pt idx="51">
                  <c:v>2.1951613112631899E-2</c:v>
                </c:pt>
                <c:pt idx="52">
                  <c:v>2.2145211288027176E-2</c:v>
                </c:pt>
                <c:pt idx="53">
                  <c:v>2.2450128414274732E-2</c:v>
                </c:pt>
                <c:pt idx="54">
                  <c:v>2.2854264605412372E-2</c:v>
                </c:pt>
                <c:pt idx="55">
                  <c:v>2.3205161298316311E-2</c:v>
                </c:pt>
                <c:pt idx="56">
                  <c:v>2.3493138584216783E-2</c:v>
                </c:pt>
                <c:pt idx="57">
                  <c:v>2.3599617580684192E-2</c:v>
                </c:pt>
                <c:pt idx="58">
                  <c:v>2.3718196463113794E-2</c:v>
                </c:pt>
                <c:pt idx="59">
                  <c:v>2.4148952403368285E-2</c:v>
                </c:pt>
                <c:pt idx="60">
                  <c:v>2.4359490419110653E-2</c:v>
                </c:pt>
                <c:pt idx="61">
                  <c:v>2.457244841204545E-2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compute!$A$5:$A$66</c:f>
              <c:numCache>
                <c:formatCode>[$-409]d\-mmm;@</c:formatCode>
                <c:ptCount val="6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compute!$K$5:$K$66</c:f>
              <c:numCache>
                <c:formatCode>0.0%</c:formatCode>
                <c:ptCount val="62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  <c:pt idx="58">
                  <c:v>6.3068840595098041E-2</c:v>
                </c:pt>
                <c:pt idx="59">
                  <c:v>6.4214259799865669E-2</c:v>
                </c:pt>
                <c:pt idx="60">
                  <c:v>6.4774099523544224E-2</c:v>
                </c:pt>
                <c:pt idx="61">
                  <c:v>6.5340374186575401E-2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compute!$Q$5:$Q$10048</c:f>
              <c:numCache>
                <c:formatCode>0</c:formatCode>
                <c:ptCount val="10044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  <c:pt idx="53">
                  <c:v>7.2516361508492588</c:v>
                </c:pt>
                <c:pt idx="54">
                  <c:v>7.1234041265807466</c:v>
                </c:pt>
                <c:pt idx="55">
                  <c:v>7.0156876182530574</c:v>
                </c:pt>
                <c:pt idx="56">
                  <c:v>6.9296897992818884</c:v>
                </c:pt>
                <c:pt idx="57">
                  <c:v>6.898423766553381</c:v>
                </c:pt>
                <c:pt idx="58">
                  <c:v>6.8639351669654696</c:v>
                </c:pt>
                <c:pt idx="59">
                  <c:v>6.7415000071578888</c:v>
                </c:pt>
                <c:pt idx="60">
                  <c:v>6.6832335159376681</c:v>
                </c:pt>
                <c:pt idx="61">
                  <c:v>6.6253130363825656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compute!$R$5:$R$10048</c:f>
              <c:numCache>
                <c:formatCode>0</c:formatCode>
                <c:ptCount val="10044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  <c:pt idx="53">
                  <c:v>2.9006544603397026</c:v>
                </c:pt>
                <c:pt idx="54">
                  <c:v>2.8493616506322983</c:v>
                </c:pt>
                <c:pt idx="55">
                  <c:v>2.8062750473012237</c:v>
                </c:pt>
                <c:pt idx="56">
                  <c:v>2.7718759197127554</c:v>
                </c:pt>
                <c:pt idx="57">
                  <c:v>2.7593695066213533</c:v>
                </c:pt>
                <c:pt idx="58">
                  <c:v>2.7455740667861877</c:v>
                </c:pt>
                <c:pt idx="59">
                  <c:v>2.6966000028631552</c:v>
                </c:pt>
                <c:pt idx="60">
                  <c:v>2.6732934063750671</c:v>
                </c:pt>
                <c:pt idx="61">
                  <c:v>2.6501252145530261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F-5147-82F7-F5AF9512A8E3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F-5147-82F7-F5AF9512A8E3}"/>
                </c:ext>
              </c:extLst>
            </c:dLbl>
            <c:dLbl>
              <c:idx val="60"/>
              <c:layout>
                <c:manualLayout>
                  <c:x val="-8.71794871794873E-2"/>
                  <c:y val="-5.59322033898306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F-5147-82F7-F5AF9512A8E3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F-5147-82F7-F5AF9512A8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compute!$S$5:$S$10048</c:f>
              <c:numCache>
                <c:formatCode>0</c:formatCode>
                <c:ptCount val="10044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  <c:pt idx="53">
                  <c:v>8.7019633810191106</c:v>
                </c:pt>
                <c:pt idx="54">
                  <c:v>8.5480849518968967</c:v>
                </c:pt>
                <c:pt idx="55">
                  <c:v>8.4188251419036693</c:v>
                </c:pt>
                <c:pt idx="56">
                  <c:v>8.3156277591382661</c:v>
                </c:pt>
                <c:pt idx="57">
                  <c:v>8.2781085198640572</c:v>
                </c:pt>
                <c:pt idx="58">
                  <c:v>8.2367222003585638</c:v>
                </c:pt>
                <c:pt idx="59">
                  <c:v>8.0898000085894672</c:v>
                </c:pt>
                <c:pt idx="60">
                  <c:v>8.0198802191252021</c:v>
                </c:pt>
                <c:pt idx="61">
                  <c:v>7.9503756436590791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compute!$C$5:$C$67</c:f>
              <c:numCache>
                <c:formatCode>0.0%</c:formatCode>
                <c:ptCount val="63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  <c:pt idx="58">
                  <c:v>2.0812717396382355E-2</c:v>
                </c:pt>
                <c:pt idx="59">
                  <c:v>2.1190705733955668E-2</c:v>
                </c:pt>
                <c:pt idx="60">
                  <c:v>2.1375452842769593E-2</c:v>
                </c:pt>
                <c:pt idx="61">
                  <c:v>2.1562323481569882E-2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compute!$C$5:$C$67</c:f>
              <c:numCache>
                <c:formatCode>0.0%</c:formatCode>
                <c:ptCount val="63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  <c:pt idx="53">
                  <c:v>1.9699987683526078E-2</c:v>
                </c:pt>
                <c:pt idx="54">
                  <c:v>2.0054617191249357E-2</c:v>
                </c:pt>
                <c:pt idx="55">
                  <c:v>2.0362529039272565E-2</c:v>
                </c:pt>
                <c:pt idx="56">
                  <c:v>2.0615229107650228E-2</c:v>
                </c:pt>
                <c:pt idx="57">
                  <c:v>2.0708664427050376E-2</c:v>
                </c:pt>
                <c:pt idx="58">
                  <c:v>2.0812717396382355E-2</c:v>
                </c:pt>
                <c:pt idx="59">
                  <c:v>2.1190705733955668E-2</c:v>
                </c:pt>
                <c:pt idx="60">
                  <c:v>2.1375452842769593E-2</c:v>
                </c:pt>
                <c:pt idx="61">
                  <c:v>2.1562323481569882E-2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inorUnit val="90"/>
      </c:date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compute!$A$5:$A$10048</c:f>
              <c:numCache>
                <c:formatCode>[$-409]d\-mmm;@</c:formatCode>
                <c:ptCount val="1004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</c:numCache>
            </c:numRef>
          </c:cat>
          <c:val>
            <c:numRef>
              <c:f>compute!$K$5:$K$66</c:f>
              <c:numCache>
                <c:formatCode>0.0%</c:formatCode>
                <c:ptCount val="62"/>
                <c:pt idx="0">
                  <c:v>9.7811078159931665E-4</c:v>
                </c:pt>
                <c:pt idx="1">
                  <c:v>1.2612481131149085E-3</c:v>
                </c:pt>
                <c:pt idx="2">
                  <c:v>1.6473444742725334E-3</c:v>
                </c:pt>
                <c:pt idx="3">
                  <c:v>2.220054076656344E-3</c:v>
                </c:pt>
                <c:pt idx="4">
                  <c:v>2.9858118596189664E-3</c:v>
                </c:pt>
                <c:pt idx="5">
                  <c:v>3.8802684296341313E-3</c:v>
                </c:pt>
                <c:pt idx="6">
                  <c:v>5.2251707543331917E-3</c:v>
                </c:pt>
                <c:pt idx="7">
                  <c:v>5.9909285372958141E-3</c:v>
                </c:pt>
                <c:pt idx="8">
                  <c:v>7.5867934967473304E-3</c:v>
                </c:pt>
                <c:pt idx="9">
                  <c:v>8.8223018524517319E-3</c:v>
                </c:pt>
                <c:pt idx="10">
                  <c:v>1.079139329435562E-2</c:v>
                </c:pt>
                <c:pt idx="11">
                  <c:v>1.2606046191796455E-2</c:v>
                </c:pt>
                <c:pt idx="12">
                  <c:v>1.4742446056868646E-2</c:v>
                </c:pt>
                <c:pt idx="13">
                  <c:v>1.5836385746815253E-2</c:v>
                </c:pt>
                <c:pt idx="14">
                  <c:v>1.8030700066061087E-2</c:v>
                </c:pt>
                <c:pt idx="15">
                  <c:v>1.9948311993143959E-2</c:v>
                </c:pt>
                <c:pt idx="16">
                  <c:v>2.1344693832664036E-2</c:v>
                </c:pt>
                <c:pt idx="17">
                  <c:v>2.3082127457873348E-2</c:v>
                </c:pt>
                <c:pt idx="18">
                  <c:v>2.455572856962495E-2</c:v>
                </c:pt>
                <c:pt idx="19">
                  <c:v>2.6325336891597394E-2</c:v>
                </c:pt>
                <c:pt idx="20">
                  <c:v>2.7496495853775525E-2</c:v>
                </c:pt>
                <c:pt idx="21">
                  <c:v>2.8873572875237719E-2</c:v>
                </c:pt>
                <c:pt idx="22">
                  <c:v>2.9909598111010682E-2</c:v>
                </c:pt>
                <c:pt idx="23">
                  <c:v>3.1254500435709744E-2</c:v>
                </c:pt>
                <c:pt idx="24">
                  <c:v>3.2290525671482703E-2</c:v>
                </c:pt>
                <c:pt idx="25">
                  <c:v>3.4266052052739221E-2</c:v>
                </c:pt>
                <c:pt idx="26">
                  <c:v>3.5218423076928025E-2</c:v>
                </c:pt>
                <c:pt idx="27">
                  <c:v>3.6325232645579887E-2</c:v>
                </c:pt>
                <c:pt idx="28">
                  <c:v>3.7657265091573688E-2</c:v>
                </c:pt>
                <c:pt idx="29">
                  <c:v>3.9021472234330633E-2</c:v>
                </c:pt>
                <c:pt idx="30">
                  <c:v>4.0070367348808845E-2</c:v>
                </c:pt>
                <c:pt idx="31">
                  <c:v>4.1267266068397486E-2</c:v>
                </c:pt>
                <c:pt idx="32">
                  <c:v>4.2843826209791123E-2</c:v>
                </c:pt>
                <c:pt idx="33">
                  <c:v>4.3178443056127724E-2</c:v>
                </c:pt>
                <c:pt idx="34">
                  <c:v>4.505101040774221E-2</c:v>
                </c:pt>
                <c:pt idx="35">
                  <c:v>4.6067730825457287E-2</c:v>
                </c:pt>
                <c:pt idx="36">
                  <c:v>4.7386893392745842E-2</c:v>
                </c:pt>
                <c:pt idx="37">
                  <c:v>4.7734380117787703E-2</c:v>
                </c:pt>
                <c:pt idx="38">
                  <c:v>4.8197695751176849E-2</c:v>
                </c:pt>
                <c:pt idx="39">
                  <c:v>4.9452508924939138E-2</c:v>
                </c:pt>
                <c:pt idx="40">
                  <c:v>5.0424184767185819E-2</c:v>
                </c:pt>
                <c:pt idx="41">
                  <c:v>5.1016199187627516E-2</c:v>
                </c:pt>
                <c:pt idx="42">
                  <c:v>5.2547714753552757E-2</c:v>
                </c:pt>
                <c:pt idx="43">
                  <c:v>5.3249123142989116E-2</c:v>
                </c:pt>
                <c:pt idx="44">
                  <c:v>5.3963401411130721E-2</c:v>
                </c:pt>
                <c:pt idx="45">
                  <c:v>5.4902902556614279E-2</c:v>
                </c:pt>
                <c:pt idx="46">
                  <c:v>5.5301868796477159E-2</c:v>
                </c:pt>
                <c:pt idx="47">
                  <c:v>5.6080496458145029E-2</c:v>
                </c:pt>
                <c:pt idx="48">
                  <c:v>5.6775469908228758E-2</c:v>
                </c:pt>
                <c:pt idx="49">
                  <c:v>5.7097216875860113E-2</c:v>
                </c:pt>
                <c:pt idx="50">
                  <c:v>5.8010978263933158E-2</c:v>
                </c:pt>
                <c:pt idx="51">
                  <c:v>5.8371334867680272E-2</c:v>
                </c:pt>
                <c:pt idx="52">
                  <c:v>5.8886130015890444E-2</c:v>
                </c:pt>
                <c:pt idx="53">
                  <c:v>5.969693237432145E-2</c:v>
                </c:pt>
                <c:pt idx="54">
                  <c:v>6.0771567246210176E-2</c:v>
                </c:pt>
                <c:pt idx="55">
                  <c:v>6.1704633452341097E-2</c:v>
                </c:pt>
                <c:pt idx="56">
                  <c:v>6.2470391235303728E-2</c:v>
                </c:pt>
                <c:pt idx="57">
                  <c:v>6.2753528566819317E-2</c:v>
                </c:pt>
                <c:pt idx="58">
                  <c:v>6.3068840595098041E-2</c:v>
                </c:pt>
                <c:pt idx="59">
                  <c:v>6.4214259799865669E-2</c:v>
                </c:pt>
                <c:pt idx="60">
                  <c:v>6.4774099523544224E-2</c:v>
                </c:pt>
                <c:pt idx="61">
                  <c:v>6.5340374186575401E-2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10 - 16</c:v>
                </c:pt>
                <c:pt idx="1">
                  <c:v>May 17 - 23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729</c:v>
                </c:pt>
                <c:pt idx="1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6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7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23,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0.2756</cdr:x>
      <cdr:y>0.32179</cdr:y>
    </cdr:from>
    <cdr:to>
      <cdr:x>0.77899</cdr:x>
      <cdr:y>0.46949</cdr:y>
    </cdr:to>
    <cdr:sp macro="" textlink="compute!$V$7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47535" y="2411156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0.73528</cdr:x>
      <cdr:y>0.78381</cdr:y>
    </cdr:from>
    <cdr:to>
      <cdr:x>0.86197</cdr:x>
      <cdr:y>0.81595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462774" y="5873088"/>
          <a:ext cx="941244" cy="240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67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6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67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67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23,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66" totalsRowShown="0" headerRowDxfId="23" dataDxfId="22" headerRowCellStyle="Heading 3">
  <autoFilter ref="A4:V66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N24" sqref="N24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tabSelected="1" zoomScaleNormal="100" workbookViewId="0">
      <selection activeCell="M17" sqref="M17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K31" sqref="K31"/>
    </sheetView>
  </sheetViews>
  <sheetFormatPr baseColWidth="10" defaultRowHeight="16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/>
  <cols>
    <col min="11" max="14" width="10.83203125" customWidth="1"/>
  </cols>
  <sheetData>
    <row r="1" spans="11:13">
      <c r="K1" t="s">
        <v>53</v>
      </c>
    </row>
    <row r="2" spans="11:13">
      <c r="K2" t="s">
        <v>0</v>
      </c>
      <c r="L2" t="s">
        <v>54</v>
      </c>
      <c r="M2" t="s">
        <v>55</v>
      </c>
    </row>
    <row r="3" spans="11:13">
      <c r="K3" s="76">
        <v>43913</v>
      </c>
      <c r="L3" s="70">
        <v>0.2</v>
      </c>
      <c r="M3" s="70">
        <v>1</v>
      </c>
    </row>
    <row r="4" spans="11:13">
      <c r="K4" s="76">
        <v>43914</v>
      </c>
      <c r="L4" s="70">
        <v>0.2</v>
      </c>
      <c r="M4" s="70">
        <v>1</v>
      </c>
    </row>
    <row r="5" spans="11:13">
      <c r="K5" s="76">
        <v>43915</v>
      </c>
      <c r="L5" s="70">
        <v>0.2</v>
      </c>
      <c r="M5" s="70">
        <v>1</v>
      </c>
    </row>
    <row r="6" spans="11:13">
      <c r="K6" s="76">
        <v>43916</v>
      </c>
      <c r="L6" s="70">
        <v>0.2</v>
      </c>
      <c r="M6" s="70">
        <v>1</v>
      </c>
    </row>
    <row r="7" spans="11:13">
      <c r="K7" s="76">
        <v>43917</v>
      </c>
      <c r="L7" s="70">
        <v>0.2</v>
      </c>
      <c r="M7" s="70">
        <v>1</v>
      </c>
    </row>
    <row r="8" spans="11:13">
      <c r="K8" s="76">
        <v>43918</v>
      </c>
      <c r="L8" s="70">
        <v>0.2</v>
      </c>
      <c r="M8" s="70">
        <v>1</v>
      </c>
    </row>
    <row r="9" spans="11:13">
      <c r="K9" s="76">
        <v>43919</v>
      </c>
      <c r="L9" s="70">
        <v>0.2</v>
      </c>
      <c r="M9" s="70">
        <v>1</v>
      </c>
    </row>
    <row r="10" spans="11:13">
      <c r="K10" s="76">
        <v>43920</v>
      </c>
      <c r="L10" s="70">
        <v>0.2</v>
      </c>
      <c r="M10" s="70">
        <v>1</v>
      </c>
    </row>
    <row r="11" spans="11:13">
      <c r="K11" s="76">
        <v>43921</v>
      </c>
      <c r="L11" s="70">
        <v>0.2</v>
      </c>
      <c r="M11" s="70">
        <v>1</v>
      </c>
    </row>
    <row r="12" spans="11:13">
      <c r="K12" s="76">
        <v>43922</v>
      </c>
      <c r="L12" s="70">
        <v>0.2</v>
      </c>
      <c r="M12" s="70">
        <v>1</v>
      </c>
    </row>
    <row r="13" spans="11:13">
      <c r="K13" s="76">
        <v>43923</v>
      </c>
      <c r="L13" s="70">
        <v>0.2</v>
      </c>
      <c r="M13" s="70">
        <v>1</v>
      </c>
    </row>
    <row r="14" spans="11:13">
      <c r="K14" s="76">
        <v>43924</v>
      </c>
      <c r="L14" s="70">
        <v>0.2</v>
      </c>
      <c r="M14" s="70">
        <v>1</v>
      </c>
    </row>
    <row r="15" spans="11:13">
      <c r="K15" s="76">
        <v>43925</v>
      </c>
      <c r="L15" s="70">
        <v>0.2</v>
      </c>
      <c r="M15" s="70">
        <v>1</v>
      </c>
    </row>
    <row r="16" spans="11:13">
      <c r="K16" s="76">
        <v>43926</v>
      </c>
      <c r="L16" s="70">
        <v>0.2</v>
      </c>
      <c r="M16" s="70">
        <v>1</v>
      </c>
    </row>
    <row r="17" spans="11:13">
      <c r="K17" s="76">
        <v>43927</v>
      </c>
      <c r="L17" s="70">
        <v>0.2</v>
      </c>
      <c r="M17" s="70">
        <v>1</v>
      </c>
    </row>
    <row r="18" spans="11:13">
      <c r="K18" s="76">
        <v>43928</v>
      </c>
      <c r="L18" s="70">
        <v>0.2</v>
      </c>
      <c r="M18" s="70">
        <v>1</v>
      </c>
    </row>
    <row r="19" spans="11:13">
      <c r="K19" s="76">
        <v>43929</v>
      </c>
      <c r="L19" s="70">
        <v>0.2</v>
      </c>
      <c r="M19" s="70">
        <v>1</v>
      </c>
    </row>
    <row r="20" spans="11:13">
      <c r="K20" s="76">
        <v>43930</v>
      </c>
      <c r="L20" s="70">
        <v>0.2</v>
      </c>
      <c r="M20" s="70">
        <v>1</v>
      </c>
    </row>
    <row r="21" spans="11:13">
      <c r="K21" s="76">
        <v>43931</v>
      </c>
      <c r="L21" s="70">
        <v>0.2</v>
      </c>
      <c r="M21" s="70">
        <v>1</v>
      </c>
    </row>
    <row r="22" spans="11:13">
      <c r="K22" s="76">
        <v>43932</v>
      </c>
      <c r="L22" s="70">
        <v>0.2</v>
      </c>
      <c r="M22" s="70">
        <v>1</v>
      </c>
    </row>
    <row r="23" spans="11:13">
      <c r="K23" s="76">
        <v>43933</v>
      </c>
      <c r="L23" s="70">
        <v>0.2</v>
      </c>
      <c r="M23" s="70">
        <v>1</v>
      </c>
    </row>
    <row r="24" spans="11:13">
      <c r="K24" s="76">
        <v>43934</v>
      </c>
      <c r="L24" s="70">
        <v>0.2</v>
      </c>
      <c r="M24" s="70">
        <v>1</v>
      </c>
    </row>
    <row r="25" spans="11:13">
      <c r="K25" s="76">
        <v>43935</v>
      </c>
      <c r="L25" s="70">
        <v>0.2</v>
      </c>
      <c r="M25" s="70">
        <v>1</v>
      </c>
    </row>
    <row r="26" spans="11:13">
      <c r="K26" s="76">
        <v>43936</v>
      </c>
      <c r="L26" s="70">
        <v>0.2</v>
      </c>
      <c r="M26" s="70">
        <v>1</v>
      </c>
    </row>
    <row r="27" spans="11:13">
      <c r="K27" s="76">
        <v>43937</v>
      </c>
      <c r="L27" s="70">
        <v>0.2</v>
      </c>
      <c r="M27" s="70">
        <v>1</v>
      </c>
    </row>
    <row r="28" spans="11:13">
      <c r="K28" s="76">
        <v>43938</v>
      </c>
      <c r="L28" s="70">
        <v>0.2</v>
      </c>
      <c r="M28" s="70">
        <v>1</v>
      </c>
    </row>
    <row r="29" spans="11:13">
      <c r="K29" s="76">
        <v>43939</v>
      </c>
      <c r="L29" s="70">
        <v>0.2</v>
      </c>
      <c r="M29" s="70">
        <v>1</v>
      </c>
    </row>
    <row r="30" spans="11:13">
      <c r="K30" s="76">
        <v>43940</v>
      </c>
      <c r="L30" s="70">
        <v>0.2</v>
      </c>
      <c r="M30" s="70">
        <v>1</v>
      </c>
    </row>
    <row r="31" spans="11:13">
      <c r="K31" s="76">
        <v>43941</v>
      </c>
      <c r="L31" s="70">
        <v>0.2</v>
      </c>
      <c r="M31" s="70">
        <v>1</v>
      </c>
    </row>
    <row r="32" spans="11:13">
      <c r="K32" s="76">
        <v>43942</v>
      </c>
      <c r="L32" s="70">
        <v>0.2</v>
      </c>
      <c r="M32" s="70">
        <v>1</v>
      </c>
    </row>
    <row r="33" spans="11:13">
      <c r="K33" s="76">
        <v>43943</v>
      </c>
      <c r="L33" s="70">
        <v>0.2</v>
      </c>
      <c r="M33" s="70">
        <v>1</v>
      </c>
    </row>
    <row r="34" spans="11:13">
      <c r="K34" s="76">
        <v>43944</v>
      </c>
      <c r="L34" s="70">
        <v>0.2</v>
      </c>
      <c r="M34" s="70">
        <v>1</v>
      </c>
    </row>
    <row r="35" spans="11:13">
      <c r="K35" s="76">
        <v>43945</v>
      </c>
      <c r="L35" s="70">
        <v>0.2</v>
      </c>
      <c r="M35" s="70">
        <v>1</v>
      </c>
    </row>
    <row r="36" spans="11:13">
      <c r="K36" s="76">
        <v>43946</v>
      </c>
      <c r="L36" s="70">
        <v>0.2</v>
      </c>
      <c r="M36" s="70">
        <v>1</v>
      </c>
    </row>
    <row r="37" spans="11:13">
      <c r="K37" s="76">
        <v>43947</v>
      </c>
      <c r="L37" s="70">
        <v>0.2</v>
      </c>
      <c r="M37" s="70">
        <v>1</v>
      </c>
    </row>
    <row r="38" spans="11:13">
      <c r="K38" s="76">
        <v>43948</v>
      </c>
      <c r="L38" s="70">
        <v>0.2</v>
      </c>
      <c r="M38" s="70">
        <v>1</v>
      </c>
    </row>
    <row r="39" spans="11:13">
      <c r="K39" s="76">
        <v>43949</v>
      </c>
      <c r="L39" s="70">
        <v>0.2</v>
      </c>
      <c r="M39" s="70">
        <v>1</v>
      </c>
    </row>
    <row r="40" spans="11:13">
      <c r="K40" s="76">
        <v>43950</v>
      </c>
      <c r="L40" s="70">
        <v>0.2</v>
      </c>
      <c r="M40" s="70">
        <v>1</v>
      </c>
    </row>
    <row r="41" spans="11:13">
      <c r="K41" s="76">
        <v>43951</v>
      </c>
      <c r="L41" s="70">
        <v>0.2</v>
      </c>
      <c r="M41" s="70">
        <v>1</v>
      </c>
    </row>
    <row r="42" spans="11:13">
      <c r="K42" s="76">
        <v>43952</v>
      </c>
      <c r="L42" s="70">
        <v>0.2</v>
      </c>
      <c r="M42" s="70">
        <v>1</v>
      </c>
    </row>
    <row r="43" spans="11:13">
      <c r="K43" s="76">
        <v>43953</v>
      </c>
      <c r="L43" s="70">
        <v>0.2</v>
      </c>
      <c r="M43" s="70">
        <v>1</v>
      </c>
    </row>
    <row r="44" spans="11:13">
      <c r="K44" s="76">
        <v>43954</v>
      </c>
      <c r="L44" s="70">
        <v>0.2</v>
      </c>
      <c r="M44" s="70">
        <v>1</v>
      </c>
    </row>
    <row r="45" spans="11:13">
      <c r="K45" s="76">
        <v>43955</v>
      </c>
      <c r="L45" s="70">
        <v>0.2</v>
      </c>
      <c r="M45" s="70">
        <v>1</v>
      </c>
    </row>
    <row r="46" spans="11:13">
      <c r="K46" s="76">
        <v>43956</v>
      </c>
      <c r="L46" s="70">
        <v>0.2</v>
      </c>
      <c r="M46" s="70">
        <v>1</v>
      </c>
    </row>
    <row r="47" spans="11:13">
      <c r="K47" s="76">
        <v>43957</v>
      </c>
      <c r="L47" s="70">
        <v>0.2</v>
      </c>
      <c r="M47" s="70">
        <v>1</v>
      </c>
    </row>
    <row r="48" spans="11:13">
      <c r="K48" s="76">
        <v>43958</v>
      </c>
      <c r="L48" s="70">
        <v>0.2</v>
      </c>
      <c r="M48" s="70">
        <v>1</v>
      </c>
    </row>
    <row r="49" spans="11:13">
      <c r="K49" s="76">
        <v>43959</v>
      </c>
      <c r="L49" s="70">
        <v>0.2</v>
      </c>
      <c r="M49" s="70">
        <v>1</v>
      </c>
    </row>
    <row r="50" spans="11:13">
      <c r="K50" s="76">
        <v>43960</v>
      </c>
      <c r="L50" s="70">
        <v>0.2</v>
      </c>
      <c r="M50" s="70">
        <v>1</v>
      </c>
    </row>
    <row r="51" spans="11:13">
      <c r="K51" s="76">
        <v>43961</v>
      </c>
      <c r="L51" s="70">
        <v>0.2</v>
      </c>
      <c r="M51" s="70">
        <v>1</v>
      </c>
    </row>
    <row r="52" spans="11:13">
      <c r="K52" s="76">
        <v>43962</v>
      </c>
      <c r="L52" s="70">
        <v>0.2</v>
      </c>
      <c r="M52" s="70">
        <v>1</v>
      </c>
    </row>
    <row r="53" spans="11:13">
      <c r="K53" s="76">
        <v>43963</v>
      </c>
      <c r="L53" s="70">
        <v>0.2</v>
      </c>
      <c r="M53" s="70">
        <v>1</v>
      </c>
    </row>
    <row r="54" spans="11:13">
      <c r="K54" s="76">
        <v>43964</v>
      </c>
      <c r="L54" s="70">
        <v>0.2</v>
      </c>
      <c r="M54" s="70">
        <v>1</v>
      </c>
    </row>
    <row r="55" spans="11:13">
      <c r="K55" s="76">
        <v>43965</v>
      </c>
      <c r="L55" s="70">
        <v>0.2</v>
      </c>
      <c r="M55" s="70">
        <v>1</v>
      </c>
    </row>
    <row r="56" spans="11:13">
      <c r="K56" s="76">
        <v>43966</v>
      </c>
      <c r="L56" s="70">
        <v>0.2</v>
      </c>
      <c r="M56" s="70">
        <v>1</v>
      </c>
    </row>
    <row r="57" spans="11:13">
      <c r="K57" s="76">
        <v>43967</v>
      </c>
      <c r="L57" s="70">
        <v>0.2</v>
      </c>
      <c r="M57" s="70">
        <v>1</v>
      </c>
    </row>
    <row r="58" spans="11:13">
      <c r="K58" s="76">
        <v>43968</v>
      </c>
      <c r="L58" s="70">
        <v>0.2</v>
      </c>
      <c r="M58" s="70">
        <v>1</v>
      </c>
    </row>
    <row r="59" spans="11:13">
      <c r="K59" s="76">
        <v>43969</v>
      </c>
      <c r="L59" s="70">
        <v>0.2</v>
      </c>
      <c r="M59" s="70">
        <v>1</v>
      </c>
    </row>
    <row r="60" spans="11:13">
      <c r="K60" s="76">
        <v>43970</v>
      </c>
      <c r="L60" s="70">
        <v>0.2</v>
      </c>
      <c r="M60" s="70">
        <v>1</v>
      </c>
    </row>
    <row r="61" spans="11:13">
      <c r="K61" s="76">
        <v>43971</v>
      </c>
      <c r="L61" s="70">
        <v>0.2</v>
      </c>
      <c r="M61" s="70">
        <v>1</v>
      </c>
    </row>
    <row r="62" spans="11:13">
      <c r="K62" s="76">
        <v>43972</v>
      </c>
      <c r="L62" s="70">
        <v>0.2</v>
      </c>
      <c r="M62" s="70">
        <v>1</v>
      </c>
    </row>
    <row r="63" spans="11:13">
      <c r="K63" s="76">
        <v>43973</v>
      </c>
      <c r="L63" s="70">
        <v>0.2</v>
      </c>
      <c r="M63" s="70">
        <v>1</v>
      </c>
    </row>
    <row r="64" spans="11:13">
      <c r="K64" s="76">
        <v>43974</v>
      </c>
      <c r="L64" s="70">
        <v>0.2</v>
      </c>
      <c r="M64" s="70">
        <v>1</v>
      </c>
    </row>
    <row r="65" spans="11:13">
      <c r="K65" s="76">
        <v>43975</v>
      </c>
      <c r="L65" s="70">
        <v>0.2</v>
      </c>
      <c r="M65" s="70">
        <v>1</v>
      </c>
    </row>
    <row r="66" spans="11:13">
      <c r="K66" s="76">
        <v>43976</v>
      </c>
      <c r="L66" s="70">
        <v>0.2</v>
      </c>
      <c r="M66" s="70">
        <v>1</v>
      </c>
    </row>
    <row r="67" spans="11:13">
      <c r="K67" s="76">
        <v>43977</v>
      </c>
      <c r="L67" s="70">
        <v>0.2</v>
      </c>
      <c r="M67" s="70">
        <v>1</v>
      </c>
    </row>
    <row r="68" spans="11:13">
      <c r="K68" s="76">
        <v>43978</v>
      </c>
      <c r="L68" s="70">
        <v>0.2</v>
      </c>
      <c r="M68" s="70">
        <v>1</v>
      </c>
    </row>
    <row r="69" spans="11:13">
      <c r="K69" s="76">
        <v>43979</v>
      </c>
      <c r="L69" s="70">
        <v>0.2</v>
      </c>
      <c r="M69" s="70">
        <v>1</v>
      </c>
    </row>
    <row r="70" spans="11:13">
      <c r="K70" s="76">
        <v>43980</v>
      </c>
      <c r="L70" s="70">
        <v>0.2</v>
      </c>
      <c r="M70" s="70">
        <v>1</v>
      </c>
    </row>
    <row r="71" spans="11:13">
      <c r="K71" s="76">
        <v>43981</v>
      </c>
      <c r="L71" s="70">
        <v>0.2</v>
      </c>
      <c r="M71" s="70">
        <v>1</v>
      </c>
    </row>
    <row r="72" spans="11:13">
      <c r="K72" s="76">
        <v>43982</v>
      </c>
      <c r="L72" s="70">
        <v>0.2</v>
      </c>
      <c r="M72" s="70">
        <v>1</v>
      </c>
    </row>
    <row r="73" spans="11:13">
      <c r="K73" s="76">
        <v>43983</v>
      </c>
      <c r="L73" s="70">
        <v>0.2</v>
      </c>
      <c r="M73" s="70">
        <v>1</v>
      </c>
    </row>
    <row r="74" spans="11:13">
      <c r="K74" s="76">
        <v>43984</v>
      </c>
      <c r="L74" s="70">
        <v>0.2</v>
      </c>
      <c r="M74" s="70">
        <v>1</v>
      </c>
    </row>
    <row r="75" spans="11:13">
      <c r="K75" s="76">
        <v>43985</v>
      </c>
      <c r="L75" s="70">
        <v>0.2</v>
      </c>
      <c r="M75" s="70">
        <v>1</v>
      </c>
    </row>
    <row r="76" spans="11:13">
      <c r="K76" s="76">
        <v>43986</v>
      </c>
      <c r="L76" s="70">
        <v>0.2</v>
      </c>
      <c r="M76" s="70">
        <v>1</v>
      </c>
    </row>
    <row r="77" spans="11:13">
      <c r="K77" s="76">
        <v>43987</v>
      </c>
      <c r="L77" s="70">
        <v>0.2</v>
      </c>
      <c r="M77" s="70">
        <v>1</v>
      </c>
    </row>
    <row r="78" spans="11:13">
      <c r="K78" s="76">
        <v>43988</v>
      </c>
      <c r="L78" s="70">
        <v>0.2</v>
      </c>
      <c r="M78" s="70">
        <v>1</v>
      </c>
    </row>
    <row r="79" spans="11:13">
      <c r="K79" s="76">
        <v>43989</v>
      </c>
      <c r="L79" s="70">
        <v>0.2</v>
      </c>
      <c r="M79" s="70">
        <v>1</v>
      </c>
    </row>
    <row r="80" spans="11:13">
      <c r="K80" s="76">
        <v>43990</v>
      </c>
      <c r="L80" s="70">
        <v>0.2</v>
      </c>
      <c r="M80" s="70">
        <v>1</v>
      </c>
    </row>
    <row r="81" spans="11:13">
      <c r="K81" s="76">
        <v>43991</v>
      </c>
      <c r="L81" s="70">
        <v>0.2</v>
      </c>
      <c r="M81" s="70">
        <v>1</v>
      </c>
    </row>
    <row r="82" spans="11:13">
      <c r="K82" s="76">
        <v>43992</v>
      </c>
      <c r="L82" s="70">
        <v>0.2</v>
      </c>
      <c r="M82" s="70">
        <v>1</v>
      </c>
    </row>
    <row r="83" spans="11:13">
      <c r="K83" s="76">
        <v>43993</v>
      </c>
      <c r="L83" s="70">
        <v>0.2</v>
      </c>
      <c r="M83" s="70">
        <v>1</v>
      </c>
    </row>
    <row r="84" spans="11:13">
      <c r="K84" s="76">
        <v>43994</v>
      </c>
      <c r="L84" s="70">
        <v>0.2</v>
      </c>
      <c r="M84" s="70">
        <v>1</v>
      </c>
    </row>
    <row r="85" spans="11:13">
      <c r="K85" s="76">
        <v>43995</v>
      </c>
      <c r="L85" s="70">
        <v>0.2</v>
      </c>
      <c r="M85" s="70">
        <v>1</v>
      </c>
    </row>
    <row r="86" spans="11:13">
      <c r="K86" s="76">
        <v>43996</v>
      </c>
      <c r="L86" s="70">
        <v>0.2</v>
      </c>
      <c r="M86" s="70">
        <v>1</v>
      </c>
    </row>
    <row r="87" spans="11:13">
      <c r="K87" s="76">
        <v>43997</v>
      </c>
      <c r="L87" s="70">
        <v>0.2</v>
      </c>
      <c r="M87" s="70">
        <v>1</v>
      </c>
    </row>
    <row r="88" spans="11:13">
      <c r="K88" s="76">
        <v>43998</v>
      </c>
      <c r="L88" s="70">
        <v>0.2</v>
      </c>
      <c r="M88" s="70">
        <v>1</v>
      </c>
    </row>
    <row r="89" spans="11:13">
      <c r="K89" s="76">
        <v>43999</v>
      </c>
      <c r="L89" s="70">
        <v>0.2</v>
      </c>
      <c r="M89" s="70">
        <v>1</v>
      </c>
    </row>
    <row r="90" spans="11:13">
      <c r="K90" s="76">
        <v>44000</v>
      </c>
      <c r="L90" s="70">
        <v>0.2</v>
      </c>
      <c r="M90" s="70">
        <v>1</v>
      </c>
    </row>
    <row r="91" spans="11:13">
      <c r="K91" s="76">
        <v>44001</v>
      </c>
      <c r="L91" s="70">
        <v>0.2</v>
      </c>
      <c r="M91" s="70">
        <v>1</v>
      </c>
    </row>
    <row r="92" spans="11:13">
      <c r="K92" s="76">
        <v>44002</v>
      </c>
      <c r="L92" s="70">
        <v>0.2</v>
      </c>
      <c r="M92" s="70">
        <v>1</v>
      </c>
    </row>
    <row r="93" spans="11:13">
      <c r="K93" s="76">
        <v>44003</v>
      </c>
      <c r="L93" s="70">
        <v>0.2</v>
      </c>
      <c r="M93" s="70">
        <v>1</v>
      </c>
    </row>
    <row r="94" spans="11:13">
      <c r="K94" s="76">
        <v>44004</v>
      </c>
      <c r="L94" s="70">
        <v>0.2</v>
      </c>
      <c r="M94" s="70">
        <v>1</v>
      </c>
    </row>
    <row r="95" spans="11:13">
      <c r="K95" s="76">
        <v>44005</v>
      </c>
      <c r="L95" s="70">
        <v>0.2</v>
      </c>
      <c r="M95" s="70">
        <v>1</v>
      </c>
    </row>
    <row r="96" spans="11:13">
      <c r="K96" s="76">
        <v>44006</v>
      </c>
      <c r="L96" s="70">
        <v>0.2</v>
      </c>
      <c r="M96" s="70">
        <v>1</v>
      </c>
    </row>
    <row r="97" spans="11:13">
      <c r="K97" s="76">
        <v>44007</v>
      </c>
      <c r="L97" s="70">
        <v>0.2</v>
      </c>
      <c r="M97" s="70">
        <v>1</v>
      </c>
    </row>
    <row r="98" spans="11:13">
      <c r="K98" s="76">
        <v>44008</v>
      </c>
      <c r="L98" s="70">
        <v>0.2</v>
      </c>
      <c r="M98" s="70">
        <v>1</v>
      </c>
    </row>
    <row r="99" spans="11:13">
      <c r="K99" s="76">
        <v>44009</v>
      </c>
      <c r="L99" s="70">
        <v>0.2</v>
      </c>
      <c r="M99" s="70">
        <v>1</v>
      </c>
    </row>
    <row r="100" spans="11:13">
      <c r="K100" s="76">
        <v>44010</v>
      </c>
      <c r="L100" s="70">
        <v>0.2</v>
      </c>
      <c r="M100" s="70">
        <v>1</v>
      </c>
    </row>
    <row r="101" spans="11:13">
      <c r="K101" s="76">
        <v>44011</v>
      </c>
      <c r="L101" s="70">
        <v>0.2</v>
      </c>
      <c r="M101" s="70">
        <v>1</v>
      </c>
    </row>
    <row r="102" spans="11:13">
      <c r="K102" s="76">
        <v>44012</v>
      </c>
      <c r="L102" s="70">
        <v>0.2</v>
      </c>
      <c r="M102" s="70">
        <v>1</v>
      </c>
    </row>
    <row r="103" spans="11:13">
      <c r="K103" s="76">
        <v>44013</v>
      </c>
      <c r="L103" s="70">
        <v>0.2</v>
      </c>
      <c r="M103" s="70">
        <v>1</v>
      </c>
    </row>
    <row r="104" spans="11:13">
      <c r="K104" s="76">
        <v>44014</v>
      </c>
      <c r="L104" s="70">
        <v>0.2</v>
      </c>
      <c r="M104" s="70">
        <v>1</v>
      </c>
    </row>
    <row r="105" spans="11:13">
      <c r="K105" s="76">
        <v>44015</v>
      </c>
      <c r="L105" s="70">
        <v>0.2</v>
      </c>
      <c r="M105" s="70">
        <v>1</v>
      </c>
    </row>
    <row r="106" spans="11:13">
      <c r="K106" s="76">
        <v>44016</v>
      </c>
      <c r="L106" s="70">
        <v>0.2</v>
      </c>
      <c r="M106" s="70">
        <v>1</v>
      </c>
    </row>
    <row r="107" spans="11:13">
      <c r="K107" s="76">
        <v>44017</v>
      </c>
      <c r="L107" s="70">
        <v>0.2</v>
      </c>
      <c r="M107" s="70">
        <v>1</v>
      </c>
    </row>
    <row r="108" spans="11:13">
      <c r="K108" s="76">
        <v>44018</v>
      </c>
      <c r="L108" s="70">
        <v>0.2</v>
      </c>
      <c r="M108" s="70">
        <v>1</v>
      </c>
    </row>
    <row r="109" spans="11:13">
      <c r="K109" s="76">
        <v>44019</v>
      </c>
      <c r="L109" s="70">
        <v>0.2</v>
      </c>
      <c r="M109" s="70">
        <v>1</v>
      </c>
    </row>
    <row r="110" spans="11:13">
      <c r="K110" s="76">
        <v>44020</v>
      </c>
      <c r="L110" s="70">
        <v>0.2</v>
      </c>
      <c r="M110" s="70">
        <v>1</v>
      </c>
    </row>
    <row r="111" spans="11:13">
      <c r="K111" s="76">
        <v>44021</v>
      </c>
      <c r="L111" s="70">
        <v>0.2</v>
      </c>
      <c r="M111" s="70">
        <v>1</v>
      </c>
    </row>
    <row r="112" spans="11:13">
      <c r="K112" s="76">
        <v>44022</v>
      </c>
      <c r="L112" s="70">
        <v>0.2</v>
      </c>
      <c r="M112" s="70">
        <v>1</v>
      </c>
    </row>
    <row r="113" spans="11:13">
      <c r="K113" s="76">
        <v>44023</v>
      </c>
      <c r="L113" s="70">
        <v>0.2</v>
      </c>
      <c r="M113" s="70">
        <v>1</v>
      </c>
    </row>
    <row r="114" spans="11:13">
      <c r="K114" s="76">
        <v>44024</v>
      </c>
      <c r="L114" s="70">
        <v>0.2</v>
      </c>
      <c r="M114" s="70">
        <v>1</v>
      </c>
    </row>
    <row r="115" spans="11:13">
      <c r="K115" s="76">
        <v>44025</v>
      </c>
      <c r="L115" s="70">
        <v>0.2</v>
      </c>
      <c r="M115" s="70">
        <v>1</v>
      </c>
    </row>
    <row r="116" spans="11:13">
      <c r="K116" s="76">
        <v>44026</v>
      </c>
      <c r="L116" s="70">
        <v>0.2</v>
      </c>
      <c r="M116" s="70">
        <v>1</v>
      </c>
    </row>
    <row r="117" spans="11:13">
      <c r="K117" s="76">
        <v>44027</v>
      </c>
      <c r="L117" s="70">
        <v>0.2</v>
      </c>
      <c r="M117" s="70">
        <v>1</v>
      </c>
    </row>
    <row r="118" spans="11:13">
      <c r="K118" s="76">
        <v>44028</v>
      </c>
      <c r="L118" s="70">
        <v>0.2</v>
      </c>
      <c r="M118" s="70">
        <v>1</v>
      </c>
    </row>
    <row r="119" spans="11:13">
      <c r="K119" s="76">
        <v>44029</v>
      </c>
      <c r="L119" s="70">
        <v>0.2</v>
      </c>
      <c r="M119" s="70">
        <v>1</v>
      </c>
    </row>
    <row r="120" spans="11:13">
      <c r="K120" s="76">
        <v>44030</v>
      </c>
      <c r="L120" s="70">
        <v>0.2</v>
      </c>
      <c r="M120" s="70">
        <v>1</v>
      </c>
    </row>
    <row r="121" spans="11:13">
      <c r="K121" s="76">
        <v>44031</v>
      </c>
      <c r="L121" s="70">
        <v>0.2</v>
      </c>
      <c r="M121" s="70">
        <v>1</v>
      </c>
    </row>
    <row r="122" spans="11:13">
      <c r="K122" s="76">
        <v>44032</v>
      </c>
      <c r="L122" s="70">
        <v>0.2</v>
      </c>
      <c r="M122" s="70">
        <v>1</v>
      </c>
    </row>
    <row r="123" spans="11:13">
      <c r="K123" s="76">
        <v>44033</v>
      </c>
      <c r="L123" s="70">
        <v>0.2</v>
      </c>
      <c r="M123" s="70">
        <v>1</v>
      </c>
    </row>
    <row r="124" spans="11:13">
      <c r="K124" s="76">
        <v>44034</v>
      </c>
      <c r="L124" s="70">
        <v>0.2</v>
      </c>
      <c r="M124" s="70">
        <v>1</v>
      </c>
    </row>
    <row r="125" spans="11:13">
      <c r="K125" s="76">
        <v>44035</v>
      </c>
      <c r="L125" s="70">
        <v>0.2</v>
      </c>
      <c r="M125" s="70">
        <v>1</v>
      </c>
    </row>
    <row r="126" spans="11:13">
      <c r="K126" s="76">
        <v>44036</v>
      </c>
      <c r="L126" s="70">
        <v>0.2</v>
      </c>
      <c r="M126" s="70">
        <v>1</v>
      </c>
    </row>
    <row r="127" spans="11:13">
      <c r="K127" s="76">
        <v>44037</v>
      </c>
      <c r="L127" s="70">
        <v>0.2</v>
      </c>
      <c r="M127" s="70">
        <v>1</v>
      </c>
    </row>
    <row r="128" spans="11:13">
      <c r="K128" s="76">
        <v>44038</v>
      </c>
      <c r="L128" s="70">
        <v>0.2</v>
      </c>
      <c r="M128" s="70">
        <v>1</v>
      </c>
    </row>
    <row r="129" spans="11:13">
      <c r="K129" s="76">
        <v>44039</v>
      </c>
      <c r="L129" s="70">
        <v>0.2</v>
      </c>
      <c r="M129" s="70">
        <v>1</v>
      </c>
    </row>
    <row r="130" spans="11:13">
      <c r="K130" s="76">
        <v>44040</v>
      </c>
      <c r="L130" s="70">
        <v>0.2</v>
      </c>
      <c r="M130" s="70">
        <v>1</v>
      </c>
    </row>
    <row r="131" spans="11:13">
      <c r="K131" s="76">
        <v>44041</v>
      </c>
      <c r="L131" s="70">
        <v>0.2</v>
      </c>
      <c r="M131" s="70">
        <v>1</v>
      </c>
    </row>
    <row r="132" spans="11:13">
      <c r="K132" s="76">
        <v>44042</v>
      </c>
      <c r="L132" s="70">
        <v>0.2</v>
      </c>
      <c r="M132" s="70">
        <v>1</v>
      </c>
    </row>
    <row r="133" spans="11:13">
      <c r="K133" s="76">
        <v>44043</v>
      </c>
      <c r="L133" s="70">
        <v>0.2</v>
      </c>
      <c r="M133" s="70">
        <v>1</v>
      </c>
    </row>
    <row r="134" spans="11:13">
      <c r="K134" s="76">
        <v>44044</v>
      </c>
      <c r="L134" s="70">
        <v>0.2</v>
      </c>
      <c r="M134" s="70">
        <v>1</v>
      </c>
    </row>
    <row r="135" spans="11:13">
      <c r="K135" s="76">
        <v>44045</v>
      </c>
      <c r="L135" s="70">
        <v>0.2</v>
      </c>
      <c r="M135" s="70">
        <v>1</v>
      </c>
    </row>
    <row r="136" spans="11:13">
      <c r="K136" s="76">
        <v>44046</v>
      </c>
      <c r="L136" s="70">
        <v>0.2</v>
      </c>
      <c r="M136" s="70">
        <v>1</v>
      </c>
    </row>
    <row r="137" spans="11:13">
      <c r="K137" s="76">
        <v>44047</v>
      </c>
      <c r="L137" s="70">
        <v>0.2</v>
      </c>
      <c r="M137" s="70">
        <v>1</v>
      </c>
    </row>
    <row r="138" spans="11:13">
      <c r="K138" s="76">
        <v>44048</v>
      </c>
      <c r="L138" s="70">
        <v>0.2</v>
      </c>
      <c r="M138" s="70">
        <v>1</v>
      </c>
    </row>
    <row r="139" spans="11:13">
      <c r="K139" s="76">
        <v>44049</v>
      </c>
      <c r="L139" s="70">
        <v>0.2</v>
      </c>
      <c r="M139" s="70">
        <v>1</v>
      </c>
    </row>
    <row r="140" spans="11:13">
      <c r="K140" s="76">
        <v>44050</v>
      </c>
      <c r="L140" s="70">
        <v>0.2</v>
      </c>
      <c r="M140" s="70">
        <v>1</v>
      </c>
    </row>
    <row r="141" spans="11:13">
      <c r="K141" s="76">
        <v>44051</v>
      </c>
      <c r="L141" s="70">
        <v>0.2</v>
      </c>
      <c r="M141" s="70">
        <v>1</v>
      </c>
    </row>
    <row r="142" spans="11:13">
      <c r="K142" s="76">
        <v>44052</v>
      </c>
      <c r="L142" s="70">
        <v>0.2</v>
      </c>
      <c r="M142" s="70">
        <v>1</v>
      </c>
    </row>
    <row r="143" spans="11:13">
      <c r="K143" s="76">
        <v>44053</v>
      </c>
      <c r="L143" s="70">
        <v>0.2</v>
      </c>
      <c r="M143" s="70">
        <v>1</v>
      </c>
    </row>
    <row r="144" spans="11:13">
      <c r="K144" s="76">
        <v>44054</v>
      </c>
      <c r="L144" s="70">
        <v>0.2</v>
      </c>
      <c r="M144" s="70">
        <v>1</v>
      </c>
    </row>
    <row r="145" spans="11:13">
      <c r="K145" s="76">
        <v>44055</v>
      </c>
      <c r="L145" s="70">
        <v>0.2</v>
      </c>
      <c r="M145" s="70">
        <v>1</v>
      </c>
    </row>
    <row r="146" spans="11:13">
      <c r="K146" s="76">
        <v>44056</v>
      </c>
      <c r="L146" s="70">
        <v>0.2</v>
      </c>
      <c r="M146" s="70">
        <v>1</v>
      </c>
    </row>
    <row r="147" spans="11:13">
      <c r="K147" s="76">
        <v>44057</v>
      </c>
      <c r="L147" s="70">
        <v>0.2</v>
      </c>
      <c r="M147" s="70">
        <v>1</v>
      </c>
    </row>
    <row r="148" spans="11:13">
      <c r="K148" s="76">
        <v>44058</v>
      </c>
      <c r="L148" s="70">
        <v>0.2</v>
      </c>
      <c r="M148" s="70">
        <v>1</v>
      </c>
    </row>
    <row r="149" spans="11:13">
      <c r="K149" s="76">
        <v>44059</v>
      </c>
      <c r="L149" s="70">
        <v>0.2</v>
      </c>
      <c r="M149" s="70">
        <v>1</v>
      </c>
    </row>
    <row r="150" spans="11:13">
      <c r="K150" s="76">
        <v>44060</v>
      </c>
      <c r="L150" s="70">
        <v>0.2</v>
      </c>
      <c r="M150" s="70">
        <v>1</v>
      </c>
    </row>
    <row r="151" spans="11:13">
      <c r="K151" s="76">
        <v>44061</v>
      </c>
      <c r="L151" s="70">
        <v>0.2</v>
      </c>
      <c r="M151" s="70">
        <v>1</v>
      </c>
    </row>
    <row r="152" spans="11:13">
      <c r="K152" s="76">
        <v>44062</v>
      </c>
      <c r="L152" s="70">
        <v>0.2</v>
      </c>
      <c r="M152" s="70">
        <v>1</v>
      </c>
    </row>
    <row r="153" spans="11:13">
      <c r="K153" s="76">
        <v>44063</v>
      </c>
      <c r="L153" s="70">
        <v>0.2</v>
      </c>
      <c r="M153" s="70">
        <v>1</v>
      </c>
    </row>
    <row r="154" spans="11:13">
      <c r="K154" s="76">
        <v>44064</v>
      </c>
      <c r="L154" s="70">
        <v>0.2</v>
      </c>
      <c r="M154" s="70">
        <v>1</v>
      </c>
    </row>
    <row r="155" spans="11:13">
      <c r="K155" s="76">
        <v>44065</v>
      </c>
      <c r="L155" s="70">
        <v>0.2</v>
      </c>
      <c r="M155" s="70">
        <v>1</v>
      </c>
    </row>
    <row r="156" spans="11:13">
      <c r="K156" s="76">
        <v>44066</v>
      </c>
      <c r="L156" s="70">
        <v>0.2</v>
      </c>
      <c r="M156" s="70">
        <v>1</v>
      </c>
    </row>
    <row r="157" spans="11:13">
      <c r="K157" s="76">
        <v>44067</v>
      </c>
      <c r="L157" s="70">
        <v>0.2</v>
      </c>
      <c r="M157" s="70">
        <v>1</v>
      </c>
    </row>
    <row r="158" spans="11:13">
      <c r="K158" s="76">
        <v>44068</v>
      </c>
      <c r="L158" s="70">
        <v>0.2</v>
      </c>
      <c r="M158" s="70">
        <v>1</v>
      </c>
    </row>
    <row r="159" spans="11:13">
      <c r="K159" s="76">
        <v>44069</v>
      </c>
      <c r="L159" s="70">
        <v>0.2</v>
      </c>
      <c r="M159" s="70">
        <v>1</v>
      </c>
    </row>
    <row r="160" spans="11:13">
      <c r="K160" s="76">
        <v>44070</v>
      </c>
      <c r="L160" s="70">
        <v>0.2</v>
      </c>
      <c r="M160" s="70">
        <v>1</v>
      </c>
    </row>
    <row r="161" spans="11:13">
      <c r="K161" s="76">
        <v>44071</v>
      </c>
      <c r="L161" s="70">
        <v>0.2</v>
      </c>
      <c r="M161" s="70">
        <v>1</v>
      </c>
    </row>
    <row r="162" spans="11:13">
      <c r="K162" s="76">
        <v>44072</v>
      </c>
      <c r="L162" s="70">
        <v>0.2</v>
      </c>
      <c r="M162" s="70">
        <v>1</v>
      </c>
    </row>
    <row r="163" spans="11:13">
      <c r="K163" s="76">
        <v>44073</v>
      </c>
      <c r="L163" s="70">
        <v>0.2</v>
      </c>
      <c r="M163" s="70">
        <v>1</v>
      </c>
    </row>
    <row r="164" spans="11:13">
      <c r="K164" s="76">
        <v>44074</v>
      </c>
      <c r="L164" s="70">
        <v>0.2</v>
      </c>
      <c r="M164" s="70">
        <v>1</v>
      </c>
    </row>
    <row r="165" spans="11:13">
      <c r="K165" s="76">
        <v>44075</v>
      </c>
      <c r="L165" s="70">
        <v>0.2</v>
      </c>
      <c r="M165" s="70">
        <v>1</v>
      </c>
    </row>
    <row r="166" spans="11:13">
      <c r="K166" s="76">
        <v>44076</v>
      </c>
      <c r="L166" s="70">
        <v>0.2</v>
      </c>
      <c r="M166" s="70">
        <v>1</v>
      </c>
    </row>
    <row r="167" spans="11:13">
      <c r="K167" s="76">
        <v>44077</v>
      </c>
      <c r="L167" s="70">
        <v>0.2</v>
      </c>
      <c r="M167" s="70">
        <v>1</v>
      </c>
    </row>
    <row r="168" spans="11:13">
      <c r="K168" s="76">
        <v>44078</v>
      </c>
      <c r="L168" s="70">
        <v>0.2</v>
      </c>
      <c r="M168" s="70">
        <v>1</v>
      </c>
    </row>
    <row r="169" spans="11:13">
      <c r="K169" s="76">
        <v>44079</v>
      </c>
      <c r="L169" s="70">
        <v>0.2</v>
      </c>
      <c r="M169" s="70">
        <v>1</v>
      </c>
    </row>
    <row r="170" spans="11:13">
      <c r="K170" s="76">
        <v>44080</v>
      </c>
      <c r="L170" s="70">
        <v>0.2</v>
      </c>
      <c r="M170" s="70">
        <v>1</v>
      </c>
    </row>
    <row r="171" spans="11:13">
      <c r="K171" s="76">
        <v>44081</v>
      </c>
      <c r="L171" s="70">
        <v>0.2</v>
      </c>
      <c r="M171" s="70">
        <v>1</v>
      </c>
    </row>
    <row r="172" spans="11:13">
      <c r="K172" s="76">
        <v>44082</v>
      </c>
      <c r="L172" s="70">
        <v>0.2</v>
      </c>
      <c r="M172" s="70">
        <v>1</v>
      </c>
    </row>
    <row r="173" spans="11:13">
      <c r="K173" s="76">
        <v>44083</v>
      </c>
      <c r="L173" s="70">
        <v>0.2</v>
      </c>
      <c r="M173" s="70">
        <v>1</v>
      </c>
    </row>
    <row r="174" spans="11:13">
      <c r="K174" s="76">
        <v>44084</v>
      </c>
      <c r="L174" s="70">
        <v>0.2</v>
      </c>
      <c r="M174" s="70">
        <v>1</v>
      </c>
    </row>
    <row r="175" spans="11:13">
      <c r="K175" s="76">
        <v>44085</v>
      </c>
      <c r="L175" s="70">
        <v>0.2</v>
      </c>
      <c r="M175" s="70">
        <v>1</v>
      </c>
    </row>
    <row r="176" spans="11:13">
      <c r="K176" s="76">
        <v>44086</v>
      </c>
      <c r="L176" s="70">
        <v>0.2</v>
      </c>
      <c r="M176" s="70">
        <v>1</v>
      </c>
    </row>
    <row r="177" spans="11:13">
      <c r="K177" s="76">
        <v>44087</v>
      </c>
      <c r="L177" s="70">
        <v>0.2</v>
      </c>
      <c r="M177" s="70">
        <v>1</v>
      </c>
    </row>
    <row r="178" spans="11:13">
      <c r="K178" s="76">
        <v>44088</v>
      </c>
      <c r="L178" s="70">
        <v>0.2</v>
      </c>
      <c r="M178" s="70">
        <v>1</v>
      </c>
    </row>
    <row r="179" spans="11:13">
      <c r="K179" s="76">
        <v>44089</v>
      </c>
      <c r="L179" s="70">
        <v>0.2</v>
      </c>
      <c r="M179" s="70">
        <v>1</v>
      </c>
    </row>
    <row r="180" spans="11:13">
      <c r="K180" s="76">
        <v>44090</v>
      </c>
      <c r="L180" s="70">
        <v>0.2</v>
      </c>
      <c r="M180" s="70">
        <v>1</v>
      </c>
    </row>
    <row r="181" spans="11:13">
      <c r="K181" s="76">
        <v>44091</v>
      </c>
      <c r="L181" s="70">
        <v>0.2</v>
      </c>
      <c r="M181" s="70">
        <v>1</v>
      </c>
    </row>
    <row r="182" spans="11:13">
      <c r="K182" s="76">
        <v>44092</v>
      </c>
      <c r="L182" s="70">
        <v>0.2</v>
      </c>
      <c r="M182" s="70">
        <v>1</v>
      </c>
    </row>
    <row r="183" spans="11:13">
      <c r="K183" s="76">
        <v>44093</v>
      </c>
      <c r="L183" s="70">
        <v>0.2</v>
      </c>
      <c r="M183" s="70">
        <v>1</v>
      </c>
    </row>
    <row r="184" spans="11:13">
      <c r="K184" s="76">
        <v>44094</v>
      </c>
      <c r="L184" s="70">
        <v>0.2</v>
      </c>
      <c r="M184" s="70">
        <v>1</v>
      </c>
    </row>
    <row r="185" spans="11:13">
      <c r="K185" s="76">
        <v>44095</v>
      </c>
      <c r="L185" s="70">
        <v>0.2</v>
      </c>
      <c r="M185" s="70">
        <v>1</v>
      </c>
    </row>
    <row r="186" spans="11:13">
      <c r="K186" s="76">
        <v>44096</v>
      </c>
      <c r="L186" s="70">
        <v>0.2</v>
      </c>
      <c r="M186" s="70">
        <v>1</v>
      </c>
    </row>
    <row r="187" spans="11:13">
      <c r="K187" s="76">
        <v>44097</v>
      </c>
      <c r="L187" s="70">
        <v>0.2</v>
      </c>
      <c r="M187" s="70">
        <v>1</v>
      </c>
    </row>
    <row r="188" spans="11:13">
      <c r="K188" s="76">
        <v>44098</v>
      </c>
      <c r="L188" s="70">
        <v>0.2</v>
      </c>
      <c r="M188" s="70">
        <v>1</v>
      </c>
    </row>
    <row r="189" spans="11:13">
      <c r="K189" s="76">
        <v>44099</v>
      </c>
      <c r="L189" s="70">
        <v>0.2</v>
      </c>
      <c r="M189" s="70">
        <v>1</v>
      </c>
    </row>
    <row r="190" spans="11:13">
      <c r="K190" s="76">
        <v>44100</v>
      </c>
      <c r="L190" s="70">
        <v>0.2</v>
      </c>
      <c r="M190" s="70">
        <v>1</v>
      </c>
    </row>
    <row r="191" spans="11:13">
      <c r="K191" s="76">
        <v>44101</v>
      </c>
      <c r="L191" s="70">
        <v>0.2</v>
      </c>
      <c r="M191" s="70">
        <v>1</v>
      </c>
    </row>
    <row r="192" spans="11:13">
      <c r="K192" s="76">
        <v>44102</v>
      </c>
      <c r="L192" s="70">
        <v>0.2</v>
      </c>
      <c r="M192" s="70">
        <v>1</v>
      </c>
    </row>
    <row r="193" spans="11:13">
      <c r="K193" s="76">
        <v>44103</v>
      </c>
      <c r="L193" s="70">
        <v>0.2</v>
      </c>
      <c r="M193" s="70">
        <v>1</v>
      </c>
    </row>
    <row r="194" spans="11:13">
      <c r="K194" s="76">
        <v>44104</v>
      </c>
      <c r="L194" s="70">
        <v>0.2</v>
      </c>
      <c r="M194" s="70">
        <v>1</v>
      </c>
    </row>
    <row r="195" spans="11:13">
      <c r="K195" s="76">
        <v>44105</v>
      </c>
      <c r="L195" s="70">
        <v>0.2</v>
      </c>
      <c r="M195" s="70">
        <v>1</v>
      </c>
    </row>
    <row r="196" spans="11:13">
      <c r="K196" s="76">
        <v>44106</v>
      </c>
      <c r="L196" s="70">
        <v>0.2</v>
      </c>
      <c r="M196" s="70">
        <v>1</v>
      </c>
    </row>
    <row r="197" spans="11:13">
      <c r="K197" s="76">
        <v>44107</v>
      </c>
      <c r="L197" s="70">
        <v>0.2</v>
      </c>
      <c r="M197" s="70">
        <v>1</v>
      </c>
    </row>
    <row r="198" spans="11:13">
      <c r="K198" s="76">
        <v>44108</v>
      </c>
      <c r="L198" s="70">
        <v>0.2</v>
      </c>
      <c r="M198" s="70">
        <v>1</v>
      </c>
    </row>
    <row r="199" spans="11:13">
      <c r="K199" s="76">
        <v>44109</v>
      </c>
      <c r="L199" s="70">
        <v>0.2</v>
      </c>
      <c r="M199" s="70">
        <v>1</v>
      </c>
    </row>
    <row r="200" spans="11:13">
      <c r="K200" s="76">
        <v>44110</v>
      </c>
      <c r="L200" s="70">
        <v>0.2</v>
      </c>
      <c r="M200" s="70">
        <v>1</v>
      </c>
    </row>
    <row r="201" spans="11:13">
      <c r="K201" s="76">
        <v>44111</v>
      </c>
      <c r="L201" s="70">
        <v>0.2</v>
      </c>
      <c r="M201" s="70">
        <v>1</v>
      </c>
    </row>
    <row r="202" spans="11:13">
      <c r="K202" s="76">
        <v>44112</v>
      </c>
      <c r="L202" s="70">
        <v>0.2</v>
      </c>
      <c r="M202" s="70">
        <v>1</v>
      </c>
    </row>
    <row r="203" spans="11:13">
      <c r="K203" s="76">
        <v>44113</v>
      </c>
      <c r="L203" s="70">
        <v>0.2</v>
      </c>
      <c r="M203" s="70">
        <v>1</v>
      </c>
    </row>
    <row r="204" spans="11:13">
      <c r="K204" s="76">
        <v>44114</v>
      </c>
      <c r="L204" s="70">
        <v>0.2</v>
      </c>
      <c r="M204" s="70">
        <v>1</v>
      </c>
    </row>
    <row r="205" spans="11:13">
      <c r="K205" s="76">
        <v>44115</v>
      </c>
      <c r="L205" s="70">
        <v>0.2</v>
      </c>
      <c r="M205" s="70">
        <v>1</v>
      </c>
    </row>
    <row r="206" spans="11:13">
      <c r="K206" s="76">
        <v>44116</v>
      </c>
      <c r="L206" s="70">
        <v>0.2</v>
      </c>
      <c r="M206" s="70">
        <v>1</v>
      </c>
    </row>
    <row r="207" spans="11:13">
      <c r="K207" s="76">
        <v>44117</v>
      </c>
      <c r="L207" s="70">
        <v>0.2</v>
      </c>
      <c r="M207" s="70">
        <v>1</v>
      </c>
    </row>
    <row r="208" spans="11:13">
      <c r="K208" s="76">
        <v>44118</v>
      </c>
      <c r="L208" s="70">
        <v>0.2</v>
      </c>
      <c r="M208" s="70">
        <v>1</v>
      </c>
    </row>
    <row r="209" spans="11:13">
      <c r="K209" s="76">
        <v>44119</v>
      </c>
      <c r="L209" s="70">
        <v>0.2</v>
      </c>
      <c r="M209" s="70">
        <v>1</v>
      </c>
    </row>
    <row r="210" spans="11:13">
      <c r="K210" s="76">
        <v>44120</v>
      </c>
      <c r="L210" s="70">
        <v>0.2</v>
      </c>
      <c r="M210" s="70">
        <v>1</v>
      </c>
    </row>
    <row r="211" spans="11:13">
      <c r="K211" s="76">
        <v>44121</v>
      </c>
      <c r="L211" s="70">
        <v>0.2</v>
      </c>
      <c r="M211" s="70">
        <v>1</v>
      </c>
    </row>
    <row r="212" spans="11:13">
      <c r="K212" s="76">
        <v>44122</v>
      </c>
      <c r="L212" s="70">
        <v>0.2</v>
      </c>
      <c r="M212" s="70">
        <v>1</v>
      </c>
    </row>
    <row r="213" spans="11:13">
      <c r="K213" s="76">
        <v>44123</v>
      </c>
      <c r="L213" s="70">
        <v>0.2</v>
      </c>
      <c r="M213" s="70">
        <v>1</v>
      </c>
    </row>
    <row r="214" spans="11:13">
      <c r="K214" s="76">
        <v>44124</v>
      </c>
      <c r="L214" s="70">
        <v>0.2</v>
      </c>
      <c r="M214" s="70">
        <v>1</v>
      </c>
    </row>
    <row r="215" spans="11:13">
      <c r="K215" s="76">
        <v>44125</v>
      </c>
      <c r="L215" s="70">
        <v>0.2</v>
      </c>
      <c r="M215" s="70">
        <v>1</v>
      </c>
    </row>
    <row r="216" spans="11:13">
      <c r="K216" s="76">
        <v>44126</v>
      </c>
      <c r="L216" s="70">
        <v>0.2</v>
      </c>
      <c r="M216" s="70">
        <v>1</v>
      </c>
    </row>
    <row r="217" spans="11:13">
      <c r="K217" s="76">
        <v>44127</v>
      </c>
      <c r="L217" s="70">
        <v>0.2</v>
      </c>
      <c r="M217" s="70">
        <v>1</v>
      </c>
    </row>
    <row r="218" spans="11:13">
      <c r="K218" s="76">
        <v>44128</v>
      </c>
      <c r="L218" s="70">
        <v>0.2</v>
      </c>
      <c r="M218" s="70">
        <v>1</v>
      </c>
    </row>
    <row r="219" spans="11:13">
      <c r="K219" s="76">
        <v>44129</v>
      </c>
      <c r="L219" s="70">
        <v>0.2</v>
      </c>
      <c r="M219" s="70">
        <v>1</v>
      </c>
    </row>
    <row r="220" spans="11:13">
      <c r="K220" s="76">
        <v>44130</v>
      </c>
      <c r="L220" s="70">
        <v>0.2</v>
      </c>
      <c r="M220" s="70">
        <v>1</v>
      </c>
    </row>
    <row r="221" spans="11:13">
      <c r="K221" s="76">
        <v>44131</v>
      </c>
      <c r="L221" s="70">
        <v>0.2</v>
      </c>
      <c r="M221" s="70">
        <v>1</v>
      </c>
    </row>
    <row r="222" spans="11:13">
      <c r="K222" s="76">
        <v>44132</v>
      </c>
      <c r="L222" s="70">
        <v>0.2</v>
      </c>
      <c r="M222" s="70">
        <v>1</v>
      </c>
    </row>
    <row r="223" spans="11:13">
      <c r="K223" s="76">
        <v>44133</v>
      </c>
      <c r="L223" s="70">
        <v>0.2</v>
      </c>
      <c r="M223" s="70">
        <v>1</v>
      </c>
    </row>
    <row r="224" spans="11:13">
      <c r="K224" s="76">
        <v>44134</v>
      </c>
      <c r="L224" s="70">
        <v>0.2</v>
      </c>
      <c r="M224" s="70">
        <v>1</v>
      </c>
    </row>
    <row r="225" spans="11:13">
      <c r="K225" s="76">
        <v>44135</v>
      </c>
      <c r="L225" s="70">
        <v>0.2</v>
      </c>
      <c r="M225" s="70">
        <v>1</v>
      </c>
    </row>
    <row r="226" spans="11:13">
      <c r="K226" s="76">
        <v>44136</v>
      </c>
      <c r="L226" s="70">
        <v>0.2</v>
      </c>
      <c r="M226" s="70">
        <v>1</v>
      </c>
    </row>
    <row r="227" spans="11:13">
      <c r="K227" s="76">
        <v>44137</v>
      </c>
      <c r="L227" s="70">
        <v>0.2</v>
      </c>
      <c r="M227" s="70">
        <v>1</v>
      </c>
    </row>
    <row r="228" spans="11:13">
      <c r="K228" s="76">
        <v>44138</v>
      </c>
      <c r="L228" s="70">
        <v>0.2</v>
      </c>
      <c r="M228" s="70">
        <v>1</v>
      </c>
    </row>
    <row r="229" spans="11:13">
      <c r="K229" s="76">
        <v>44139</v>
      </c>
      <c r="L229" s="70">
        <v>0.2</v>
      </c>
      <c r="M229" s="70">
        <v>1</v>
      </c>
    </row>
    <row r="230" spans="11:13">
      <c r="K230" s="76">
        <v>44140</v>
      </c>
      <c r="L230" s="70">
        <v>0.2</v>
      </c>
      <c r="M230" s="70">
        <v>1</v>
      </c>
    </row>
    <row r="231" spans="11:13">
      <c r="K231" s="76">
        <v>44141</v>
      </c>
      <c r="L231" s="70">
        <v>0.2</v>
      </c>
      <c r="M231" s="70">
        <v>1</v>
      </c>
    </row>
    <row r="232" spans="11:13">
      <c r="K232" s="76">
        <v>44142</v>
      </c>
      <c r="L232" s="70">
        <v>0.2</v>
      </c>
      <c r="M232" s="70">
        <v>1</v>
      </c>
    </row>
    <row r="233" spans="11:13">
      <c r="K233" s="76">
        <v>44143</v>
      </c>
      <c r="L233" s="70">
        <v>0.2</v>
      </c>
      <c r="M233" s="70">
        <v>1</v>
      </c>
    </row>
    <row r="234" spans="11:13">
      <c r="K234" s="76">
        <v>44144</v>
      </c>
      <c r="L234" s="70">
        <v>0.2</v>
      </c>
      <c r="M234" s="70">
        <v>1</v>
      </c>
    </row>
    <row r="235" spans="11:13">
      <c r="K235" s="76">
        <v>44145</v>
      </c>
      <c r="L235" s="70">
        <v>0.2</v>
      </c>
      <c r="M235" s="70">
        <v>1</v>
      </c>
    </row>
    <row r="236" spans="11:13">
      <c r="K236" s="76">
        <v>44146</v>
      </c>
      <c r="L236" s="70">
        <v>0.2</v>
      </c>
      <c r="M236" s="70">
        <v>1</v>
      </c>
    </row>
    <row r="237" spans="11:13">
      <c r="K237" s="76">
        <v>44147</v>
      </c>
      <c r="L237" s="70">
        <v>0.2</v>
      </c>
      <c r="M237" s="70">
        <v>1</v>
      </c>
    </row>
    <row r="238" spans="11:13">
      <c r="K238" s="76">
        <v>44148</v>
      </c>
      <c r="L238" s="70">
        <v>0.2</v>
      </c>
      <c r="M238" s="70">
        <v>1</v>
      </c>
    </row>
    <row r="239" spans="11:13">
      <c r="K239" s="76">
        <v>44149</v>
      </c>
      <c r="L239" s="70">
        <v>0.2</v>
      </c>
      <c r="M239" s="70">
        <v>1</v>
      </c>
    </row>
    <row r="240" spans="11:13">
      <c r="K240" s="76">
        <v>44150</v>
      </c>
      <c r="L240" s="70">
        <v>0.2</v>
      </c>
      <c r="M240" s="70">
        <v>1</v>
      </c>
    </row>
    <row r="241" spans="11:13">
      <c r="K241" s="76">
        <v>44151</v>
      </c>
      <c r="L241" s="70">
        <v>0.2</v>
      </c>
      <c r="M241" s="70">
        <v>1</v>
      </c>
    </row>
    <row r="242" spans="11:13">
      <c r="K242" s="76">
        <v>44152</v>
      </c>
      <c r="L242" s="70">
        <v>0.2</v>
      </c>
      <c r="M242" s="70">
        <v>1</v>
      </c>
    </row>
    <row r="243" spans="11:13">
      <c r="K243" s="76">
        <v>44153</v>
      </c>
      <c r="L243" s="70">
        <v>0.2</v>
      </c>
      <c r="M243" s="70">
        <v>1</v>
      </c>
    </row>
    <row r="244" spans="11:13">
      <c r="K244" s="76">
        <v>44154</v>
      </c>
      <c r="L244" s="70">
        <v>0.2</v>
      </c>
      <c r="M244" s="70">
        <v>1</v>
      </c>
    </row>
    <row r="245" spans="11:13">
      <c r="K245" s="76">
        <v>44155</v>
      </c>
      <c r="L245" s="70">
        <v>0.2</v>
      </c>
      <c r="M245" s="70">
        <v>1</v>
      </c>
    </row>
    <row r="246" spans="11:13">
      <c r="K246" s="76">
        <v>44156</v>
      </c>
      <c r="L246" s="70">
        <v>0.2</v>
      </c>
      <c r="M246" s="70">
        <v>1</v>
      </c>
    </row>
    <row r="247" spans="11:13">
      <c r="K247" s="76">
        <v>44157</v>
      </c>
      <c r="L247" s="70">
        <v>0.2</v>
      </c>
      <c r="M247" s="70">
        <v>1</v>
      </c>
    </row>
    <row r="248" spans="11:13">
      <c r="K248" s="76">
        <v>44158</v>
      </c>
      <c r="L248" s="70">
        <v>0.2</v>
      </c>
      <c r="M248" s="70">
        <v>1</v>
      </c>
    </row>
    <row r="249" spans="11:13">
      <c r="K249" s="76">
        <v>44159</v>
      </c>
      <c r="L249" s="70">
        <v>0.2</v>
      </c>
      <c r="M249" s="70">
        <v>1</v>
      </c>
    </row>
    <row r="250" spans="11:13">
      <c r="K250" s="76">
        <v>44160</v>
      </c>
      <c r="L250" s="70">
        <v>0.2</v>
      </c>
      <c r="M250" s="70">
        <v>1</v>
      </c>
    </row>
    <row r="251" spans="11:13">
      <c r="K251" s="76">
        <v>44161</v>
      </c>
      <c r="L251" s="70">
        <v>0.2</v>
      </c>
      <c r="M251" s="70">
        <v>1</v>
      </c>
    </row>
    <row r="252" spans="11:13">
      <c r="K252" s="76">
        <v>44162</v>
      </c>
      <c r="L252" s="70">
        <v>0.2</v>
      </c>
      <c r="M252" s="70">
        <v>1</v>
      </c>
    </row>
    <row r="253" spans="11:13">
      <c r="K253" s="76">
        <v>44163</v>
      </c>
      <c r="L253" s="70">
        <v>0.2</v>
      </c>
      <c r="M253" s="70">
        <v>1</v>
      </c>
    </row>
    <row r="254" spans="11:13">
      <c r="K254" s="76">
        <v>44164</v>
      </c>
      <c r="L254" s="70">
        <v>0.2</v>
      </c>
      <c r="M254" s="70">
        <v>1</v>
      </c>
    </row>
    <row r="255" spans="11:13">
      <c r="K255" s="76">
        <v>44165</v>
      </c>
      <c r="L255" s="70">
        <v>0.2</v>
      </c>
      <c r="M255" s="70">
        <v>1</v>
      </c>
    </row>
    <row r="256" spans="11:13">
      <c r="K256" s="76">
        <v>44166</v>
      </c>
      <c r="L256" s="70">
        <v>0.2</v>
      </c>
      <c r="M256" s="70">
        <v>1</v>
      </c>
    </row>
    <row r="257" spans="11:13">
      <c r="K257" s="76">
        <v>44167</v>
      </c>
      <c r="L257" s="70">
        <v>0.2</v>
      </c>
      <c r="M257" s="70">
        <v>1</v>
      </c>
    </row>
    <row r="258" spans="11:13">
      <c r="K258" s="76">
        <v>44168</v>
      </c>
      <c r="L258" s="70">
        <v>0.2</v>
      </c>
      <c r="M258" s="70">
        <v>1</v>
      </c>
    </row>
    <row r="259" spans="11:13">
      <c r="K259" s="76">
        <v>44169</v>
      </c>
      <c r="L259" s="70">
        <v>0.2</v>
      </c>
      <c r="M259" s="70">
        <v>1</v>
      </c>
    </row>
    <row r="260" spans="11:13">
      <c r="K260" s="76">
        <v>44170</v>
      </c>
      <c r="L260" s="70">
        <v>0.2</v>
      </c>
      <c r="M260" s="70">
        <v>1</v>
      </c>
    </row>
    <row r="261" spans="11:13">
      <c r="K261" s="76">
        <v>44171</v>
      </c>
      <c r="L261" s="70">
        <v>0.2</v>
      </c>
      <c r="M261" s="70">
        <v>1</v>
      </c>
    </row>
    <row r="262" spans="11:13">
      <c r="K262" s="76">
        <v>44172</v>
      </c>
      <c r="L262" s="70">
        <v>0.2</v>
      </c>
      <c r="M262" s="70">
        <v>1</v>
      </c>
    </row>
    <row r="263" spans="11:13">
      <c r="K263" s="76">
        <v>44173</v>
      </c>
      <c r="L263" s="70">
        <v>0.2</v>
      </c>
      <c r="M263" s="70">
        <v>1</v>
      </c>
    </row>
    <row r="264" spans="11:13">
      <c r="K264" s="76">
        <v>44174</v>
      </c>
      <c r="L264" s="70">
        <v>0.2</v>
      </c>
      <c r="M264" s="70">
        <v>1</v>
      </c>
    </row>
    <row r="265" spans="11:13">
      <c r="K265" s="76">
        <v>44175</v>
      </c>
      <c r="L265" s="70">
        <v>0.2</v>
      </c>
      <c r="M265" s="70">
        <v>1</v>
      </c>
    </row>
    <row r="266" spans="11:13">
      <c r="K266" s="76">
        <v>44176</v>
      </c>
      <c r="L266" s="70">
        <v>0.2</v>
      </c>
      <c r="M266" s="70">
        <v>1</v>
      </c>
    </row>
    <row r="267" spans="11:13">
      <c r="K267" s="76">
        <v>44177</v>
      </c>
      <c r="L267" s="70">
        <v>0.2</v>
      </c>
      <c r="M267" s="70">
        <v>1</v>
      </c>
    </row>
    <row r="268" spans="11:13">
      <c r="K268" s="76">
        <v>44178</v>
      </c>
      <c r="L268" s="70">
        <v>0.2</v>
      </c>
      <c r="M268" s="70">
        <v>1</v>
      </c>
    </row>
    <row r="269" spans="11:13">
      <c r="K269" s="76">
        <v>44179</v>
      </c>
      <c r="L269" s="70">
        <v>0.2</v>
      </c>
      <c r="M269" s="70">
        <v>1</v>
      </c>
    </row>
    <row r="270" spans="11:13">
      <c r="K270" s="76">
        <v>44180</v>
      </c>
      <c r="L270" s="70">
        <v>0.2</v>
      </c>
      <c r="M270" s="70">
        <v>1</v>
      </c>
    </row>
    <row r="271" spans="11:13">
      <c r="K271" s="76">
        <v>44181</v>
      </c>
      <c r="L271" s="70">
        <v>0.2</v>
      </c>
      <c r="M271" s="70">
        <v>1</v>
      </c>
    </row>
    <row r="272" spans="11:13">
      <c r="K272" s="76">
        <v>44182</v>
      </c>
      <c r="L272" s="70">
        <v>0.2</v>
      </c>
      <c r="M272" s="70">
        <v>1</v>
      </c>
    </row>
    <row r="273" spans="11:13">
      <c r="K273" s="76">
        <v>44183</v>
      </c>
      <c r="L273" s="70">
        <v>0.2</v>
      </c>
      <c r="M273" s="70">
        <v>1</v>
      </c>
    </row>
    <row r="274" spans="11:13">
      <c r="K274" s="76">
        <v>44184</v>
      </c>
      <c r="L274" s="70">
        <v>0.2</v>
      </c>
      <c r="M274" s="70">
        <v>1</v>
      </c>
    </row>
    <row r="275" spans="11:13">
      <c r="K275" s="76">
        <v>44185</v>
      </c>
      <c r="L275" s="70">
        <v>0.2</v>
      </c>
      <c r="M275" s="70">
        <v>1</v>
      </c>
    </row>
    <row r="276" spans="11:13">
      <c r="K276" s="76">
        <v>44186</v>
      </c>
      <c r="L276" s="70">
        <v>0.2</v>
      </c>
      <c r="M276" s="70">
        <v>1</v>
      </c>
    </row>
    <row r="277" spans="11:13">
      <c r="K277" s="76">
        <v>44187</v>
      </c>
      <c r="L277" s="70">
        <v>0.2</v>
      </c>
      <c r="M277" s="70">
        <v>1</v>
      </c>
    </row>
    <row r="278" spans="11:13">
      <c r="K278" s="76">
        <v>44188</v>
      </c>
      <c r="L278" s="70">
        <v>0.2</v>
      </c>
      <c r="M278" s="70">
        <v>1</v>
      </c>
    </row>
    <row r="279" spans="11:13">
      <c r="K279" s="76">
        <v>44189</v>
      </c>
      <c r="L279" s="70">
        <v>0.2</v>
      </c>
      <c r="M279" s="70">
        <v>1</v>
      </c>
    </row>
    <row r="280" spans="11:13">
      <c r="K280" s="76">
        <v>44190</v>
      </c>
      <c r="L280" s="70">
        <v>0.2</v>
      </c>
      <c r="M280" s="70">
        <v>1</v>
      </c>
    </row>
    <row r="281" spans="11:13">
      <c r="K281" s="76">
        <v>44191</v>
      </c>
      <c r="L281" s="70">
        <v>0.2</v>
      </c>
      <c r="M281" s="70">
        <v>1</v>
      </c>
    </row>
    <row r="282" spans="11:13">
      <c r="K282" s="76">
        <v>44192</v>
      </c>
      <c r="L282" s="70">
        <v>0.2</v>
      </c>
      <c r="M282" s="70">
        <v>1</v>
      </c>
    </row>
    <row r="283" spans="11:13">
      <c r="K283" s="76">
        <v>44193</v>
      </c>
      <c r="L283" s="70">
        <v>0.2</v>
      </c>
      <c r="M283" s="70">
        <v>1</v>
      </c>
    </row>
    <row r="284" spans="11:13">
      <c r="K284" s="76">
        <v>44194</v>
      </c>
      <c r="L284" s="70">
        <v>0.2</v>
      </c>
      <c r="M284" s="70">
        <v>1</v>
      </c>
    </row>
    <row r="285" spans="11:13">
      <c r="K285" s="76">
        <v>44195</v>
      </c>
      <c r="L285" s="70">
        <v>0.2</v>
      </c>
      <c r="M285" s="70">
        <v>1</v>
      </c>
    </row>
    <row r="286" spans="11:13">
      <c r="K286" s="76">
        <v>44196</v>
      </c>
      <c r="L286" s="70">
        <v>0.2</v>
      </c>
      <c r="M286" s="70">
        <v>1</v>
      </c>
    </row>
    <row r="287" spans="11:13">
      <c r="K287" s="76">
        <v>44197</v>
      </c>
      <c r="L287" s="70">
        <v>0.2</v>
      </c>
      <c r="M287" s="70">
        <v>1</v>
      </c>
    </row>
    <row r="288" spans="11:13">
      <c r="K288" s="76">
        <v>44198</v>
      </c>
      <c r="L288" s="70">
        <v>0.2</v>
      </c>
      <c r="M288" s="70">
        <v>1</v>
      </c>
    </row>
    <row r="289" spans="11:13">
      <c r="K289" s="76">
        <v>44199</v>
      </c>
      <c r="L289" s="70">
        <v>0.2</v>
      </c>
      <c r="M289" s="70">
        <v>1</v>
      </c>
    </row>
    <row r="290" spans="11:13">
      <c r="K290" s="76">
        <v>44200</v>
      </c>
      <c r="L290" s="70">
        <v>0.2</v>
      </c>
      <c r="M290" s="70">
        <v>1</v>
      </c>
    </row>
    <row r="291" spans="11:13">
      <c r="K291" s="76">
        <v>44201</v>
      </c>
      <c r="L291" s="70">
        <v>0.2</v>
      </c>
      <c r="M291" s="70">
        <v>1</v>
      </c>
    </row>
    <row r="292" spans="11:13">
      <c r="K292" s="76">
        <v>44202</v>
      </c>
      <c r="L292" s="70">
        <v>0.2</v>
      </c>
      <c r="M292" s="70">
        <v>1</v>
      </c>
    </row>
    <row r="293" spans="11:13">
      <c r="K293" s="76">
        <v>44203</v>
      </c>
      <c r="L293" s="70">
        <v>0.2</v>
      </c>
      <c r="M293" s="70">
        <v>1</v>
      </c>
    </row>
    <row r="294" spans="11:13">
      <c r="K294" s="76">
        <v>44204</v>
      </c>
      <c r="L294" s="70">
        <v>0.2</v>
      </c>
      <c r="M294" s="70">
        <v>1</v>
      </c>
    </row>
    <row r="295" spans="11:13">
      <c r="K295" s="76">
        <v>44205</v>
      </c>
      <c r="L295" s="70">
        <v>0.2</v>
      </c>
      <c r="M295" s="70">
        <v>1</v>
      </c>
    </row>
    <row r="296" spans="11:13">
      <c r="K296" s="76">
        <v>44206</v>
      </c>
      <c r="L296" s="70">
        <v>0.2</v>
      </c>
      <c r="M296" s="70">
        <v>1</v>
      </c>
    </row>
    <row r="297" spans="11:13">
      <c r="K297" s="76">
        <v>44207</v>
      </c>
      <c r="L297" s="70">
        <v>0.2</v>
      </c>
      <c r="M297" s="70">
        <v>1</v>
      </c>
    </row>
    <row r="298" spans="11:13">
      <c r="K298" s="76">
        <v>44208</v>
      </c>
      <c r="L298" s="70">
        <v>0.2</v>
      </c>
      <c r="M298" s="70">
        <v>1</v>
      </c>
    </row>
    <row r="299" spans="11:13">
      <c r="K299" s="76">
        <v>44209</v>
      </c>
      <c r="L299" s="70">
        <v>0.2</v>
      </c>
      <c r="M299" s="70">
        <v>1</v>
      </c>
    </row>
    <row r="300" spans="11:13">
      <c r="K300" s="76">
        <v>44210</v>
      </c>
      <c r="L300" s="70">
        <v>0.2</v>
      </c>
      <c r="M300" s="70">
        <v>1</v>
      </c>
    </row>
    <row r="301" spans="11:13">
      <c r="K301" s="76">
        <v>44211</v>
      </c>
      <c r="L301" s="70">
        <v>0.2</v>
      </c>
      <c r="M301" s="70">
        <v>1</v>
      </c>
    </row>
    <row r="302" spans="11:13">
      <c r="K302" s="76">
        <v>44212</v>
      </c>
      <c r="L302" s="70">
        <v>0.2</v>
      </c>
      <c r="M302" s="70">
        <v>1</v>
      </c>
    </row>
    <row r="303" spans="11:13">
      <c r="K303" s="76">
        <v>44213</v>
      </c>
      <c r="L303" s="70">
        <v>0.2</v>
      </c>
      <c r="M303" s="70">
        <v>1</v>
      </c>
    </row>
    <row r="304" spans="11:13">
      <c r="K304" s="76">
        <v>44214</v>
      </c>
      <c r="L304" s="70">
        <v>0.2</v>
      </c>
      <c r="M304" s="70">
        <v>1</v>
      </c>
    </row>
    <row r="305" spans="11:13">
      <c r="K305" s="76">
        <v>44215</v>
      </c>
      <c r="L305" s="70">
        <v>0.2</v>
      </c>
      <c r="M305" s="70">
        <v>1</v>
      </c>
    </row>
    <row r="306" spans="11:13">
      <c r="K306" s="76">
        <v>44216</v>
      </c>
      <c r="L306" s="70">
        <v>0.2</v>
      </c>
      <c r="M306" s="70">
        <v>1</v>
      </c>
    </row>
    <row r="307" spans="11:13">
      <c r="K307" s="76">
        <v>44217</v>
      </c>
      <c r="L307" s="70">
        <v>0.2</v>
      </c>
      <c r="M307" s="70">
        <v>1</v>
      </c>
    </row>
    <row r="308" spans="11:13">
      <c r="K308" s="76">
        <v>44218</v>
      </c>
      <c r="L308" s="70">
        <v>0.2</v>
      </c>
      <c r="M308" s="70">
        <v>1</v>
      </c>
    </row>
    <row r="309" spans="11:13">
      <c r="K309" s="76">
        <v>44219</v>
      </c>
      <c r="L309" s="70">
        <v>0.2</v>
      </c>
      <c r="M309" s="70">
        <v>1</v>
      </c>
    </row>
    <row r="310" spans="11:13">
      <c r="K310" s="76">
        <v>44220</v>
      </c>
      <c r="L310" s="70">
        <v>0.2</v>
      </c>
      <c r="M310" s="70">
        <v>1</v>
      </c>
    </row>
    <row r="311" spans="11:13">
      <c r="K311" s="76">
        <v>44221</v>
      </c>
      <c r="L311" s="70">
        <v>0.2</v>
      </c>
      <c r="M311" s="70">
        <v>1</v>
      </c>
    </row>
    <row r="312" spans="11:13">
      <c r="K312" s="76">
        <v>44222</v>
      </c>
      <c r="L312" s="70">
        <v>0.2</v>
      </c>
      <c r="M312" s="70">
        <v>1</v>
      </c>
    </row>
    <row r="313" spans="11:13">
      <c r="K313" s="76">
        <v>44223</v>
      </c>
      <c r="L313" s="70">
        <v>0.2</v>
      </c>
      <c r="M313" s="70">
        <v>1</v>
      </c>
    </row>
    <row r="314" spans="11:13">
      <c r="K314" s="76">
        <v>44224</v>
      </c>
      <c r="L314" s="70">
        <v>0.2</v>
      </c>
      <c r="M314" s="70">
        <v>1</v>
      </c>
    </row>
    <row r="315" spans="11:13">
      <c r="K315" s="76">
        <v>44225</v>
      </c>
      <c r="L315" s="70">
        <v>0.2</v>
      </c>
      <c r="M315" s="70">
        <v>1</v>
      </c>
    </row>
    <row r="316" spans="11:13">
      <c r="K316" s="76">
        <v>44226</v>
      </c>
      <c r="L316" s="70">
        <v>0.2</v>
      </c>
      <c r="M316" s="70">
        <v>1</v>
      </c>
    </row>
    <row r="317" spans="11:13">
      <c r="K317" s="76">
        <v>44227</v>
      </c>
      <c r="L317" s="70">
        <v>0.2</v>
      </c>
      <c r="M317" s="70">
        <v>1</v>
      </c>
    </row>
    <row r="318" spans="11:13">
      <c r="K318" s="76">
        <v>44228</v>
      </c>
      <c r="L318" s="70">
        <v>0.2</v>
      </c>
      <c r="M318" s="70">
        <v>1</v>
      </c>
    </row>
    <row r="319" spans="11:13">
      <c r="K319" s="76">
        <v>44229</v>
      </c>
      <c r="L319" s="70">
        <v>0.2</v>
      </c>
      <c r="M319" s="70">
        <v>1</v>
      </c>
    </row>
    <row r="320" spans="11:13">
      <c r="K320" s="76">
        <v>44230</v>
      </c>
      <c r="L320" s="70">
        <v>0.2</v>
      </c>
      <c r="M320" s="70">
        <v>1</v>
      </c>
    </row>
    <row r="321" spans="11:13">
      <c r="K321" s="76">
        <v>44231</v>
      </c>
      <c r="L321" s="70">
        <v>0.2</v>
      </c>
      <c r="M321" s="70">
        <v>1</v>
      </c>
    </row>
    <row r="322" spans="11:13">
      <c r="K322" s="76">
        <v>44232</v>
      </c>
      <c r="L322" s="70">
        <v>0.2</v>
      </c>
      <c r="M322" s="70">
        <v>1</v>
      </c>
    </row>
    <row r="323" spans="11:13">
      <c r="K323" s="76">
        <v>44233</v>
      </c>
      <c r="L323" s="70">
        <v>0.2</v>
      </c>
      <c r="M323" s="70">
        <v>1</v>
      </c>
    </row>
    <row r="324" spans="11:13">
      <c r="K324" s="76">
        <v>44234</v>
      </c>
      <c r="L324" s="70">
        <v>0.2</v>
      </c>
      <c r="M324" s="70">
        <v>1</v>
      </c>
    </row>
    <row r="325" spans="11:13">
      <c r="K325" s="76">
        <v>44235</v>
      </c>
      <c r="L325" s="70">
        <v>0.2</v>
      </c>
      <c r="M325" s="70">
        <v>1</v>
      </c>
    </row>
    <row r="326" spans="11:13">
      <c r="K326" s="76">
        <v>44236</v>
      </c>
      <c r="L326" s="70">
        <v>0.2</v>
      </c>
      <c r="M326" s="70">
        <v>1</v>
      </c>
    </row>
    <row r="327" spans="11:13">
      <c r="K327" s="76">
        <v>44237</v>
      </c>
      <c r="L327" s="70">
        <v>0.2</v>
      </c>
      <c r="M327" s="70">
        <v>1</v>
      </c>
    </row>
    <row r="328" spans="11:13">
      <c r="K328" s="76">
        <v>44238</v>
      </c>
      <c r="L328" s="70">
        <v>0.2</v>
      </c>
      <c r="M328" s="70">
        <v>1</v>
      </c>
    </row>
    <row r="329" spans="11:13">
      <c r="K329" s="76">
        <v>44239</v>
      </c>
      <c r="L329" s="70">
        <v>0.2</v>
      </c>
      <c r="M329" s="70">
        <v>1</v>
      </c>
    </row>
    <row r="330" spans="11:13">
      <c r="K330" s="76">
        <v>44240</v>
      </c>
      <c r="L330" s="70">
        <v>0.2</v>
      </c>
      <c r="M330" s="70">
        <v>1</v>
      </c>
    </row>
    <row r="331" spans="11:13">
      <c r="K331" s="76">
        <v>44241</v>
      </c>
      <c r="L331" s="70">
        <v>0.2</v>
      </c>
      <c r="M331" s="70">
        <v>1</v>
      </c>
    </row>
    <row r="332" spans="11:13">
      <c r="K332" s="76">
        <v>44242</v>
      </c>
      <c r="L332" s="70">
        <v>0.2</v>
      </c>
      <c r="M332" s="70">
        <v>1</v>
      </c>
    </row>
    <row r="333" spans="11:13">
      <c r="K333" s="76">
        <v>44243</v>
      </c>
      <c r="L333" s="70">
        <v>0.2</v>
      </c>
      <c r="M333" s="70">
        <v>1</v>
      </c>
    </row>
    <row r="334" spans="11:13">
      <c r="K334" s="76">
        <v>44244</v>
      </c>
      <c r="L334" s="70">
        <v>0.2</v>
      </c>
      <c r="M334" s="70">
        <v>1</v>
      </c>
    </row>
    <row r="335" spans="11:13">
      <c r="K335" s="76">
        <v>44245</v>
      </c>
      <c r="L335" s="70">
        <v>0.2</v>
      </c>
      <c r="M335" s="70">
        <v>1</v>
      </c>
    </row>
    <row r="336" spans="11:13">
      <c r="K336" s="76">
        <v>44246</v>
      </c>
      <c r="L336" s="70">
        <v>0.2</v>
      </c>
      <c r="M336" s="70">
        <v>1</v>
      </c>
    </row>
    <row r="337" spans="11:13">
      <c r="K337" s="76">
        <v>44247</v>
      </c>
      <c r="L337" s="70">
        <v>0.2</v>
      </c>
      <c r="M337" s="70">
        <v>1</v>
      </c>
    </row>
    <row r="338" spans="11:13">
      <c r="K338" s="76">
        <v>44248</v>
      </c>
      <c r="L338" s="70">
        <v>0.2</v>
      </c>
      <c r="M338" s="70">
        <v>1</v>
      </c>
    </row>
    <row r="339" spans="11:13">
      <c r="K339" s="76">
        <v>44249</v>
      </c>
      <c r="L339" s="70">
        <v>0.2</v>
      </c>
      <c r="M339" s="70">
        <v>1</v>
      </c>
    </row>
    <row r="340" spans="11:13">
      <c r="K340" s="76">
        <v>44250</v>
      </c>
      <c r="L340" s="70">
        <v>0.2</v>
      </c>
      <c r="M340" s="70">
        <v>1</v>
      </c>
    </row>
    <row r="341" spans="11:13">
      <c r="K341" s="76">
        <v>44251</v>
      </c>
      <c r="L341" s="70">
        <v>0.2</v>
      </c>
      <c r="M341" s="70">
        <v>1</v>
      </c>
    </row>
    <row r="342" spans="11:13">
      <c r="K342" s="76">
        <v>44252</v>
      </c>
      <c r="L342" s="70">
        <v>0.2</v>
      </c>
      <c r="M342" s="70">
        <v>1</v>
      </c>
    </row>
    <row r="343" spans="11:13">
      <c r="K343" s="76">
        <v>44253</v>
      </c>
      <c r="L343" s="70">
        <v>0.2</v>
      </c>
      <c r="M343" s="70">
        <v>1</v>
      </c>
    </row>
    <row r="344" spans="11:13">
      <c r="K344" s="76">
        <v>44254</v>
      </c>
      <c r="L344" s="70">
        <v>0.2</v>
      </c>
      <c r="M344" s="70">
        <v>1</v>
      </c>
    </row>
    <row r="345" spans="11:13">
      <c r="K345" s="76">
        <v>44255</v>
      </c>
      <c r="L345" s="70">
        <v>0.2</v>
      </c>
      <c r="M345" s="70">
        <v>1</v>
      </c>
    </row>
    <row r="346" spans="11:13">
      <c r="K346" s="76">
        <v>44256</v>
      </c>
      <c r="L346" s="70">
        <v>0.2</v>
      </c>
      <c r="M346" s="70">
        <v>1</v>
      </c>
    </row>
    <row r="347" spans="11:13">
      <c r="K347" s="76">
        <v>44257</v>
      </c>
      <c r="L347" s="70">
        <v>0.2</v>
      </c>
      <c r="M347" s="70">
        <v>1</v>
      </c>
    </row>
    <row r="348" spans="11:13">
      <c r="K348" s="76">
        <v>44258</v>
      </c>
      <c r="L348" s="70">
        <v>0.2</v>
      </c>
      <c r="M348" s="70">
        <v>1</v>
      </c>
    </row>
    <row r="349" spans="11:13">
      <c r="K349" s="76">
        <v>44259</v>
      </c>
      <c r="L349" s="70">
        <v>0.2</v>
      </c>
      <c r="M349" s="70">
        <v>1</v>
      </c>
    </row>
    <row r="350" spans="11:13">
      <c r="K350" s="76">
        <v>44260</v>
      </c>
      <c r="L350" s="70">
        <v>0.2</v>
      </c>
      <c r="M350" s="70">
        <v>1</v>
      </c>
    </row>
    <row r="351" spans="11:13">
      <c r="K351" s="76">
        <v>44261</v>
      </c>
      <c r="L351" s="70">
        <v>0.2</v>
      </c>
      <c r="M351" s="70">
        <v>1</v>
      </c>
    </row>
    <row r="352" spans="11:13">
      <c r="K352" s="76">
        <v>44262</v>
      </c>
      <c r="L352" s="70">
        <v>0.2</v>
      </c>
      <c r="M352" s="70">
        <v>1</v>
      </c>
    </row>
    <row r="353" spans="11:13">
      <c r="K353" s="76">
        <v>44263</v>
      </c>
      <c r="L353" s="70">
        <v>0.2</v>
      </c>
      <c r="M353" s="70">
        <v>1</v>
      </c>
    </row>
    <row r="354" spans="11:13">
      <c r="K354" s="76">
        <v>44264</v>
      </c>
      <c r="L354" s="70">
        <v>0.2</v>
      </c>
      <c r="M354" s="70">
        <v>1</v>
      </c>
    </row>
    <row r="355" spans="11:13">
      <c r="K355" s="76">
        <v>44265</v>
      </c>
      <c r="L355" s="70">
        <v>0.2</v>
      </c>
      <c r="M355" s="70">
        <v>1</v>
      </c>
    </row>
    <row r="356" spans="11:13">
      <c r="K356" s="76">
        <v>44266</v>
      </c>
      <c r="L356" s="70">
        <v>0.2</v>
      </c>
      <c r="M356" s="70">
        <v>1</v>
      </c>
    </row>
    <row r="357" spans="11:13">
      <c r="K357" s="76">
        <v>44267</v>
      </c>
      <c r="L357" s="70">
        <v>0.2</v>
      </c>
      <c r="M357" s="70">
        <v>1</v>
      </c>
    </row>
    <row r="358" spans="11:13">
      <c r="K358" s="76">
        <v>44268</v>
      </c>
      <c r="L358" s="70">
        <v>0.2</v>
      </c>
      <c r="M358" s="70">
        <v>1</v>
      </c>
    </row>
    <row r="359" spans="11:13">
      <c r="K359" s="76">
        <v>44269</v>
      </c>
      <c r="L359" s="70">
        <v>0.2</v>
      </c>
      <c r="M359" s="70">
        <v>1</v>
      </c>
    </row>
    <row r="360" spans="11:13">
      <c r="K360" s="76">
        <v>44270</v>
      </c>
      <c r="L360" s="70">
        <v>0.2</v>
      </c>
      <c r="M360" s="70">
        <v>1</v>
      </c>
    </row>
    <row r="361" spans="11:13">
      <c r="K361" s="76">
        <v>44271</v>
      </c>
      <c r="L361" s="70">
        <v>0.2</v>
      </c>
      <c r="M361" s="70">
        <v>1</v>
      </c>
    </row>
    <row r="362" spans="11:13">
      <c r="K362" s="76">
        <v>44272</v>
      </c>
      <c r="L362" s="70">
        <v>0.2</v>
      </c>
      <c r="M362" s="70">
        <v>1</v>
      </c>
    </row>
    <row r="363" spans="11:13">
      <c r="K363" s="76">
        <v>44273</v>
      </c>
      <c r="L363" s="70">
        <v>0.2</v>
      </c>
      <c r="M363" s="70">
        <v>1</v>
      </c>
    </row>
    <row r="364" spans="11:13">
      <c r="K364" s="76">
        <v>44274</v>
      </c>
      <c r="L364" s="70">
        <v>0.2</v>
      </c>
      <c r="M364" s="70">
        <v>1</v>
      </c>
    </row>
    <row r="365" spans="11:13">
      <c r="K365" s="76">
        <v>44275</v>
      </c>
      <c r="L365" s="70">
        <v>0.2</v>
      </c>
      <c r="M365" s="70">
        <v>1</v>
      </c>
    </row>
    <row r="366" spans="11:13">
      <c r="K366" s="76">
        <v>44276</v>
      </c>
      <c r="L366" s="70">
        <v>0.2</v>
      </c>
      <c r="M366" s="70">
        <v>1</v>
      </c>
    </row>
    <row r="367" spans="11:13">
      <c r="K367" s="76">
        <v>44277</v>
      </c>
      <c r="L367" s="70">
        <v>0.2</v>
      </c>
      <c r="M367" s="70">
        <v>1</v>
      </c>
    </row>
    <row r="368" spans="11:13">
      <c r="K368" s="76">
        <v>44278</v>
      </c>
      <c r="L368" s="70">
        <v>0.2</v>
      </c>
      <c r="M368" s="70">
        <v>1</v>
      </c>
    </row>
    <row r="369" spans="11:13">
      <c r="K369" s="76">
        <v>44279</v>
      </c>
      <c r="L369" s="70">
        <v>0.2</v>
      </c>
      <c r="M369" s="70">
        <v>1</v>
      </c>
    </row>
    <row r="370" spans="11:13">
      <c r="K370" s="76">
        <v>44280</v>
      </c>
      <c r="L370" s="70">
        <v>0.2</v>
      </c>
      <c r="M370" s="70">
        <v>1</v>
      </c>
    </row>
    <row r="371" spans="11:13">
      <c r="K371" s="76">
        <v>44281</v>
      </c>
      <c r="L371" s="70">
        <v>0.2</v>
      </c>
      <c r="M371" s="70">
        <v>1</v>
      </c>
    </row>
    <row r="372" spans="11:13">
      <c r="K372" s="76">
        <v>44282</v>
      </c>
      <c r="L372" s="70">
        <v>0.2</v>
      </c>
      <c r="M372" s="70">
        <v>1</v>
      </c>
    </row>
    <row r="373" spans="11:13">
      <c r="K373" s="76">
        <v>44283</v>
      </c>
      <c r="L373" s="70">
        <v>0.2</v>
      </c>
      <c r="M373" s="70">
        <v>1</v>
      </c>
    </row>
    <row r="374" spans="11:13">
      <c r="K374" s="76">
        <v>44284</v>
      </c>
      <c r="L374" s="70">
        <v>0.2</v>
      </c>
      <c r="M374" s="70">
        <v>1</v>
      </c>
    </row>
    <row r="375" spans="11:13">
      <c r="K375" s="76">
        <v>44285</v>
      </c>
      <c r="L375" s="70">
        <v>0.2</v>
      </c>
      <c r="M375" s="70">
        <v>1</v>
      </c>
    </row>
    <row r="376" spans="11:13">
      <c r="K376" s="76">
        <v>44286</v>
      </c>
      <c r="L376" s="70">
        <v>0.2</v>
      </c>
      <c r="M376" s="70">
        <v>1</v>
      </c>
    </row>
    <row r="377" spans="11:13">
      <c r="K377" s="76">
        <v>44287</v>
      </c>
      <c r="L377" s="70">
        <v>0.2</v>
      </c>
      <c r="M377" s="70">
        <v>1</v>
      </c>
    </row>
    <row r="378" spans="11:13">
      <c r="K378" s="76">
        <v>44288</v>
      </c>
      <c r="L378" s="70">
        <v>0.2</v>
      </c>
      <c r="M378" s="70">
        <v>1</v>
      </c>
    </row>
    <row r="379" spans="11:13">
      <c r="K379" s="76">
        <v>44289</v>
      </c>
      <c r="L379" s="70">
        <v>0.2</v>
      </c>
      <c r="M379" s="70">
        <v>1</v>
      </c>
    </row>
    <row r="380" spans="11:13">
      <c r="K380" s="76">
        <v>44290</v>
      </c>
      <c r="L380" s="70">
        <v>0.2</v>
      </c>
      <c r="M380" s="70">
        <v>1</v>
      </c>
    </row>
    <row r="381" spans="11:13">
      <c r="K381" s="76">
        <v>44291</v>
      </c>
      <c r="L381" s="70">
        <v>0.2</v>
      </c>
      <c r="M381" s="70">
        <v>1</v>
      </c>
    </row>
    <row r="382" spans="11:13">
      <c r="K382" s="76">
        <v>44292</v>
      </c>
      <c r="L382" s="70">
        <v>0.2</v>
      </c>
      <c r="M382" s="70">
        <v>1</v>
      </c>
    </row>
    <row r="383" spans="11:13">
      <c r="K383" s="76">
        <v>44293</v>
      </c>
      <c r="L383" s="70">
        <v>0.2</v>
      </c>
      <c r="M383" s="70">
        <v>1</v>
      </c>
    </row>
    <row r="384" spans="11:13">
      <c r="K384" s="76">
        <v>44294</v>
      </c>
      <c r="L384" s="70">
        <v>0.2</v>
      </c>
      <c r="M384" s="70">
        <v>1</v>
      </c>
    </row>
    <row r="385" spans="11:13">
      <c r="K385" s="76">
        <v>44295</v>
      </c>
      <c r="L385" s="70">
        <v>0.2</v>
      </c>
      <c r="M385" s="70">
        <v>1</v>
      </c>
    </row>
    <row r="386" spans="11:13">
      <c r="K386" s="76">
        <v>44296</v>
      </c>
      <c r="L386" s="70">
        <v>0.2</v>
      </c>
      <c r="M386" s="70">
        <v>1</v>
      </c>
    </row>
    <row r="387" spans="11:13">
      <c r="K387" s="76">
        <v>44297</v>
      </c>
      <c r="L387" s="70">
        <v>0.2</v>
      </c>
      <c r="M387" s="70">
        <v>1</v>
      </c>
    </row>
    <row r="388" spans="11:13">
      <c r="K388" s="76">
        <v>44298</v>
      </c>
      <c r="L388" s="70">
        <v>0.2</v>
      </c>
      <c r="M388" s="70">
        <v>1</v>
      </c>
    </row>
    <row r="389" spans="11:13">
      <c r="K389" s="76">
        <v>44299</v>
      </c>
      <c r="L389" s="70">
        <v>0.2</v>
      </c>
      <c r="M389" s="70">
        <v>1</v>
      </c>
    </row>
    <row r="390" spans="11:13">
      <c r="K390" s="76">
        <v>44300</v>
      </c>
      <c r="L390" s="70">
        <v>0.2</v>
      </c>
      <c r="M390" s="70">
        <v>1</v>
      </c>
    </row>
    <row r="391" spans="11:13">
      <c r="K391" s="76">
        <v>44301</v>
      </c>
      <c r="L391" s="70">
        <v>0.2</v>
      </c>
      <c r="M391" s="70">
        <v>1</v>
      </c>
    </row>
    <row r="392" spans="11:13">
      <c r="K392" s="76">
        <v>44302</v>
      </c>
      <c r="L392" s="70">
        <v>0.2</v>
      </c>
      <c r="M392" s="70">
        <v>1</v>
      </c>
    </row>
    <row r="393" spans="11:13">
      <c r="K393" s="76">
        <v>44303</v>
      </c>
      <c r="L393" s="70">
        <v>0.2</v>
      </c>
      <c r="M393" s="70">
        <v>1</v>
      </c>
    </row>
    <row r="394" spans="11:13">
      <c r="K394" s="76">
        <v>44304</v>
      </c>
      <c r="L394" s="70">
        <v>0.2</v>
      </c>
      <c r="M394" s="70">
        <v>1</v>
      </c>
    </row>
    <row r="395" spans="11:13">
      <c r="K395" s="76">
        <v>44305</v>
      </c>
      <c r="L395" s="70">
        <v>0.2</v>
      </c>
      <c r="M395" s="70">
        <v>1</v>
      </c>
    </row>
    <row r="396" spans="11:13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/>
  <sheetData>
    <row r="1" spans="11:13">
      <c r="K1" t="s">
        <v>53</v>
      </c>
    </row>
    <row r="2" spans="11:13">
      <c r="K2" t="s">
        <v>0</v>
      </c>
      <c r="L2" t="s">
        <v>55</v>
      </c>
      <c r="M2" t="s">
        <v>54</v>
      </c>
    </row>
    <row r="3" spans="11:13">
      <c r="K3" s="76">
        <v>43913</v>
      </c>
      <c r="L3" s="70">
        <v>0.5</v>
      </c>
      <c r="M3" s="70">
        <v>0.16</v>
      </c>
    </row>
    <row r="4" spans="11:13">
      <c r="K4" s="76">
        <v>43914</v>
      </c>
      <c r="L4" s="70">
        <v>0.5</v>
      </c>
      <c r="M4" s="70">
        <v>0.16</v>
      </c>
    </row>
    <row r="5" spans="11:13">
      <c r="K5" s="76">
        <v>43915</v>
      </c>
      <c r="L5" s="70">
        <v>0.5</v>
      </c>
      <c r="M5" s="70">
        <v>0.16</v>
      </c>
    </row>
    <row r="6" spans="11:13">
      <c r="K6" s="76">
        <v>43916</v>
      </c>
      <c r="L6" s="70">
        <v>0.5</v>
      </c>
      <c r="M6" s="70">
        <v>0.16</v>
      </c>
    </row>
    <row r="7" spans="11:13">
      <c r="K7" s="76">
        <v>43917</v>
      </c>
      <c r="L7" s="70">
        <v>0.5</v>
      </c>
      <c r="M7" s="70">
        <v>0.16</v>
      </c>
    </row>
    <row r="8" spans="11:13">
      <c r="K8" s="76">
        <v>43918</v>
      </c>
      <c r="L8" s="70">
        <v>0.5</v>
      </c>
      <c r="M8" s="70">
        <v>0.16</v>
      </c>
    </row>
    <row r="9" spans="11:13">
      <c r="K9" s="76">
        <v>43919</v>
      </c>
      <c r="L9" s="70">
        <v>0.5</v>
      </c>
      <c r="M9" s="70">
        <v>0.16</v>
      </c>
    </row>
    <row r="10" spans="11:13">
      <c r="K10" s="76">
        <v>43920</v>
      </c>
      <c r="L10" s="70">
        <v>0.5</v>
      </c>
      <c r="M10" s="70">
        <v>0.16</v>
      </c>
    </row>
    <row r="11" spans="11:13">
      <c r="K11" s="76">
        <v>43921</v>
      </c>
      <c r="L11" s="70">
        <v>0.5</v>
      </c>
      <c r="M11" s="70">
        <v>0.16</v>
      </c>
    </row>
    <row r="12" spans="11:13">
      <c r="K12" s="76">
        <v>43922</v>
      </c>
      <c r="L12" s="70">
        <v>0.5</v>
      </c>
      <c r="M12" s="70">
        <v>0.16</v>
      </c>
    </row>
    <row r="13" spans="11:13">
      <c r="K13" s="76">
        <v>43923</v>
      </c>
      <c r="L13" s="70">
        <v>0.5</v>
      </c>
      <c r="M13" s="70">
        <v>0.16</v>
      </c>
    </row>
    <row r="14" spans="11:13">
      <c r="K14" s="76">
        <v>43924</v>
      </c>
      <c r="L14" s="70">
        <v>0.5</v>
      </c>
      <c r="M14" s="70">
        <v>0.16</v>
      </c>
    </row>
    <row r="15" spans="11:13">
      <c r="K15" s="76">
        <v>43925</v>
      </c>
      <c r="L15" s="70">
        <v>0.5</v>
      </c>
      <c r="M15" s="70">
        <v>0.16</v>
      </c>
    </row>
    <row r="16" spans="11:13">
      <c r="K16" s="76">
        <v>43926</v>
      </c>
      <c r="L16" s="70">
        <v>0.5</v>
      </c>
      <c r="M16" s="70">
        <v>0.16</v>
      </c>
    </row>
    <row r="17" spans="11:13">
      <c r="K17" s="76">
        <v>43927</v>
      </c>
      <c r="L17" s="70">
        <v>0.5</v>
      </c>
      <c r="M17" s="70">
        <v>0.16</v>
      </c>
    </row>
    <row r="18" spans="11:13">
      <c r="K18" s="76">
        <v>43928</v>
      </c>
      <c r="L18" s="70">
        <v>0.5</v>
      </c>
      <c r="M18" s="70">
        <v>0.16</v>
      </c>
    </row>
    <row r="19" spans="11:13">
      <c r="K19" s="76">
        <v>43929</v>
      </c>
      <c r="L19" s="70">
        <v>0.5</v>
      </c>
      <c r="M19" s="70">
        <v>0.16</v>
      </c>
    </row>
    <row r="20" spans="11:13">
      <c r="K20" s="76">
        <v>43930</v>
      </c>
      <c r="L20" s="70">
        <v>0.5</v>
      </c>
      <c r="M20" s="70">
        <v>0.16</v>
      </c>
    </row>
    <row r="21" spans="11:13">
      <c r="K21" s="76">
        <v>43931</v>
      </c>
      <c r="L21" s="70">
        <v>0.5</v>
      </c>
      <c r="M21" s="70">
        <v>0.16</v>
      </c>
    </row>
    <row r="22" spans="11:13">
      <c r="K22" s="76">
        <v>43932</v>
      </c>
      <c r="L22" s="70">
        <v>0.5</v>
      </c>
      <c r="M22" s="70">
        <v>0.16</v>
      </c>
    </row>
    <row r="23" spans="11:13">
      <c r="K23" s="76">
        <v>43933</v>
      </c>
      <c r="L23" s="70">
        <v>0.5</v>
      </c>
      <c r="M23" s="70">
        <v>0.16</v>
      </c>
    </row>
    <row r="24" spans="11:13">
      <c r="K24" s="76">
        <v>43934</v>
      </c>
      <c r="L24" s="70">
        <v>0.5</v>
      </c>
      <c r="M24" s="70">
        <v>0.16</v>
      </c>
    </row>
    <row r="25" spans="11:13">
      <c r="K25" s="76">
        <v>43935</v>
      </c>
      <c r="L25" s="70">
        <v>0.5</v>
      </c>
      <c r="M25" s="70">
        <v>0.16</v>
      </c>
    </row>
    <row r="26" spans="11:13">
      <c r="K26" s="76">
        <v>43936</v>
      </c>
      <c r="L26" s="70">
        <v>0.5</v>
      </c>
      <c r="M26" s="70">
        <v>0.16</v>
      </c>
    </row>
    <row r="27" spans="11:13">
      <c r="K27" s="76">
        <v>43937</v>
      </c>
      <c r="L27" s="70">
        <v>0.5</v>
      </c>
      <c r="M27" s="70">
        <v>0.16</v>
      </c>
    </row>
    <row r="28" spans="11:13">
      <c r="K28" s="76">
        <v>43938</v>
      </c>
      <c r="L28" s="70">
        <v>0.5</v>
      </c>
      <c r="M28" s="70">
        <v>0.16</v>
      </c>
    </row>
    <row r="29" spans="11:13">
      <c r="K29" s="76">
        <v>43939</v>
      </c>
      <c r="L29" s="70">
        <v>0.5</v>
      </c>
      <c r="M29" s="70">
        <v>0.16</v>
      </c>
    </row>
    <row r="30" spans="11:13">
      <c r="K30" s="76">
        <v>43940</v>
      </c>
      <c r="L30" s="70">
        <v>0.5</v>
      </c>
      <c r="M30" s="70">
        <v>0.16</v>
      </c>
    </row>
    <row r="31" spans="11:13">
      <c r="K31" s="76">
        <v>43941</v>
      </c>
      <c r="L31" s="70">
        <v>0.5</v>
      </c>
      <c r="M31" s="70">
        <v>0.16</v>
      </c>
    </row>
    <row r="32" spans="11:13">
      <c r="K32" s="76">
        <v>43942</v>
      </c>
      <c r="L32" s="70">
        <v>0.5</v>
      </c>
      <c r="M32" s="70">
        <v>0.16</v>
      </c>
    </row>
    <row r="33" spans="11:13">
      <c r="K33" s="76">
        <v>43943</v>
      </c>
      <c r="L33" s="70">
        <v>0.5</v>
      </c>
      <c r="M33" s="70">
        <v>0.16</v>
      </c>
    </row>
    <row r="34" spans="11:13">
      <c r="K34" s="76">
        <v>43944</v>
      </c>
      <c r="L34" s="70">
        <v>0.5</v>
      </c>
      <c r="M34" s="70">
        <v>0.16</v>
      </c>
    </row>
    <row r="35" spans="11:13">
      <c r="K35" s="76">
        <v>43945</v>
      </c>
      <c r="L35" s="70">
        <v>0.5</v>
      </c>
      <c r="M35" s="70">
        <v>0.16</v>
      </c>
    </row>
    <row r="36" spans="11:13">
      <c r="K36" s="76">
        <v>43946</v>
      </c>
      <c r="L36" s="70">
        <v>0.5</v>
      </c>
      <c r="M36" s="70">
        <v>0.16</v>
      </c>
    </row>
    <row r="37" spans="11:13">
      <c r="K37" s="76">
        <v>43947</v>
      </c>
      <c r="L37" s="70">
        <v>0.5</v>
      </c>
      <c r="M37" s="70">
        <v>0.16</v>
      </c>
    </row>
    <row r="38" spans="11:13">
      <c r="K38" s="76">
        <v>43948</v>
      </c>
      <c r="L38" s="70">
        <v>0.5</v>
      </c>
      <c r="M38" s="70">
        <v>0.16</v>
      </c>
    </row>
    <row r="39" spans="11:13">
      <c r="K39" s="76">
        <v>43949</v>
      </c>
      <c r="L39" s="70">
        <v>0.5</v>
      </c>
      <c r="M39" s="70">
        <v>0.16</v>
      </c>
    </row>
    <row r="40" spans="11:13">
      <c r="K40" s="76">
        <v>43950</v>
      </c>
      <c r="L40" s="70">
        <v>0.5</v>
      </c>
      <c r="M40" s="70">
        <v>0.16</v>
      </c>
    </row>
    <row r="41" spans="11:13">
      <c r="K41" s="76">
        <v>43951</v>
      </c>
      <c r="L41" s="70">
        <v>0.5</v>
      </c>
      <c r="M41" s="70">
        <v>0.16</v>
      </c>
    </row>
    <row r="42" spans="11:13">
      <c r="K42" s="76">
        <v>43952</v>
      </c>
      <c r="L42" s="70">
        <v>0.5</v>
      </c>
      <c r="M42" s="70">
        <v>0.16</v>
      </c>
    </row>
    <row r="43" spans="11:13">
      <c r="K43" s="76">
        <v>43953</v>
      </c>
      <c r="L43" s="70">
        <v>0.5</v>
      </c>
      <c r="M43" s="70">
        <v>0.16</v>
      </c>
    </row>
    <row r="44" spans="11:13">
      <c r="K44" s="76">
        <v>43954</v>
      </c>
      <c r="L44" s="70">
        <v>0.5</v>
      </c>
      <c r="M44" s="70">
        <v>0.16</v>
      </c>
    </row>
    <row r="45" spans="11:13">
      <c r="K45" s="76">
        <v>43955</v>
      </c>
      <c r="L45" s="70">
        <v>0.5</v>
      </c>
      <c r="M45" s="70">
        <v>0.16</v>
      </c>
    </row>
    <row r="46" spans="11:13">
      <c r="K46" s="76">
        <v>43956</v>
      </c>
      <c r="L46" s="70">
        <v>0.5</v>
      </c>
      <c r="M46" s="70">
        <v>0.16</v>
      </c>
    </row>
    <row r="47" spans="11:13">
      <c r="K47" s="76">
        <v>43957</v>
      </c>
      <c r="L47" s="70">
        <v>0.5</v>
      </c>
      <c r="M47" s="70">
        <v>0.16</v>
      </c>
    </row>
    <row r="48" spans="11:13">
      <c r="K48" s="76">
        <v>43958</v>
      </c>
      <c r="L48" s="70">
        <v>0.5</v>
      </c>
      <c r="M48" s="70">
        <v>0.16</v>
      </c>
    </row>
    <row r="49" spans="11:13">
      <c r="K49" s="76">
        <v>43959</v>
      </c>
      <c r="L49" s="70">
        <v>0.5</v>
      </c>
      <c r="M49" s="70">
        <v>0.16</v>
      </c>
    </row>
    <row r="50" spans="11:13">
      <c r="K50" s="76">
        <v>43960</v>
      </c>
      <c r="L50" s="70">
        <v>0.5</v>
      </c>
      <c r="M50" s="70">
        <v>0.16</v>
      </c>
    </row>
    <row r="51" spans="11:13">
      <c r="K51" s="76">
        <v>43961</v>
      </c>
      <c r="L51" s="70">
        <v>0.5</v>
      </c>
      <c r="M51" s="70">
        <v>0.16</v>
      </c>
    </row>
    <row r="52" spans="11:13">
      <c r="K52" s="76">
        <v>43962</v>
      </c>
      <c r="L52" s="70">
        <v>0.5</v>
      </c>
      <c r="M52" s="70">
        <v>0.16</v>
      </c>
    </row>
    <row r="53" spans="11:13">
      <c r="K53" s="76">
        <v>43963</v>
      </c>
      <c r="L53" s="70">
        <v>0.5</v>
      </c>
      <c r="M53" s="70">
        <v>0.16</v>
      </c>
    </row>
    <row r="54" spans="11:13">
      <c r="K54" s="76">
        <v>43964</v>
      </c>
      <c r="L54" s="70">
        <v>0.5</v>
      </c>
      <c r="M54" s="70">
        <v>0.16</v>
      </c>
    </row>
    <row r="55" spans="11:13">
      <c r="K55" s="76">
        <v>43965</v>
      </c>
      <c r="L55" s="70">
        <v>0.5</v>
      </c>
      <c r="M55" s="70">
        <v>0.16</v>
      </c>
    </row>
    <row r="56" spans="11:13">
      <c r="K56" s="76">
        <v>43966</v>
      </c>
      <c r="L56" s="70">
        <v>0.5</v>
      </c>
      <c r="M56" s="70">
        <v>0.16</v>
      </c>
    </row>
    <row r="57" spans="11:13">
      <c r="K57" s="76">
        <v>43967</v>
      </c>
      <c r="L57" s="70">
        <v>0.5</v>
      </c>
      <c r="M57" s="70">
        <v>0.16</v>
      </c>
    </row>
    <row r="58" spans="11:13">
      <c r="K58" s="76">
        <v>43968</v>
      </c>
      <c r="L58" s="70">
        <v>0.5</v>
      </c>
      <c r="M58" s="70">
        <v>0.16</v>
      </c>
    </row>
    <row r="59" spans="11:13">
      <c r="K59" s="76">
        <v>43969</v>
      </c>
      <c r="L59" s="70">
        <v>0.5</v>
      </c>
      <c r="M59" s="70">
        <v>0.16</v>
      </c>
    </row>
    <row r="60" spans="11:13">
      <c r="K60" s="76">
        <v>43970</v>
      </c>
      <c r="L60" s="70">
        <v>0.5</v>
      </c>
      <c r="M60" s="70">
        <v>0.16</v>
      </c>
    </row>
    <row r="61" spans="11:13">
      <c r="K61" s="76">
        <v>43971</v>
      </c>
      <c r="L61" s="70">
        <v>0.5</v>
      </c>
      <c r="M61" s="70">
        <v>0.16</v>
      </c>
    </row>
    <row r="62" spans="11:13">
      <c r="K62" s="76">
        <v>43972</v>
      </c>
      <c r="L62" s="70">
        <v>0.5</v>
      </c>
      <c r="M62" s="70">
        <v>0.16</v>
      </c>
    </row>
    <row r="63" spans="11:13">
      <c r="K63" s="76">
        <v>43973</v>
      </c>
      <c r="L63" s="70">
        <v>0.5</v>
      </c>
      <c r="M63" s="70">
        <v>0.16</v>
      </c>
    </row>
    <row r="64" spans="11:13">
      <c r="K64" s="76">
        <v>43974</v>
      </c>
      <c r="L64" s="70">
        <v>0.5</v>
      </c>
      <c r="M64" s="70">
        <v>0.16</v>
      </c>
    </row>
    <row r="65" spans="11:13">
      <c r="K65" s="76">
        <v>43975</v>
      </c>
      <c r="L65" s="70">
        <v>0.5</v>
      </c>
      <c r="M65" s="70">
        <v>0.16</v>
      </c>
    </row>
    <row r="66" spans="11:13">
      <c r="K66" s="76">
        <v>43976</v>
      </c>
      <c r="L66" s="70">
        <v>0.5</v>
      </c>
      <c r="M66" s="70">
        <v>0.16</v>
      </c>
    </row>
    <row r="67" spans="11:13">
      <c r="K67" s="76">
        <v>43977</v>
      </c>
      <c r="L67" s="70">
        <v>0.5</v>
      </c>
      <c r="M67" s="70">
        <v>0.16</v>
      </c>
    </row>
    <row r="68" spans="11:13">
      <c r="K68" s="76">
        <v>43978</v>
      </c>
      <c r="L68" s="70">
        <v>0.5</v>
      </c>
      <c r="M68" s="70">
        <v>0.16</v>
      </c>
    </row>
    <row r="69" spans="11:13">
      <c r="K69" s="76">
        <v>43979</v>
      </c>
      <c r="L69" s="70">
        <v>0.5</v>
      </c>
      <c r="M69" s="70">
        <v>0.16</v>
      </c>
    </row>
    <row r="70" spans="11:13">
      <c r="K70" s="76">
        <v>43980</v>
      </c>
      <c r="L70" s="70">
        <v>0.5</v>
      </c>
      <c r="M70" s="70">
        <v>0.16</v>
      </c>
    </row>
    <row r="71" spans="11:13">
      <c r="K71" s="76">
        <v>43981</v>
      </c>
      <c r="L71" s="70">
        <v>0.5</v>
      </c>
      <c r="M71" s="70">
        <v>0.16</v>
      </c>
    </row>
    <row r="72" spans="11:13">
      <c r="K72" s="76">
        <v>43982</v>
      </c>
      <c r="L72" s="70">
        <v>0.5</v>
      </c>
      <c r="M72" s="70">
        <v>0.16</v>
      </c>
    </row>
    <row r="73" spans="11:13">
      <c r="K73" s="76">
        <v>43983</v>
      </c>
      <c r="L73" s="70">
        <v>0.5</v>
      </c>
      <c r="M73" s="70">
        <v>0.16</v>
      </c>
    </row>
    <row r="74" spans="11:13">
      <c r="K74" s="76">
        <v>43984</v>
      </c>
      <c r="L74" s="70">
        <v>0.5</v>
      </c>
      <c r="M74" s="70">
        <v>0.16</v>
      </c>
    </row>
    <row r="75" spans="11:13">
      <c r="K75" s="76">
        <v>43985</v>
      </c>
      <c r="L75" s="70">
        <v>0.5</v>
      </c>
      <c r="M75" s="70">
        <v>0.16</v>
      </c>
    </row>
    <row r="76" spans="11:13">
      <c r="K76" s="76">
        <v>43986</v>
      </c>
      <c r="L76" s="70">
        <v>0.5</v>
      </c>
      <c r="M76" s="70">
        <v>0.16</v>
      </c>
    </row>
    <row r="77" spans="11:13">
      <c r="K77" s="76">
        <v>43987</v>
      </c>
      <c r="L77" s="70">
        <v>0.5</v>
      </c>
      <c r="M77" s="70">
        <v>0.16</v>
      </c>
    </row>
    <row r="78" spans="11:13">
      <c r="K78" s="76">
        <v>43988</v>
      </c>
      <c r="L78" s="70">
        <v>0.5</v>
      </c>
      <c r="M78" s="70">
        <v>0.16</v>
      </c>
    </row>
    <row r="79" spans="11:13">
      <c r="K79" s="76">
        <v>43989</v>
      </c>
      <c r="L79" s="70">
        <v>0.5</v>
      </c>
      <c r="M79" s="70">
        <v>0.16</v>
      </c>
    </row>
    <row r="80" spans="11:13">
      <c r="K80" s="76">
        <v>43990</v>
      </c>
      <c r="L80" s="70">
        <v>0.5</v>
      </c>
      <c r="M80" s="70">
        <v>0.16</v>
      </c>
    </row>
    <row r="81" spans="11:13">
      <c r="K81" s="76">
        <v>43991</v>
      </c>
      <c r="L81" s="70">
        <v>0.5</v>
      </c>
      <c r="M81" s="70">
        <v>0.16</v>
      </c>
    </row>
    <row r="82" spans="11:13">
      <c r="K82" s="76">
        <v>43992</v>
      </c>
      <c r="L82" s="70">
        <v>0.5</v>
      </c>
      <c r="M82" s="70">
        <v>0.16</v>
      </c>
    </row>
    <row r="83" spans="11:13">
      <c r="K83" s="76">
        <v>43993</v>
      </c>
      <c r="L83" s="70">
        <v>0.5</v>
      </c>
      <c r="M83" s="70">
        <v>0.16</v>
      </c>
    </row>
    <row r="84" spans="11:13">
      <c r="K84" s="76">
        <v>43994</v>
      </c>
      <c r="L84" s="70">
        <v>0.5</v>
      </c>
      <c r="M84" s="70">
        <v>0.16</v>
      </c>
    </row>
    <row r="85" spans="11:13">
      <c r="K85" s="76">
        <v>43995</v>
      </c>
      <c r="L85" s="70">
        <v>0.5</v>
      </c>
      <c r="M85" s="70">
        <v>0.16</v>
      </c>
    </row>
    <row r="86" spans="11:13">
      <c r="K86" s="76">
        <v>43996</v>
      </c>
      <c r="L86" s="70">
        <v>0.5</v>
      </c>
      <c r="M86" s="70">
        <v>0.16</v>
      </c>
    </row>
    <row r="87" spans="11:13">
      <c r="K87" s="76">
        <v>43997</v>
      </c>
      <c r="L87" s="70">
        <v>0.5</v>
      </c>
      <c r="M87" s="70">
        <v>0.16</v>
      </c>
    </row>
    <row r="88" spans="11:13">
      <c r="K88" s="76">
        <v>43998</v>
      </c>
      <c r="L88" s="70">
        <v>0.5</v>
      </c>
      <c r="M88" s="70">
        <v>0.16</v>
      </c>
    </row>
    <row r="89" spans="11:13">
      <c r="K89" s="76">
        <v>43999</v>
      </c>
      <c r="L89" s="70">
        <v>0.5</v>
      </c>
      <c r="M89" s="70">
        <v>0.16</v>
      </c>
    </row>
    <row r="90" spans="11:13">
      <c r="K90" s="76">
        <v>44000</v>
      </c>
      <c r="L90" s="70">
        <v>0.5</v>
      </c>
      <c r="M90" s="70">
        <v>0.16</v>
      </c>
    </row>
    <row r="91" spans="11:13">
      <c r="K91" s="76">
        <v>44001</v>
      </c>
      <c r="L91" s="70">
        <v>0.5</v>
      </c>
      <c r="M91" s="70">
        <v>0.16</v>
      </c>
    </row>
    <row r="92" spans="11:13">
      <c r="K92" s="76">
        <v>44002</v>
      </c>
      <c r="L92" s="70">
        <v>0.5</v>
      </c>
      <c r="M92" s="70">
        <v>0.16</v>
      </c>
    </row>
    <row r="93" spans="11:13">
      <c r="K93" s="76">
        <v>44003</v>
      </c>
      <c r="L93" s="70">
        <v>0.5</v>
      </c>
      <c r="M93" s="70">
        <v>0.16</v>
      </c>
    </row>
    <row r="94" spans="11:13">
      <c r="K94" s="76">
        <v>44004</v>
      </c>
      <c r="L94" s="70">
        <v>0.5</v>
      </c>
      <c r="M94" s="70">
        <v>0.16</v>
      </c>
    </row>
    <row r="95" spans="11:13">
      <c r="K95" s="76">
        <v>44005</v>
      </c>
      <c r="L95" s="70">
        <v>0.5</v>
      </c>
      <c r="M95" s="70">
        <v>0.16</v>
      </c>
    </row>
    <row r="96" spans="11:13">
      <c r="K96" s="76">
        <v>44006</v>
      </c>
      <c r="L96" s="70">
        <v>0.5</v>
      </c>
      <c r="M96" s="70">
        <v>0.16</v>
      </c>
    </row>
    <row r="97" spans="11:13">
      <c r="K97" s="76">
        <v>44007</v>
      </c>
      <c r="L97" s="70">
        <v>0.5</v>
      </c>
      <c r="M97" s="70">
        <v>0.16</v>
      </c>
    </row>
    <row r="98" spans="11:13">
      <c r="K98" s="76">
        <v>44008</v>
      </c>
      <c r="L98" s="70">
        <v>0.5</v>
      </c>
      <c r="M98" s="70">
        <v>0.16</v>
      </c>
    </row>
    <row r="99" spans="11:13">
      <c r="K99" s="76">
        <v>44009</v>
      </c>
      <c r="L99" s="70">
        <v>0.5</v>
      </c>
      <c r="M99" s="70">
        <v>0.16</v>
      </c>
    </row>
    <row r="100" spans="11:13">
      <c r="K100" s="76">
        <v>44010</v>
      </c>
      <c r="L100" s="70">
        <v>0.5</v>
      </c>
      <c r="M100" s="70">
        <v>0.16</v>
      </c>
    </row>
    <row r="101" spans="11:13">
      <c r="K101" s="76">
        <v>44011</v>
      </c>
      <c r="L101" s="70">
        <v>0.5</v>
      </c>
      <c r="M101" s="70">
        <v>0.16</v>
      </c>
    </row>
    <row r="102" spans="11:13">
      <c r="K102" s="76">
        <v>44012</v>
      </c>
      <c r="L102" s="70">
        <v>0.5</v>
      </c>
      <c r="M102" s="70">
        <v>0.16</v>
      </c>
    </row>
    <row r="103" spans="11:13">
      <c r="K103" s="76">
        <v>44013</v>
      </c>
      <c r="L103" s="70">
        <v>0.5</v>
      </c>
      <c r="M103" s="70">
        <v>0.16</v>
      </c>
    </row>
    <row r="104" spans="11:13">
      <c r="K104" s="76">
        <v>44014</v>
      </c>
      <c r="L104" s="70">
        <v>0.5</v>
      </c>
      <c r="M104" s="70">
        <v>0.16</v>
      </c>
    </row>
    <row r="105" spans="11:13">
      <c r="K105" s="76">
        <v>44015</v>
      </c>
      <c r="L105" s="70">
        <v>0.5</v>
      </c>
      <c r="M105" s="70">
        <v>0.16</v>
      </c>
    </row>
    <row r="106" spans="11:13">
      <c r="K106" s="76">
        <v>44016</v>
      </c>
      <c r="L106" s="70">
        <v>0.5</v>
      </c>
      <c r="M106" s="70">
        <v>0.16</v>
      </c>
    </row>
    <row r="107" spans="11:13">
      <c r="K107" s="76">
        <v>44017</v>
      </c>
      <c r="L107" s="70">
        <v>0.5</v>
      </c>
      <c r="M107" s="70">
        <v>0.16</v>
      </c>
    </row>
    <row r="108" spans="11:13">
      <c r="K108" s="76">
        <v>44018</v>
      </c>
      <c r="L108" s="70">
        <v>0.5</v>
      </c>
      <c r="M108" s="70">
        <v>0.16</v>
      </c>
    </row>
    <row r="109" spans="11:13">
      <c r="K109" s="76">
        <v>44019</v>
      </c>
      <c r="L109" s="70">
        <v>0.5</v>
      </c>
      <c r="M109" s="70">
        <v>0.16</v>
      </c>
    </row>
    <row r="110" spans="11:13">
      <c r="K110" s="76">
        <v>44020</v>
      </c>
      <c r="L110" s="70">
        <v>0.5</v>
      </c>
      <c r="M110" s="70">
        <v>0.16</v>
      </c>
    </row>
    <row r="111" spans="11:13">
      <c r="K111" s="76">
        <v>44021</v>
      </c>
      <c r="L111" s="70">
        <v>0.5</v>
      </c>
      <c r="M111" s="70">
        <v>0.16</v>
      </c>
    </row>
    <row r="112" spans="11:13">
      <c r="K112" s="76">
        <v>44022</v>
      </c>
      <c r="L112" s="70">
        <v>0.5</v>
      </c>
      <c r="M112" s="70">
        <v>0.16</v>
      </c>
    </row>
    <row r="113" spans="11:13">
      <c r="K113" s="76">
        <v>44023</v>
      </c>
      <c r="L113" s="70">
        <v>0.5</v>
      </c>
      <c r="M113" s="70">
        <v>0.16</v>
      </c>
    </row>
    <row r="114" spans="11:13">
      <c r="K114" s="76">
        <v>44024</v>
      </c>
      <c r="L114" s="70">
        <v>0.5</v>
      </c>
      <c r="M114" s="70">
        <v>0.16</v>
      </c>
    </row>
    <row r="115" spans="11:13">
      <c r="K115" s="76">
        <v>44025</v>
      </c>
      <c r="L115" s="70">
        <v>0.5</v>
      </c>
      <c r="M115" s="70">
        <v>0.16</v>
      </c>
    </row>
    <row r="116" spans="11:13">
      <c r="K116" s="76">
        <v>44026</v>
      </c>
      <c r="L116" s="70">
        <v>0.5</v>
      </c>
      <c r="M116" s="70">
        <v>0.16</v>
      </c>
    </row>
    <row r="117" spans="11:13">
      <c r="K117" s="76">
        <v>44027</v>
      </c>
      <c r="L117" s="70">
        <v>0.5</v>
      </c>
      <c r="M117" s="70">
        <v>0.16</v>
      </c>
    </row>
    <row r="118" spans="11:13">
      <c r="K118" s="76">
        <v>44028</v>
      </c>
      <c r="L118" s="70">
        <v>0.5</v>
      </c>
      <c r="M118" s="70">
        <v>0.16</v>
      </c>
    </row>
    <row r="119" spans="11:13">
      <c r="K119" s="76">
        <v>44029</v>
      </c>
      <c r="L119" s="70">
        <v>0.5</v>
      </c>
      <c r="M119" s="70">
        <v>0.16</v>
      </c>
    </row>
    <row r="120" spans="11:13">
      <c r="K120" s="76">
        <v>44030</v>
      </c>
      <c r="L120" s="70">
        <v>0.5</v>
      </c>
      <c r="M120" s="70">
        <v>0.16</v>
      </c>
    </row>
    <row r="121" spans="11:13">
      <c r="K121" s="76">
        <v>44031</v>
      </c>
      <c r="L121" s="70">
        <v>0.5</v>
      </c>
      <c r="M121" s="70">
        <v>0.16</v>
      </c>
    </row>
    <row r="122" spans="11:13">
      <c r="K122" s="76">
        <v>44032</v>
      </c>
      <c r="L122" s="70">
        <v>0.5</v>
      </c>
      <c r="M122" s="70">
        <v>0.16</v>
      </c>
    </row>
    <row r="123" spans="11:13">
      <c r="K123" s="76">
        <v>44033</v>
      </c>
      <c r="L123" s="70">
        <v>0.5</v>
      </c>
      <c r="M123" s="70">
        <v>0.16</v>
      </c>
    </row>
    <row r="124" spans="11:13">
      <c r="K124" s="76">
        <v>44034</v>
      </c>
      <c r="L124" s="70">
        <v>0.5</v>
      </c>
      <c r="M124" s="70">
        <v>0.16</v>
      </c>
    </row>
    <row r="125" spans="11:13">
      <c r="K125" s="76">
        <v>44035</v>
      </c>
      <c r="L125" s="70">
        <v>0.5</v>
      </c>
      <c r="M125" s="70">
        <v>0.16</v>
      </c>
    </row>
    <row r="126" spans="11:13">
      <c r="K126" s="76">
        <v>44036</v>
      </c>
      <c r="L126" s="70">
        <v>0.5</v>
      </c>
      <c r="M126" s="70">
        <v>0.16</v>
      </c>
    </row>
    <row r="127" spans="11:13">
      <c r="K127" s="76">
        <v>44037</v>
      </c>
      <c r="L127" s="70">
        <v>0.5</v>
      </c>
      <c r="M127" s="70">
        <v>0.16</v>
      </c>
    </row>
    <row r="128" spans="11:13">
      <c r="K128" s="76">
        <v>44038</v>
      </c>
      <c r="L128" s="70">
        <v>0.5</v>
      </c>
      <c r="M128" s="70">
        <v>0.16</v>
      </c>
    </row>
    <row r="129" spans="11:13">
      <c r="K129" s="76">
        <v>44039</v>
      </c>
      <c r="L129" s="70">
        <v>0.5</v>
      </c>
      <c r="M129" s="70">
        <v>0.16</v>
      </c>
    </row>
    <row r="130" spans="11:13">
      <c r="K130" s="76">
        <v>44040</v>
      </c>
      <c r="L130" s="70">
        <v>0.5</v>
      </c>
      <c r="M130" s="70">
        <v>0.16</v>
      </c>
    </row>
    <row r="131" spans="11:13">
      <c r="K131" s="76">
        <v>44041</v>
      </c>
      <c r="L131" s="70">
        <v>0.5</v>
      </c>
      <c r="M131" s="70">
        <v>0.16</v>
      </c>
    </row>
    <row r="132" spans="11:13">
      <c r="K132" s="76">
        <v>44042</v>
      </c>
      <c r="L132" s="70">
        <v>0.5</v>
      </c>
      <c r="M132" s="70">
        <v>0.16</v>
      </c>
    </row>
    <row r="133" spans="11:13">
      <c r="K133" s="76">
        <v>44043</v>
      </c>
      <c r="L133" s="70">
        <v>0.5</v>
      </c>
      <c r="M133" s="70">
        <v>0.16</v>
      </c>
    </row>
    <row r="134" spans="11:13">
      <c r="K134" s="76">
        <v>44044</v>
      </c>
      <c r="L134" s="70">
        <v>0.5</v>
      </c>
      <c r="M134" s="70">
        <v>0.16</v>
      </c>
    </row>
    <row r="135" spans="11:13">
      <c r="K135" s="76">
        <v>44045</v>
      </c>
      <c r="L135" s="70">
        <v>0.5</v>
      </c>
      <c r="M135" s="70">
        <v>0.16</v>
      </c>
    </row>
    <row r="136" spans="11:13">
      <c r="K136" s="76">
        <v>44046</v>
      </c>
      <c r="L136" s="70">
        <v>0.5</v>
      </c>
      <c r="M136" s="70">
        <v>0.16</v>
      </c>
    </row>
    <row r="137" spans="11:13">
      <c r="K137" s="76">
        <v>44047</v>
      </c>
      <c r="L137" s="70">
        <v>0.5</v>
      </c>
      <c r="M137" s="70">
        <v>0.16</v>
      </c>
    </row>
    <row r="138" spans="11:13">
      <c r="K138" s="76">
        <v>44048</v>
      </c>
      <c r="L138" s="70">
        <v>0.5</v>
      </c>
      <c r="M138" s="70">
        <v>0.16</v>
      </c>
    </row>
    <row r="139" spans="11:13">
      <c r="K139" s="76">
        <v>44049</v>
      </c>
      <c r="L139" s="70">
        <v>0.5</v>
      </c>
      <c r="M139" s="70">
        <v>0.16</v>
      </c>
    </row>
    <row r="140" spans="11:13">
      <c r="K140" s="76">
        <v>44050</v>
      </c>
      <c r="L140" s="70">
        <v>0.5</v>
      </c>
      <c r="M140" s="70">
        <v>0.16</v>
      </c>
    </row>
    <row r="141" spans="11:13">
      <c r="K141" s="76">
        <v>44051</v>
      </c>
      <c r="L141" s="70">
        <v>0.5</v>
      </c>
      <c r="M141" s="70">
        <v>0.16</v>
      </c>
    </row>
    <row r="142" spans="11:13">
      <c r="K142" s="76">
        <v>44052</v>
      </c>
      <c r="L142" s="70">
        <v>0.5</v>
      </c>
      <c r="M142" s="70">
        <v>0.16</v>
      </c>
    </row>
    <row r="143" spans="11:13">
      <c r="K143" s="76">
        <v>44053</v>
      </c>
      <c r="L143" s="70">
        <v>0.5</v>
      </c>
      <c r="M143" s="70">
        <v>0.16</v>
      </c>
    </row>
    <row r="144" spans="11:13">
      <c r="K144" s="76">
        <v>44054</v>
      </c>
      <c r="L144" s="70">
        <v>0.5</v>
      </c>
      <c r="M144" s="70">
        <v>0.16</v>
      </c>
    </row>
    <row r="145" spans="11:13">
      <c r="K145" s="76">
        <v>44055</v>
      </c>
      <c r="L145" s="70">
        <v>0.5</v>
      </c>
      <c r="M145" s="70">
        <v>0.16</v>
      </c>
    </row>
    <row r="146" spans="11:13">
      <c r="K146" s="76">
        <v>44056</v>
      </c>
      <c r="L146" s="70">
        <v>0.5</v>
      </c>
      <c r="M146" s="70">
        <v>0.16</v>
      </c>
    </row>
    <row r="147" spans="11:13">
      <c r="K147" s="76">
        <v>44057</v>
      </c>
      <c r="L147" s="70">
        <v>0.5</v>
      </c>
      <c r="M147" s="70">
        <v>0.16</v>
      </c>
    </row>
    <row r="148" spans="11:13">
      <c r="K148" s="76">
        <v>44058</v>
      </c>
      <c r="L148" s="70">
        <v>0.5</v>
      </c>
      <c r="M148" s="70">
        <v>0.16</v>
      </c>
    </row>
    <row r="149" spans="11:13">
      <c r="K149" s="76">
        <v>44059</v>
      </c>
      <c r="L149" s="70">
        <v>0.5</v>
      </c>
      <c r="M149" s="70">
        <v>0.16</v>
      </c>
    </row>
    <row r="150" spans="11:13">
      <c r="K150" s="76">
        <v>44060</v>
      </c>
      <c r="L150" s="70">
        <v>0.5</v>
      </c>
      <c r="M150" s="70">
        <v>0.16</v>
      </c>
    </row>
    <row r="151" spans="11:13">
      <c r="K151" s="76">
        <v>44061</v>
      </c>
      <c r="L151" s="70">
        <v>0.5</v>
      </c>
      <c r="M151" s="70">
        <v>0.16</v>
      </c>
    </row>
    <row r="152" spans="11:13">
      <c r="K152" s="76">
        <v>44062</v>
      </c>
      <c r="L152" s="70">
        <v>0.5</v>
      </c>
      <c r="M152" s="70">
        <v>0.16</v>
      </c>
    </row>
    <row r="153" spans="11:13">
      <c r="K153" s="76">
        <v>44063</v>
      </c>
      <c r="L153" s="70">
        <v>0.5</v>
      </c>
      <c r="M153" s="70">
        <v>0.16</v>
      </c>
    </row>
    <row r="154" spans="11:13">
      <c r="K154" s="76">
        <v>44064</v>
      </c>
      <c r="L154" s="70">
        <v>0.5</v>
      </c>
      <c r="M154" s="70">
        <v>0.16</v>
      </c>
    </row>
    <row r="155" spans="11:13">
      <c r="K155" s="76">
        <v>44065</v>
      </c>
      <c r="L155" s="70">
        <v>0.5</v>
      </c>
      <c r="M155" s="70">
        <v>0.16</v>
      </c>
    </row>
    <row r="156" spans="11:13">
      <c r="K156" s="76">
        <v>44066</v>
      </c>
      <c r="L156" s="70">
        <v>0.5</v>
      </c>
      <c r="M156" s="70">
        <v>0.16</v>
      </c>
    </row>
    <row r="157" spans="11:13">
      <c r="K157" s="76">
        <v>44067</v>
      </c>
      <c r="L157" s="70">
        <v>0.5</v>
      </c>
      <c r="M157" s="70">
        <v>0.16</v>
      </c>
    </row>
    <row r="158" spans="11:13">
      <c r="K158" s="76">
        <v>44068</v>
      </c>
      <c r="L158" s="70">
        <v>0.5</v>
      </c>
      <c r="M158" s="70">
        <v>0.16</v>
      </c>
    </row>
    <row r="159" spans="11:13">
      <c r="K159" s="76">
        <v>44069</v>
      </c>
      <c r="L159" s="70">
        <v>0.5</v>
      </c>
      <c r="M159" s="70">
        <v>0.16</v>
      </c>
    </row>
    <row r="160" spans="11:13">
      <c r="K160" s="76">
        <v>44070</v>
      </c>
      <c r="L160" s="70">
        <v>0.5</v>
      </c>
      <c r="M160" s="70">
        <v>0.16</v>
      </c>
    </row>
    <row r="161" spans="11:13">
      <c r="K161" s="76">
        <v>44071</v>
      </c>
      <c r="L161" s="70">
        <v>0.5</v>
      </c>
      <c r="M161" s="70">
        <v>0.16</v>
      </c>
    </row>
    <row r="162" spans="11:13">
      <c r="K162" s="76">
        <v>44072</v>
      </c>
      <c r="L162" s="70">
        <v>0.5</v>
      </c>
      <c r="M162" s="70">
        <v>0.16</v>
      </c>
    </row>
    <row r="163" spans="11:13">
      <c r="K163" s="76">
        <v>44073</v>
      </c>
      <c r="L163" s="70">
        <v>0.5</v>
      </c>
      <c r="M163" s="70">
        <v>0.16</v>
      </c>
    </row>
    <row r="164" spans="11:13">
      <c r="K164" s="76">
        <v>44074</v>
      </c>
      <c r="L164" s="70">
        <v>0.5</v>
      </c>
      <c r="M164" s="70">
        <v>0.16</v>
      </c>
    </row>
    <row r="165" spans="11:13">
      <c r="K165" s="76">
        <v>44075</v>
      </c>
      <c r="L165" s="70">
        <v>0.5</v>
      </c>
      <c r="M165" s="70">
        <v>0.16</v>
      </c>
    </row>
    <row r="166" spans="11:13">
      <c r="K166" s="76">
        <v>44076</v>
      </c>
      <c r="L166" s="70">
        <v>0.5</v>
      </c>
      <c r="M166" s="70">
        <v>0.16</v>
      </c>
    </row>
    <row r="167" spans="11:13">
      <c r="K167" s="76">
        <v>44077</v>
      </c>
      <c r="L167" s="70">
        <v>0.5</v>
      </c>
      <c r="M167" s="70">
        <v>0.16</v>
      </c>
    </row>
    <row r="168" spans="11:13">
      <c r="K168" s="76">
        <v>44078</v>
      </c>
      <c r="L168" s="70">
        <v>0.5</v>
      </c>
      <c r="M168" s="70">
        <v>0.16</v>
      </c>
    </row>
    <row r="169" spans="11:13">
      <c r="K169" s="76">
        <v>44079</v>
      </c>
      <c r="L169" s="70">
        <v>0.5</v>
      </c>
      <c r="M169" s="70">
        <v>0.16</v>
      </c>
    </row>
    <row r="170" spans="11:13">
      <c r="K170" s="76">
        <v>44080</v>
      </c>
      <c r="L170" s="70">
        <v>0.5</v>
      </c>
      <c r="M170" s="70">
        <v>0.16</v>
      </c>
    </row>
    <row r="171" spans="11:13">
      <c r="K171" s="76">
        <v>44081</v>
      </c>
      <c r="L171" s="70">
        <v>0.5</v>
      </c>
      <c r="M171" s="70">
        <v>0.16</v>
      </c>
    </row>
    <row r="172" spans="11:13">
      <c r="K172" s="76">
        <v>44082</v>
      </c>
      <c r="L172" s="70">
        <v>0.5</v>
      </c>
      <c r="M172" s="70">
        <v>0.16</v>
      </c>
    </row>
    <row r="173" spans="11:13">
      <c r="K173" s="76">
        <v>44083</v>
      </c>
      <c r="L173" s="70">
        <v>0.5</v>
      </c>
      <c r="M173" s="70">
        <v>0.16</v>
      </c>
    </row>
    <row r="174" spans="11:13">
      <c r="K174" s="76">
        <v>44084</v>
      </c>
      <c r="L174" s="70">
        <v>0.5</v>
      </c>
      <c r="M174" s="70">
        <v>0.16</v>
      </c>
    </row>
    <row r="175" spans="11:13">
      <c r="K175" s="76">
        <v>44085</v>
      </c>
      <c r="L175" s="70">
        <v>0.5</v>
      </c>
      <c r="M175" s="70">
        <v>0.16</v>
      </c>
    </row>
    <row r="176" spans="11:13">
      <c r="K176" s="76">
        <v>44086</v>
      </c>
      <c r="L176" s="70">
        <v>0.5</v>
      </c>
      <c r="M176" s="70">
        <v>0.16</v>
      </c>
    </row>
    <row r="177" spans="11:13">
      <c r="K177" s="76">
        <v>44087</v>
      </c>
      <c r="L177" s="70">
        <v>0.5</v>
      </c>
      <c r="M177" s="70">
        <v>0.16</v>
      </c>
    </row>
    <row r="178" spans="11:13">
      <c r="K178" s="76">
        <v>44088</v>
      </c>
      <c r="L178" s="70">
        <v>0.5</v>
      </c>
      <c r="M178" s="70">
        <v>0.16</v>
      </c>
    </row>
    <row r="179" spans="11:13">
      <c r="K179" s="76">
        <v>44089</v>
      </c>
      <c r="L179" s="70">
        <v>0.5</v>
      </c>
      <c r="M179" s="70">
        <v>0.16</v>
      </c>
    </row>
    <row r="180" spans="11:13">
      <c r="K180" s="76">
        <v>44090</v>
      </c>
      <c r="L180" s="70">
        <v>0.5</v>
      </c>
      <c r="M180" s="70">
        <v>0.16</v>
      </c>
    </row>
    <row r="181" spans="11:13">
      <c r="K181" s="76">
        <v>44091</v>
      </c>
      <c r="L181" s="70">
        <v>0.5</v>
      </c>
      <c r="M181" s="70">
        <v>0.16</v>
      </c>
    </row>
    <row r="182" spans="11:13">
      <c r="K182" s="76">
        <v>44092</v>
      </c>
      <c r="L182" s="70">
        <v>0.5</v>
      </c>
      <c r="M182" s="70">
        <v>0.16</v>
      </c>
    </row>
    <row r="183" spans="11:13">
      <c r="K183" s="76">
        <v>44093</v>
      </c>
      <c r="L183" s="70">
        <v>0.5</v>
      </c>
      <c r="M183" s="70">
        <v>0.16</v>
      </c>
    </row>
    <row r="184" spans="11:13">
      <c r="K184" s="76">
        <v>44094</v>
      </c>
      <c r="L184" s="70">
        <v>0.5</v>
      </c>
      <c r="M184" s="70">
        <v>0.16</v>
      </c>
    </row>
    <row r="185" spans="11:13">
      <c r="K185" s="76">
        <v>44095</v>
      </c>
      <c r="L185" s="70">
        <v>0.5</v>
      </c>
      <c r="M185" s="70">
        <v>0.16</v>
      </c>
    </row>
    <row r="186" spans="11:13">
      <c r="K186" s="76">
        <v>44096</v>
      </c>
      <c r="L186" s="70">
        <v>0.5</v>
      </c>
      <c r="M186" s="70">
        <v>0.16</v>
      </c>
    </row>
    <row r="187" spans="11:13">
      <c r="K187" s="76">
        <v>44097</v>
      </c>
      <c r="L187" s="70">
        <v>0.5</v>
      </c>
      <c r="M187" s="70">
        <v>0.16</v>
      </c>
    </row>
    <row r="188" spans="11:13">
      <c r="K188" s="76">
        <v>44098</v>
      </c>
      <c r="L188" s="70">
        <v>0.5</v>
      </c>
      <c r="M188" s="70">
        <v>0.16</v>
      </c>
    </row>
    <row r="189" spans="11:13">
      <c r="K189" s="76">
        <v>44099</v>
      </c>
      <c r="L189" s="70">
        <v>0.5</v>
      </c>
      <c r="M189" s="70">
        <v>0.16</v>
      </c>
    </row>
    <row r="190" spans="11:13">
      <c r="K190" s="76">
        <v>44100</v>
      </c>
      <c r="L190" s="70">
        <v>0.5</v>
      </c>
      <c r="M190" s="70">
        <v>0.16</v>
      </c>
    </row>
    <row r="191" spans="11:13">
      <c r="K191" s="76">
        <v>44101</v>
      </c>
      <c r="L191" s="70">
        <v>0.5</v>
      </c>
      <c r="M191" s="70">
        <v>0.16</v>
      </c>
    </row>
    <row r="192" spans="11:13">
      <c r="K192" s="76">
        <v>44102</v>
      </c>
      <c r="L192" s="70">
        <v>0.5</v>
      </c>
      <c r="M192" s="70">
        <v>0.16</v>
      </c>
    </row>
    <row r="193" spans="11:13">
      <c r="K193" s="76">
        <v>44103</v>
      </c>
      <c r="L193" s="70">
        <v>0.5</v>
      </c>
      <c r="M193" s="70">
        <v>0.16</v>
      </c>
    </row>
    <row r="194" spans="11:13">
      <c r="K194" s="76">
        <v>44104</v>
      </c>
      <c r="L194" s="70">
        <v>0.5</v>
      </c>
      <c r="M194" s="70">
        <v>0.16</v>
      </c>
    </row>
    <row r="195" spans="11:13">
      <c r="K195" s="76">
        <v>44105</v>
      </c>
      <c r="L195" s="70">
        <v>0.5</v>
      </c>
      <c r="M195" s="70">
        <v>0.16</v>
      </c>
    </row>
    <row r="196" spans="11:13">
      <c r="K196" s="76">
        <v>44106</v>
      </c>
      <c r="L196" s="70">
        <v>0.5</v>
      </c>
      <c r="M196" s="70">
        <v>0.16</v>
      </c>
    </row>
    <row r="197" spans="11:13">
      <c r="K197" s="76">
        <v>44107</v>
      </c>
      <c r="L197" s="70">
        <v>0.5</v>
      </c>
      <c r="M197" s="70">
        <v>0.16</v>
      </c>
    </row>
    <row r="198" spans="11:13">
      <c r="K198" s="76">
        <v>44108</v>
      </c>
      <c r="L198" s="70">
        <v>0.5</v>
      </c>
      <c r="M198" s="70">
        <v>0.16</v>
      </c>
    </row>
    <row r="199" spans="11:13">
      <c r="K199" s="76">
        <v>44109</v>
      </c>
      <c r="L199" s="70">
        <v>0.5</v>
      </c>
      <c r="M199" s="70">
        <v>0.16</v>
      </c>
    </row>
    <row r="200" spans="11:13">
      <c r="K200" s="76">
        <v>44110</v>
      </c>
      <c r="L200" s="70">
        <v>0.5</v>
      </c>
      <c r="M200" s="70">
        <v>0.16</v>
      </c>
    </row>
    <row r="201" spans="11:13">
      <c r="K201" s="76">
        <v>44111</v>
      </c>
      <c r="L201" s="70">
        <v>0.5</v>
      </c>
      <c r="M201" s="70">
        <v>0.16</v>
      </c>
    </row>
    <row r="202" spans="11:13">
      <c r="K202" s="76">
        <v>44112</v>
      </c>
      <c r="L202" s="70">
        <v>0.5</v>
      </c>
      <c r="M202" s="70">
        <v>0.16</v>
      </c>
    </row>
    <row r="203" spans="11:13">
      <c r="K203" s="76">
        <v>44113</v>
      </c>
      <c r="L203" s="70">
        <v>0.5</v>
      </c>
      <c r="M203" s="70">
        <v>0.16</v>
      </c>
    </row>
    <row r="204" spans="11:13">
      <c r="K204" s="76">
        <v>44114</v>
      </c>
      <c r="L204" s="70">
        <v>0.5</v>
      </c>
      <c r="M204" s="70">
        <v>0.16</v>
      </c>
    </row>
    <row r="205" spans="11:13">
      <c r="K205" s="76">
        <v>44115</v>
      </c>
      <c r="L205" s="70">
        <v>0.5</v>
      </c>
      <c r="M205" s="70">
        <v>0.16</v>
      </c>
    </row>
    <row r="206" spans="11:13">
      <c r="K206" s="76">
        <v>44116</v>
      </c>
      <c r="L206" s="70">
        <v>0.5</v>
      </c>
      <c r="M206" s="70">
        <v>0.16</v>
      </c>
    </row>
    <row r="207" spans="11:13">
      <c r="K207" s="76">
        <v>44117</v>
      </c>
      <c r="L207" s="70">
        <v>0.5</v>
      </c>
      <c r="M207" s="70">
        <v>0.16</v>
      </c>
    </row>
    <row r="208" spans="11:13">
      <c r="K208" s="76">
        <v>44118</v>
      </c>
      <c r="L208" s="70">
        <v>0.5</v>
      </c>
      <c r="M208" s="70">
        <v>0.16</v>
      </c>
    </row>
    <row r="209" spans="11:13">
      <c r="K209" s="76">
        <v>44119</v>
      </c>
      <c r="L209" s="70">
        <v>0.5</v>
      </c>
      <c r="M209" s="70">
        <v>0.16</v>
      </c>
    </row>
    <row r="210" spans="11:13">
      <c r="K210" s="76">
        <v>44120</v>
      </c>
      <c r="L210" s="70">
        <v>0.5</v>
      </c>
      <c r="M210" s="70">
        <v>0.16</v>
      </c>
    </row>
    <row r="211" spans="11:13">
      <c r="K211" s="76">
        <v>44121</v>
      </c>
      <c r="L211" s="70">
        <v>0.5</v>
      </c>
      <c r="M211" s="70">
        <v>0.16</v>
      </c>
    </row>
    <row r="212" spans="11:13">
      <c r="K212" s="76">
        <v>44122</v>
      </c>
      <c r="L212" s="70">
        <v>0.5</v>
      </c>
      <c r="M212" s="70">
        <v>0.16</v>
      </c>
    </row>
    <row r="213" spans="11:13">
      <c r="K213" s="76">
        <v>44123</v>
      </c>
      <c r="L213" s="70">
        <v>0.5</v>
      </c>
      <c r="M213" s="70">
        <v>0.16</v>
      </c>
    </row>
    <row r="214" spans="11:13">
      <c r="K214" s="76">
        <v>44124</v>
      </c>
      <c r="L214" s="70">
        <v>0.5</v>
      </c>
      <c r="M214" s="70">
        <v>0.16</v>
      </c>
    </row>
    <row r="215" spans="11:13">
      <c r="K215" s="76">
        <v>44125</v>
      </c>
      <c r="L215" s="70">
        <v>0.5</v>
      </c>
      <c r="M215" s="70">
        <v>0.16</v>
      </c>
    </row>
    <row r="216" spans="11:13">
      <c r="K216" s="76">
        <v>44126</v>
      </c>
      <c r="L216" s="70">
        <v>0.5</v>
      </c>
      <c r="M216" s="70">
        <v>0.16</v>
      </c>
    </row>
    <row r="217" spans="11:13">
      <c r="K217" s="76">
        <v>44127</v>
      </c>
      <c r="L217" s="70">
        <v>0.5</v>
      </c>
      <c r="M217" s="70">
        <v>0.16</v>
      </c>
    </row>
    <row r="218" spans="11:13">
      <c r="K218" s="76">
        <v>44128</v>
      </c>
      <c r="L218" s="70">
        <v>0.5</v>
      </c>
      <c r="M218" s="70">
        <v>0.16</v>
      </c>
    </row>
    <row r="219" spans="11:13">
      <c r="K219" s="76">
        <v>44129</v>
      </c>
      <c r="L219" s="70">
        <v>0.5</v>
      </c>
      <c r="M219" s="70">
        <v>0.16</v>
      </c>
    </row>
    <row r="220" spans="11:13">
      <c r="K220" s="76">
        <v>44130</v>
      </c>
      <c r="L220" s="70">
        <v>0.5</v>
      </c>
      <c r="M220" s="70">
        <v>0.16</v>
      </c>
    </row>
    <row r="221" spans="11:13">
      <c r="K221" s="76">
        <v>44131</v>
      </c>
      <c r="L221" s="70">
        <v>0.5</v>
      </c>
      <c r="M221" s="70">
        <v>0.16</v>
      </c>
    </row>
    <row r="222" spans="11:13">
      <c r="K222" s="76">
        <v>44132</v>
      </c>
      <c r="L222" s="70">
        <v>0.5</v>
      </c>
      <c r="M222" s="70">
        <v>0.16</v>
      </c>
    </row>
    <row r="223" spans="11:13">
      <c r="K223" s="76">
        <v>44133</v>
      </c>
      <c r="L223" s="70">
        <v>0.5</v>
      </c>
      <c r="M223" s="70">
        <v>0.16</v>
      </c>
    </row>
    <row r="224" spans="11:13">
      <c r="K224" s="76">
        <v>44134</v>
      </c>
      <c r="L224" s="70">
        <v>0.5</v>
      </c>
      <c r="M224" s="70">
        <v>0.16</v>
      </c>
    </row>
    <row r="225" spans="11:13">
      <c r="K225" s="76">
        <v>44135</v>
      </c>
      <c r="L225" s="70">
        <v>0.5</v>
      </c>
      <c r="M225" s="70">
        <v>0.16</v>
      </c>
    </row>
    <row r="226" spans="11:13">
      <c r="K226" s="76">
        <v>44136</v>
      </c>
      <c r="L226" s="70">
        <v>0.5</v>
      </c>
      <c r="M226" s="70">
        <v>0.16</v>
      </c>
    </row>
    <row r="227" spans="11:13">
      <c r="K227" s="76">
        <v>44137</v>
      </c>
      <c r="L227" s="70">
        <v>0.5</v>
      </c>
      <c r="M227" s="70">
        <v>0.16</v>
      </c>
    </row>
    <row r="228" spans="11:13">
      <c r="K228" s="76">
        <v>44138</v>
      </c>
      <c r="L228" s="70">
        <v>0.5</v>
      </c>
      <c r="M228" s="70">
        <v>0.16</v>
      </c>
    </row>
    <row r="229" spans="11:13">
      <c r="K229" s="76">
        <v>44139</v>
      </c>
      <c r="L229" s="70">
        <v>0.5</v>
      </c>
      <c r="M229" s="70">
        <v>0.16</v>
      </c>
    </row>
    <row r="230" spans="11:13">
      <c r="K230" s="76">
        <v>44140</v>
      </c>
      <c r="L230" s="70">
        <v>0.5</v>
      </c>
      <c r="M230" s="70">
        <v>0.16</v>
      </c>
    </row>
    <row r="231" spans="11:13">
      <c r="K231" s="76">
        <v>44141</v>
      </c>
      <c r="L231" s="70">
        <v>0.5</v>
      </c>
      <c r="M231" s="70">
        <v>0.16</v>
      </c>
    </row>
    <row r="232" spans="11:13">
      <c r="K232" s="76">
        <v>44142</v>
      </c>
      <c r="L232" s="70">
        <v>0.5</v>
      </c>
      <c r="M232" s="70">
        <v>0.16</v>
      </c>
    </row>
    <row r="233" spans="11:13">
      <c r="K233" s="76">
        <v>44143</v>
      </c>
      <c r="L233" s="70">
        <v>0.5</v>
      </c>
      <c r="M233" s="70">
        <v>0.16</v>
      </c>
    </row>
    <row r="234" spans="11:13">
      <c r="K234" s="76">
        <v>44144</v>
      </c>
      <c r="L234" s="70">
        <v>0.5</v>
      </c>
      <c r="M234" s="70">
        <v>0.16</v>
      </c>
    </row>
    <row r="235" spans="11:13">
      <c r="K235" s="76">
        <v>44145</v>
      </c>
      <c r="L235" s="70">
        <v>0.5</v>
      </c>
      <c r="M235" s="70">
        <v>0.16</v>
      </c>
    </row>
    <row r="236" spans="11:13">
      <c r="K236" s="76">
        <v>44146</v>
      </c>
      <c r="L236" s="70">
        <v>0.5</v>
      </c>
      <c r="M236" s="70">
        <v>0.16</v>
      </c>
    </row>
    <row r="237" spans="11:13">
      <c r="K237" s="76">
        <v>44147</v>
      </c>
      <c r="L237" s="70">
        <v>0.5</v>
      </c>
      <c r="M237" s="70">
        <v>0.16</v>
      </c>
    </row>
    <row r="238" spans="11:13">
      <c r="K238" s="76">
        <v>44148</v>
      </c>
      <c r="L238" s="70">
        <v>0.5</v>
      </c>
      <c r="M238" s="70">
        <v>0.16</v>
      </c>
    </row>
    <row r="239" spans="11:13">
      <c r="K239" s="76">
        <v>44149</v>
      </c>
      <c r="L239" s="70">
        <v>0.5</v>
      </c>
      <c r="M239" s="70">
        <v>0.16</v>
      </c>
    </row>
    <row r="240" spans="11:13">
      <c r="K240" s="76">
        <v>44150</v>
      </c>
      <c r="L240" s="70">
        <v>0.5</v>
      </c>
      <c r="M240" s="70">
        <v>0.16</v>
      </c>
    </row>
    <row r="241" spans="11:13">
      <c r="K241" s="76">
        <v>44151</v>
      </c>
      <c r="L241" s="70">
        <v>0.5</v>
      </c>
      <c r="M241" s="70">
        <v>0.16</v>
      </c>
    </row>
    <row r="242" spans="11:13">
      <c r="K242" s="76">
        <v>44152</v>
      </c>
      <c r="L242" s="70">
        <v>0.5</v>
      </c>
      <c r="M242" s="70">
        <v>0.16</v>
      </c>
    </row>
    <row r="243" spans="11:13">
      <c r="K243" s="76">
        <v>44153</v>
      </c>
      <c r="L243" s="70">
        <v>0.5</v>
      </c>
      <c r="M243" s="70">
        <v>0.16</v>
      </c>
    </row>
    <row r="244" spans="11:13">
      <c r="K244" s="76">
        <v>44154</v>
      </c>
      <c r="L244" s="70">
        <v>0.5</v>
      </c>
      <c r="M244" s="70">
        <v>0.16</v>
      </c>
    </row>
    <row r="245" spans="11:13">
      <c r="K245" s="76">
        <v>44155</v>
      </c>
      <c r="L245" s="70">
        <v>0.5</v>
      </c>
      <c r="M245" s="70">
        <v>0.16</v>
      </c>
    </row>
    <row r="246" spans="11:13">
      <c r="K246" s="76">
        <v>44156</v>
      </c>
      <c r="L246" s="70">
        <v>0.5</v>
      </c>
      <c r="M246" s="70">
        <v>0.16</v>
      </c>
    </row>
    <row r="247" spans="11:13">
      <c r="K247" s="76">
        <v>44157</v>
      </c>
      <c r="L247" s="70">
        <v>0.5</v>
      </c>
      <c r="M247" s="70">
        <v>0.16</v>
      </c>
    </row>
    <row r="248" spans="11:13">
      <c r="K248" s="76">
        <v>44158</v>
      </c>
      <c r="L248" s="70">
        <v>0.5</v>
      </c>
      <c r="M248" s="70">
        <v>0.16</v>
      </c>
    </row>
    <row r="249" spans="11:13">
      <c r="K249" s="76">
        <v>44159</v>
      </c>
      <c r="L249" s="70">
        <v>0.5</v>
      </c>
      <c r="M249" s="70">
        <v>0.16</v>
      </c>
    </row>
    <row r="250" spans="11:13">
      <c r="K250" s="76">
        <v>44160</v>
      </c>
      <c r="L250" s="70">
        <v>0.5</v>
      </c>
      <c r="M250" s="70">
        <v>0.16</v>
      </c>
    </row>
    <row r="251" spans="11:13">
      <c r="K251" s="76">
        <v>44161</v>
      </c>
      <c r="L251" s="70">
        <v>0.5</v>
      </c>
      <c r="M251" s="70">
        <v>0.16</v>
      </c>
    </row>
    <row r="252" spans="11:13">
      <c r="K252" s="76">
        <v>44162</v>
      </c>
      <c r="L252" s="70">
        <v>0.5</v>
      </c>
      <c r="M252" s="70">
        <v>0.16</v>
      </c>
    </row>
    <row r="253" spans="11:13">
      <c r="K253" s="76">
        <v>44163</v>
      </c>
      <c r="L253" s="70">
        <v>0.5</v>
      </c>
      <c r="M253" s="70">
        <v>0.16</v>
      </c>
    </row>
    <row r="254" spans="11:13">
      <c r="K254" s="76">
        <v>44164</v>
      </c>
      <c r="L254" s="70">
        <v>0.5</v>
      </c>
      <c r="M254" s="70">
        <v>0.16</v>
      </c>
    </row>
    <row r="255" spans="11:13">
      <c r="K255" s="76">
        <v>44165</v>
      </c>
      <c r="L255" s="70">
        <v>0.5</v>
      </c>
      <c r="M255" s="70">
        <v>0.16</v>
      </c>
    </row>
    <row r="256" spans="11:13">
      <c r="K256" s="76">
        <v>44166</v>
      </c>
      <c r="L256" s="70">
        <v>0.5</v>
      </c>
      <c r="M256" s="70">
        <v>0.16</v>
      </c>
    </row>
    <row r="257" spans="11:13">
      <c r="K257" s="76">
        <v>44167</v>
      </c>
      <c r="L257" s="70">
        <v>0.5</v>
      </c>
      <c r="M257" s="70">
        <v>0.16</v>
      </c>
    </row>
    <row r="258" spans="11:13">
      <c r="K258" s="76">
        <v>44168</v>
      </c>
      <c r="L258" s="70">
        <v>0.5</v>
      </c>
      <c r="M258" s="70">
        <v>0.16</v>
      </c>
    </row>
    <row r="259" spans="11:13">
      <c r="K259" s="76">
        <v>44169</v>
      </c>
      <c r="L259" s="70">
        <v>0.5</v>
      </c>
      <c r="M259" s="70">
        <v>0.16</v>
      </c>
    </row>
    <row r="260" spans="11:13">
      <c r="K260" s="76">
        <v>44170</v>
      </c>
      <c r="L260" s="70">
        <v>0.5</v>
      </c>
      <c r="M260" s="70">
        <v>0.16</v>
      </c>
    </row>
    <row r="261" spans="11:13">
      <c r="K261" s="76">
        <v>44171</v>
      </c>
      <c r="L261" s="70">
        <v>0.5</v>
      </c>
      <c r="M261" s="70">
        <v>0.16</v>
      </c>
    </row>
    <row r="262" spans="11:13">
      <c r="K262" s="76">
        <v>44172</v>
      </c>
      <c r="L262" s="70">
        <v>0.5</v>
      </c>
      <c r="M262" s="70">
        <v>0.16</v>
      </c>
    </row>
    <row r="263" spans="11:13">
      <c r="K263" s="76">
        <v>44173</v>
      </c>
      <c r="L263" s="70">
        <v>0.5</v>
      </c>
      <c r="M263" s="70">
        <v>0.16</v>
      </c>
    </row>
    <row r="264" spans="11:13">
      <c r="K264" s="76">
        <v>44174</v>
      </c>
      <c r="L264" s="70">
        <v>0.5</v>
      </c>
      <c r="M264" s="70">
        <v>0.16</v>
      </c>
    </row>
    <row r="265" spans="11:13">
      <c r="K265" s="76">
        <v>44175</v>
      </c>
      <c r="L265" s="70">
        <v>0.5</v>
      </c>
      <c r="M265" s="70">
        <v>0.16</v>
      </c>
    </row>
    <row r="266" spans="11:13">
      <c r="K266" s="76">
        <v>44176</v>
      </c>
      <c r="L266" s="70">
        <v>0.5</v>
      </c>
      <c r="M266" s="70">
        <v>0.16</v>
      </c>
    </row>
    <row r="267" spans="11:13">
      <c r="K267" s="76">
        <v>44177</v>
      </c>
      <c r="L267" s="70">
        <v>0.5</v>
      </c>
      <c r="M267" s="70">
        <v>0.16</v>
      </c>
    </row>
    <row r="268" spans="11:13">
      <c r="K268" s="76">
        <v>44178</v>
      </c>
      <c r="L268" s="70">
        <v>0.5</v>
      </c>
      <c r="M268" s="70">
        <v>0.16</v>
      </c>
    </row>
    <row r="269" spans="11:13">
      <c r="K269" s="76">
        <v>44179</v>
      </c>
      <c r="L269" s="70">
        <v>0.5</v>
      </c>
      <c r="M269" s="70">
        <v>0.16</v>
      </c>
    </row>
    <row r="270" spans="11:13">
      <c r="K270" s="76">
        <v>44180</v>
      </c>
      <c r="L270" s="70">
        <v>0.5</v>
      </c>
      <c r="M270" s="70">
        <v>0.16</v>
      </c>
    </row>
    <row r="271" spans="11:13">
      <c r="K271" s="76">
        <v>44181</v>
      </c>
      <c r="L271" s="70">
        <v>0.5</v>
      </c>
      <c r="M271" s="70">
        <v>0.16</v>
      </c>
    </row>
    <row r="272" spans="11:13">
      <c r="K272" s="76">
        <v>44182</v>
      </c>
      <c r="L272" s="70">
        <v>0.5</v>
      </c>
      <c r="M272" s="70">
        <v>0.16</v>
      </c>
    </row>
    <row r="273" spans="11:13">
      <c r="K273" s="76">
        <v>44183</v>
      </c>
      <c r="L273" s="70">
        <v>0.5</v>
      </c>
      <c r="M273" s="70">
        <v>0.16</v>
      </c>
    </row>
    <row r="274" spans="11:13">
      <c r="K274" s="76">
        <v>44184</v>
      </c>
      <c r="L274" s="70">
        <v>0.5</v>
      </c>
      <c r="M274" s="70">
        <v>0.16</v>
      </c>
    </row>
    <row r="275" spans="11:13">
      <c r="K275" s="76">
        <v>44185</v>
      </c>
      <c r="L275" s="70">
        <v>0.5</v>
      </c>
      <c r="M275" s="70">
        <v>0.16</v>
      </c>
    </row>
    <row r="276" spans="11:13">
      <c r="K276" s="76">
        <v>44186</v>
      </c>
      <c r="L276" s="70">
        <v>0.5</v>
      </c>
      <c r="M276" s="70">
        <v>0.16</v>
      </c>
    </row>
    <row r="277" spans="11:13">
      <c r="K277" s="76">
        <v>44187</v>
      </c>
      <c r="L277" s="70">
        <v>0.5</v>
      </c>
      <c r="M277" s="70">
        <v>0.16</v>
      </c>
    </row>
    <row r="278" spans="11:13">
      <c r="K278" s="76">
        <v>44188</v>
      </c>
      <c r="L278" s="70">
        <v>0.5</v>
      </c>
      <c r="M278" s="70">
        <v>0.16</v>
      </c>
    </row>
    <row r="279" spans="11:13">
      <c r="K279" s="76">
        <v>44189</v>
      </c>
      <c r="L279" s="70">
        <v>0.5</v>
      </c>
      <c r="M279" s="70">
        <v>0.16</v>
      </c>
    </row>
    <row r="280" spans="11:13">
      <c r="K280" s="76">
        <v>44190</v>
      </c>
      <c r="L280" s="70">
        <v>0.5</v>
      </c>
      <c r="M280" s="70">
        <v>0.16</v>
      </c>
    </row>
    <row r="281" spans="11:13">
      <c r="K281" s="76">
        <v>44191</v>
      </c>
      <c r="L281" s="70">
        <v>0.5</v>
      </c>
      <c r="M281" s="70">
        <v>0.16</v>
      </c>
    </row>
    <row r="282" spans="11:13">
      <c r="K282" s="76">
        <v>44192</v>
      </c>
      <c r="L282" s="70">
        <v>0.5</v>
      </c>
      <c r="M282" s="70">
        <v>0.16</v>
      </c>
    </row>
    <row r="283" spans="11:13">
      <c r="K283" s="76">
        <v>44193</v>
      </c>
      <c r="L283" s="70">
        <v>0.5</v>
      </c>
      <c r="M283" s="70">
        <v>0.16</v>
      </c>
    </row>
    <row r="284" spans="11:13">
      <c r="K284" s="76">
        <v>44194</v>
      </c>
      <c r="L284" s="70">
        <v>0.5</v>
      </c>
      <c r="M284" s="70">
        <v>0.16</v>
      </c>
    </row>
    <row r="285" spans="11:13">
      <c r="K285" s="76">
        <v>44195</v>
      </c>
      <c r="L285" s="70">
        <v>0.5</v>
      </c>
      <c r="M285" s="70">
        <v>0.16</v>
      </c>
    </row>
    <row r="286" spans="11:13">
      <c r="K286" s="76">
        <v>44196</v>
      </c>
      <c r="L286" s="70">
        <v>0.5</v>
      </c>
      <c r="M286" s="70">
        <v>0.16</v>
      </c>
    </row>
    <row r="287" spans="11:13">
      <c r="K287" s="76">
        <v>44197</v>
      </c>
      <c r="L287" s="70">
        <v>0.5</v>
      </c>
      <c r="M287" s="70">
        <v>0.16</v>
      </c>
    </row>
    <row r="288" spans="11:13">
      <c r="K288" s="76">
        <v>44198</v>
      </c>
      <c r="L288" s="70">
        <v>0.5</v>
      </c>
      <c r="M288" s="70">
        <v>0.16</v>
      </c>
    </row>
    <row r="289" spans="11:13">
      <c r="K289" s="76">
        <v>44199</v>
      </c>
      <c r="L289" s="70">
        <v>0.5</v>
      </c>
      <c r="M289" s="70">
        <v>0.16</v>
      </c>
    </row>
    <row r="290" spans="11:13">
      <c r="K290" s="76">
        <v>44200</v>
      </c>
      <c r="L290" s="70">
        <v>0.5</v>
      </c>
      <c r="M290" s="70">
        <v>0.16</v>
      </c>
    </row>
    <row r="291" spans="11:13">
      <c r="K291" s="76">
        <v>44201</v>
      </c>
      <c r="L291" s="70">
        <v>0.5</v>
      </c>
      <c r="M291" s="70">
        <v>0.16</v>
      </c>
    </row>
    <row r="292" spans="11:13">
      <c r="K292" s="76">
        <v>44202</v>
      </c>
      <c r="L292" s="70">
        <v>0.5</v>
      </c>
      <c r="M292" s="70">
        <v>0.16</v>
      </c>
    </row>
    <row r="293" spans="11:13">
      <c r="K293" s="76">
        <v>44203</v>
      </c>
      <c r="L293" s="70">
        <v>0.5</v>
      </c>
      <c r="M293" s="70">
        <v>0.16</v>
      </c>
    </row>
    <row r="294" spans="11:13">
      <c r="K294" s="76">
        <v>44204</v>
      </c>
      <c r="L294" s="70">
        <v>0.5</v>
      </c>
      <c r="M294" s="70">
        <v>0.16</v>
      </c>
    </row>
    <row r="295" spans="11:13">
      <c r="K295" s="76">
        <v>44205</v>
      </c>
      <c r="L295" s="70">
        <v>0.5</v>
      </c>
      <c r="M295" s="70">
        <v>0.16</v>
      </c>
    </row>
    <row r="296" spans="11:13">
      <c r="K296" s="76">
        <v>44206</v>
      </c>
      <c r="L296" s="70">
        <v>0.5</v>
      </c>
      <c r="M296" s="70">
        <v>0.16</v>
      </c>
    </row>
    <row r="297" spans="11:13">
      <c r="K297" s="76">
        <v>44207</v>
      </c>
      <c r="L297" s="70">
        <v>0.5</v>
      </c>
      <c r="M297" s="70">
        <v>0.16</v>
      </c>
    </row>
    <row r="298" spans="11:13">
      <c r="K298" s="76">
        <v>44208</v>
      </c>
      <c r="L298" s="70">
        <v>0.5</v>
      </c>
      <c r="M298" s="70">
        <v>0.16</v>
      </c>
    </row>
    <row r="299" spans="11:13">
      <c r="K299" s="76">
        <v>44209</v>
      </c>
      <c r="L299" s="70">
        <v>0.5</v>
      </c>
      <c r="M299" s="70">
        <v>0.16</v>
      </c>
    </row>
    <row r="300" spans="11:13">
      <c r="K300" s="76">
        <v>44210</v>
      </c>
      <c r="L300" s="70">
        <v>0.5</v>
      </c>
      <c r="M300" s="70">
        <v>0.16</v>
      </c>
    </row>
    <row r="301" spans="11:13">
      <c r="K301" s="76">
        <v>44211</v>
      </c>
      <c r="L301" s="70">
        <v>0.5</v>
      </c>
      <c r="M301" s="70">
        <v>0.16</v>
      </c>
    </row>
    <row r="302" spans="11:13">
      <c r="K302" s="76">
        <v>44212</v>
      </c>
      <c r="L302" s="70">
        <v>0.5</v>
      </c>
      <c r="M302" s="70">
        <v>0.16</v>
      </c>
    </row>
    <row r="303" spans="11:13">
      <c r="K303" s="76">
        <v>44213</v>
      </c>
      <c r="L303" s="70">
        <v>0.5</v>
      </c>
      <c r="M303" s="70">
        <v>0.16</v>
      </c>
    </row>
    <row r="304" spans="11:13">
      <c r="K304" s="76">
        <v>44214</v>
      </c>
      <c r="L304" s="70">
        <v>0.5</v>
      </c>
      <c r="M304" s="70">
        <v>0.16</v>
      </c>
    </row>
    <row r="305" spans="11:13">
      <c r="K305" s="76">
        <v>44215</v>
      </c>
      <c r="L305" s="70">
        <v>0.5</v>
      </c>
      <c r="M305" s="70">
        <v>0.16</v>
      </c>
    </row>
    <row r="306" spans="11:13">
      <c r="K306" s="76">
        <v>44216</v>
      </c>
      <c r="L306" s="70">
        <v>0.5</v>
      </c>
      <c r="M306" s="70">
        <v>0.16</v>
      </c>
    </row>
    <row r="307" spans="11:13">
      <c r="K307" s="76">
        <v>44217</v>
      </c>
      <c r="L307" s="70">
        <v>0.5</v>
      </c>
      <c r="M307" s="70">
        <v>0.16</v>
      </c>
    </row>
    <row r="308" spans="11:13">
      <c r="K308" s="76">
        <v>44218</v>
      </c>
      <c r="L308" s="70">
        <v>0.5</v>
      </c>
      <c r="M308" s="70">
        <v>0.16</v>
      </c>
    </row>
    <row r="309" spans="11:13">
      <c r="K309" s="76">
        <v>44219</v>
      </c>
      <c r="L309" s="70">
        <v>0.5</v>
      </c>
      <c r="M309" s="70">
        <v>0.16</v>
      </c>
    </row>
    <row r="310" spans="11:13">
      <c r="K310" s="76">
        <v>44220</v>
      </c>
      <c r="L310" s="70">
        <v>0.5</v>
      </c>
      <c r="M310" s="70">
        <v>0.16</v>
      </c>
    </row>
    <row r="311" spans="11:13">
      <c r="K311" s="76">
        <v>44221</v>
      </c>
      <c r="L311" s="70">
        <v>0.5</v>
      </c>
      <c r="M311" s="70">
        <v>0.16</v>
      </c>
    </row>
    <row r="312" spans="11:13">
      <c r="K312" s="76">
        <v>44222</v>
      </c>
      <c r="L312" s="70">
        <v>0.5</v>
      </c>
      <c r="M312" s="70">
        <v>0.16</v>
      </c>
    </row>
    <row r="313" spans="11:13">
      <c r="K313" s="76">
        <v>44223</v>
      </c>
      <c r="L313" s="70">
        <v>0.5</v>
      </c>
      <c r="M313" s="70">
        <v>0.16</v>
      </c>
    </row>
    <row r="314" spans="11:13">
      <c r="K314" s="76">
        <v>44224</v>
      </c>
      <c r="L314" s="70">
        <v>0.5</v>
      </c>
      <c r="M314" s="70">
        <v>0.16</v>
      </c>
    </row>
    <row r="315" spans="11:13">
      <c r="K315" s="76">
        <v>44225</v>
      </c>
      <c r="L315" s="70">
        <v>0.5</v>
      </c>
      <c r="M315" s="70">
        <v>0.16</v>
      </c>
    </row>
    <row r="316" spans="11:13">
      <c r="K316" s="76">
        <v>44226</v>
      </c>
      <c r="L316" s="70">
        <v>0.5</v>
      </c>
      <c r="M316" s="70">
        <v>0.16</v>
      </c>
    </row>
    <row r="317" spans="11:13">
      <c r="K317" s="76">
        <v>44227</v>
      </c>
      <c r="L317" s="70">
        <v>0.5</v>
      </c>
      <c r="M317" s="70">
        <v>0.16</v>
      </c>
    </row>
    <row r="318" spans="11:13">
      <c r="K318" s="76">
        <v>44228</v>
      </c>
      <c r="L318" s="70">
        <v>0.5</v>
      </c>
      <c r="M318" s="70">
        <v>0.16</v>
      </c>
    </row>
    <row r="319" spans="11:13">
      <c r="K319" s="76">
        <v>44229</v>
      </c>
      <c r="L319" s="70">
        <v>0.5</v>
      </c>
      <c r="M319" s="70">
        <v>0.16</v>
      </c>
    </row>
    <row r="320" spans="11:13">
      <c r="K320" s="76">
        <v>44230</v>
      </c>
      <c r="L320" s="70">
        <v>0.5</v>
      </c>
      <c r="M320" s="70">
        <v>0.16</v>
      </c>
    </row>
    <row r="321" spans="11:13">
      <c r="K321" s="76">
        <v>44231</v>
      </c>
      <c r="L321" s="70">
        <v>0.5</v>
      </c>
      <c r="M321" s="70">
        <v>0.16</v>
      </c>
    </row>
    <row r="322" spans="11:13">
      <c r="K322" s="76">
        <v>44232</v>
      </c>
      <c r="L322" s="70">
        <v>0.5</v>
      </c>
      <c r="M322" s="70">
        <v>0.16</v>
      </c>
    </row>
    <row r="323" spans="11:13">
      <c r="K323" s="76">
        <v>44233</v>
      </c>
      <c r="L323" s="70">
        <v>0.5</v>
      </c>
      <c r="M323" s="70">
        <v>0.16</v>
      </c>
    </row>
    <row r="324" spans="11:13">
      <c r="K324" s="76">
        <v>44234</v>
      </c>
      <c r="L324" s="70">
        <v>0.5</v>
      </c>
      <c r="M324" s="70">
        <v>0.16</v>
      </c>
    </row>
    <row r="325" spans="11:13">
      <c r="K325" s="76">
        <v>44235</v>
      </c>
      <c r="L325" s="70">
        <v>0.5</v>
      </c>
      <c r="M325" s="70">
        <v>0.16</v>
      </c>
    </row>
    <row r="326" spans="11:13">
      <c r="K326" s="76">
        <v>44236</v>
      </c>
      <c r="L326" s="70">
        <v>0.5</v>
      </c>
      <c r="M326" s="70">
        <v>0.16</v>
      </c>
    </row>
    <row r="327" spans="11:13">
      <c r="K327" s="76">
        <v>44237</v>
      </c>
      <c r="L327" s="70">
        <v>0.5</v>
      </c>
      <c r="M327" s="70">
        <v>0.16</v>
      </c>
    </row>
    <row r="328" spans="11:13">
      <c r="K328" s="76">
        <v>44238</v>
      </c>
      <c r="L328" s="70">
        <v>0.5</v>
      </c>
      <c r="M328" s="70">
        <v>0.16</v>
      </c>
    </row>
    <row r="329" spans="11:13">
      <c r="K329" s="76">
        <v>44239</v>
      </c>
      <c r="L329" s="70">
        <v>0.5</v>
      </c>
      <c r="M329" s="70">
        <v>0.16</v>
      </c>
    </row>
    <row r="330" spans="11:13">
      <c r="K330" s="76">
        <v>44240</v>
      </c>
      <c r="L330" s="70">
        <v>0.5</v>
      </c>
      <c r="M330" s="70">
        <v>0.16</v>
      </c>
    </row>
    <row r="331" spans="11:13">
      <c r="K331" s="76">
        <v>44241</v>
      </c>
      <c r="L331" s="70">
        <v>0.5</v>
      </c>
      <c r="M331" s="70">
        <v>0.16</v>
      </c>
    </row>
    <row r="332" spans="11:13">
      <c r="K332" s="76">
        <v>44242</v>
      </c>
      <c r="L332" s="70">
        <v>0.5</v>
      </c>
      <c r="M332" s="70">
        <v>0.16</v>
      </c>
    </row>
    <row r="333" spans="11:13">
      <c r="K333" s="76">
        <v>44243</v>
      </c>
      <c r="L333" s="70">
        <v>0.5</v>
      </c>
      <c r="M333" s="70">
        <v>0.16</v>
      </c>
    </row>
    <row r="334" spans="11:13">
      <c r="K334" s="76">
        <v>44244</v>
      </c>
      <c r="L334" s="70">
        <v>0.5</v>
      </c>
      <c r="M334" s="70">
        <v>0.16</v>
      </c>
    </row>
    <row r="335" spans="11:13">
      <c r="K335" s="76">
        <v>44245</v>
      </c>
      <c r="L335" s="70">
        <v>0.5</v>
      </c>
      <c r="M335" s="70">
        <v>0.16</v>
      </c>
    </row>
    <row r="336" spans="11:13">
      <c r="K336" s="76">
        <v>44246</v>
      </c>
      <c r="L336" s="70">
        <v>0.5</v>
      </c>
      <c r="M336" s="70">
        <v>0.16</v>
      </c>
    </row>
    <row r="337" spans="11:13">
      <c r="K337" s="76">
        <v>44247</v>
      </c>
      <c r="L337" s="70">
        <v>0.5</v>
      </c>
      <c r="M337" s="70">
        <v>0.16</v>
      </c>
    </row>
    <row r="338" spans="11:13">
      <c r="K338" s="76">
        <v>44248</v>
      </c>
      <c r="L338" s="70">
        <v>0.5</v>
      </c>
      <c r="M338" s="70">
        <v>0.16</v>
      </c>
    </row>
    <row r="339" spans="11:13">
      <c r="K339" s="76">
        <v>44249</v>
      </c>
      <c r="L339" s="70">
        <v>0.5</v>
      </c>
      <c r="M339" s="70">
        <v>0.16</v>
      </c>
    </row>
    <row r="340" spans="11:13">
      <c r="K340" s="76">
        <v>44250</v>
      </c>
      <c r="L340" s="70">
        <v>0.5</v>
      </c>
      <c r="M340" s="70">
        <v>0.16</v>
      </c>
    </row>
    <row r="341" spans="11:13">
      <c r="K341" s="76">
        <v>44251</v>
      </c>
      <c r="L341" s="70">
        <v>0.5</v>
      </c>
      <c r="M341" s="70">
        <v>0.16</v>
      </c>
    </row>
    <row r="342" spans="11:13">
      <c r="K342" s="76">
        <v>44252</v>
      </c>
      <c r="L342" s="70">
        <v>0.5</v>
      </c>
      <c r="M342" s="70">
        <v>0.16</v>
      </c>
    </row>
    <row r="343" spans="11:13">
      <c r="K343" s="76">
        <v>44253</v>
      </c>
      <c r="L343" s="70">
        <v>0.5</v>
      </c>
      <c r="M343" s="70">
        <v>0.16</v>
      </c>
    </row>
    <row r="344" spans="11:13">
      <c r="K344" s="76">
        <v>44254</v>
      </c>
      <c r="L344" s="70">
        <v>0.5</v>
      </c>
      <c r="M344" s="70">
        <v>0.16</v>
      </c>
    </row>
    <row r="345" spans="11:13">
      <c r="K345" s="76">
        <v>44255</v>
      </c>
      <c r="L345" s="70">
        <v>0.5</v>
      </c>
      <c r="M345" s="70">
        <v>0.16</v>
      </c>
    </row>
    <row r="346" spans="11:13">
      <c r="K346" s="76">
        <v>44256</v>
      </c>
      <c r="L346" s="70">
        <v>0.5</v>
      </c>
      <c r="M346" s="70">
        <v>0.16</v>
      </c>
    </row>
    <row r="347" spans="11:13">
      <c r="K347" s="76">
        <v>44257</v>
      </c>
      <c r="L347" s="70">
        <v>0.5</v>
      </c>
      <c r="M347" s="70">
        <v>0.16</v>
      </c>
    </row>
    <row r="348" spans="11:13">
      <c r="K348" s="76">
        <v>44258</v>
      </c>
      <c r="L348" s="70">
        <v>0.5</v>
      </c>
      <c r="M348" s="70">
        <v>0.16</v>
      </c>
    </row>
    <row r="349" spans="11:13">
      <c r="K349" s="76">
        <v>44259</v>
      </c>
      <c r="L349" s="70">
        <v>0.5</v>
      </c>
      <c r="M349" s="70">
        <v>0.16</v>
      </c>
    </row>
    <row r="350" spans="11:13">
      <c r="K350" s="76">
        <v>44260</v>
      </c>
      <c r="L350" s="70">
        <v>0.5</v>
      </c>
      <c r="M350" s="70">
        <v>0.16</v>
      </c>
    </row>
    <row r="351" spans="11:13">
      <c r="K351" s="76">
        <v>44261</v>
      </c>
      <c r="L351" s="70">
        <v>0.5</v>
      </c>
      <c r="M351" s="70">
        <v>0.16</v>
      </c>
    </row>
    <row r="352" spans="11:13">
      <c r="K352" s="76">
        <v>44262</v>
      </c>
      <c r="L352" s="70">
        <v>0.5</v>
      </c>
      <c r="M352" s="70">
        <v>0.16</v>
      </c>
    </row>
    <row r="353" spans="11:13">
      <c r="K353" s="76">
        <v>44263</v>
      </c>
      <c r="L353" s="70">
        <v>0.5</v>
      </c>
      <c r="M353" s="70">
        <v>0.16</v>
      </c>
    </row>
    <row r="354" spans="11:13">
      <c r="K354" s="76">
        <v>44264</v>
      </c>
      <c r="L354" s="70">
        <v>0.5</v>
      </c>
      <c r="M354" s="70">
        <v>0.16</v>
      </c>
    </row>
    <row r="355" spans="11:13">
      <c r="K355" s="76">
        <v>44265</v>
      </c>
      <c r="L355" s="70">
        <v>0.5</v>
      </c>
      <c r="M355" s="70">
        <v>0.16</v>
      </c>
    </row>
    <row r="356" spans="11:13">
      <c r="K356" s="76">
        <v>44266</v>
      </c>
      <c r="L356" s="70">
        <v>0.5</v>
      </c>
      <c r="M356" s="70">
        <v>0.16</v>
      </c>
    </row>
    <row r="357" spans="11:13">
      <c r="K357" s="76">
        <v>44267</v>
      </c>
      <c r="L357" s="70">
        <v>0.5</v>
      </c>
      <c r="M357" s="70">
        <v>0.16</v>
      </c>
    </row>
    <row r="358" spans="11:13">
      <c r="K358" s="76">
        <v>44268</v>
      </c>
      <c r="L358" s="70">
        <v>0.5</v>
      </c>
      <c r="M358" s="70">
        <v>0.16</v>
      </c>
    </row>
    <row r="359" spans="11:13">
      <c r="K359" s="76">
        <v>44269</v>
      </c>
      <c r="L359" s="70">
        <v>0.5</v>
      </c>
      <c r="M359" s="70">
        <v>0.16</v>
      </c>
    </row>
    <row r="360" spans="11:13">
      <c r="K360" s="76">
        <v>44270</v>
      </c>
      <c r="L360" s="70">
        <v>0.5</v>
      </c>
      <c r="M360" s="70">
        <v>0.16</v>
      </c>
    </row>
    <row r="361" spans="11:13">
      <c r="K361" s="76">
        <v>44271</v>
      </c>
      <c r="L361" s="70">
        <v>0.5</v>
      </c>
      <c r="M361" s="70">
        <v>0.16</v>
      </c>
    </row>
    <row r="362" spans="11:13">
      <c r="K362" s="76">
        <v>44272</v>
      </c>
      <c r="L362" s="70">
        <v>0.5</v>
      </c>
      <c r="M362" s="70">
        <v>0.16</v>
      </c>
    </row>
    <row r="363" spans="11:13">
      <c r="K363" s="76">
        <v>44273</v>
      </c>
      <c r="L363" s="70">
        <v>0.5</v>
      </c>
      <c r="M363" s="70">
        <v>0.16</v>
      </c>
    </row>
    <row r="364" spans="11:13">
      <c r="K364" s="76">
        <v>44274</v>
      </c>
      <c r="L364" s="70">
        <v>0.5</v>
      </c>
      <c r="M364" s="70">
        <v>0.16</v>
      </c>
    </row>
    <row r="365" spans="11:13">
      <c r="K365" s="76">
        <v>44275</v>
      </c>
      <c r="L365" s="70">
        <v>0.5</v>
      </c>
      <c r="M365" s="70">
        <v>0.16</v>
      </c>
    </row>
    <row r="366" spans="11:13">
      <c r="K366" s="76">
        <v>44276</v>
      </c>
      <c r="L366" s="70">
        <v>0.5</v>
      </c>
      <c r="M366" s="70">
        <v>0.16</v>
      </c>
    </row>
    <row r="367" spans="11:13">
      <c r="K367" s="76">
        <v>44277</v>
      </c>
      <c r="L367" s="70">
        <v>0.5</v>
      </c>
      <c r="M367" s="70">
        <v>0.16</v>
      </c>
    </row>
    <row r="368" spans="11:13">
      <c r="K368" s="76">
        <v>44278</v>
      </c>
      <c r="L368" s="70">
        <v>0.5</v>
      </c>
      <c r="M368" s="70">
        <v>0.16</v>
      </c>
    </row>
    <row r="369" spans="11:13">
      <c r="K369" s="76">
        <v>44279</v>
      </c>
      <c r="L369" s="70">
        <v>0.5</v>
      </c>
      <c r="M369" s="70">
        <v>0.16</v>
      </c>
    </row>
    <row r="370" spans="11:13">
      <c r="K370" s="76">
        <v>44280</v>
      </c>
      <c r="L370" s="70">
        <v>0.5</v>
      </c>
      <c r="M370" s="70">
        <v>0.16</v>
      </c>
    </row>
    <row r="371" spans="11:13">
      <c r="K371" s="76">
        <v>44281</v>
      </c>
      <c r="L371" s="70">
        <v>0.5</v>
      </c>
      <c r="M371" s="70">
        <v>0.16</v>
      </c>
    </row>
    <row r="372" spans="11:13">
      <c r="K372" s="76">
        <v>44282</v>
      </c>
      <c r="L372" s="70">
        <v>0.5</v>
      </c>
      <c r="M372" s="70">
        <v>0.16</v>
      </c>
    </row>
    <row r="373" spans="11:13">
      <c r="K373" s="76">
        <v>44283</v>
      </c>
      <c r="L373" s="70">
        <v>0.5</v>
      </c>
      <c r="M373" s="70">
        <v>0.16</v>
      </c>
    </row>
    <row r="374" spans="11:13">
      <c r="K374" s="76">
        <v>44284</v>
      </c>
      <c r="L374" s="70">
        <v>0.5</v>
      </c>
      <c r="M374" s="70">
        <v>0.16</v>
      </c>
    </row>
    <row r="375" spans="11:13">
      <c r="K375" s="76">
        <v>44285</v>
      </c>
      <c r="L375" s="70">
        <v>0.5</v>
      </c>
      <c r="M375" s="70">
        <v>0.16</v>
      </c>
    </row>
    <row r="376" spans="11:13">
      <c r="K376" s="76">
        <v>44286</v>
      </c>
      <c r="L376" s="70">
        <v>0.5</v>
      </c>
      <c r="M376" s="70">
        <v>0.16</v>
      </c>
    </row>
    <row r="377" spans="11:13">
      <c r="K377" s="76">
        <v>44287</v>
      </c>
      <c r="L377" s="70">
        <v>0.5</v>
      </c>
      <c r="M377" s="70">
        <v>0.16</v>
      </c>
    </row>
    <row r="378" spans="11:13">
      <c r="K378" s="76">
        <v>44288</v>
      </c>
      <c r="L378" s="70">
        <v>0.5</v>
      </c>
      <c r="M378" s="70">
        <v>0.16</v>
      </c>
    </row>
    <row r="379" spans="11:13">
      <c r="K379" s="76">
        <v>44289</v>
      </c>
      <c r="L379" s="70">
        <v>0.5</v>
      </c>
      <c r="M379" s="70">
        <v>0.16</v>
      </c>
    </row>
    <row r="380" spans="11:13">
      <c r="K380" s="76">
        <v>44290</v>
      </c>
      <c r="L380" s="70">
        <v>0.5</v>
      </c>
      <c r="M380" s="70">
        <v>0.16</v>
      </c>
    </row>
    <row r="381" spans="11:13">
      <c r="K381" s="76">
        <v>44291</v>
      </c>
      <c r="L381" s="70">
        <v>0.5</v>
      </c>
      <c r="M381" s="70">
        <v>0.16</v>
      </c>
    </row>
    <row r="382" spans="11:13">
      <c r="K382" s="76">
        <v>44292</v>
      </c>
      <c r="L382" s="70">
        <v>0.5</v>
      </c>
      <c r="M382" s="70">
        <v>0.16</v>
      </c>
    </row>
    <row r="383" spans="11:13">
      <c r="K383" s="76">
        <v>44293</v>
      </c>
      <c r="L383" s="70">
        <v>0.5</v>
      </c>
      <c r="M383" s="70">
        <v>0.16</v>
      </c>
    </row>
    <row r="384" spans="11:13">
      <c r="K384" s="76">
        <v>44294</v>
      </c>
      <c r="L384" s="70">
        <v>0.5</v>
      </c>
      <c r="M384" s="70">
        <v>0.16</v>
      </c>
    </row>
    <row r="385" spans="11:13">
      <c r="K385" s="76">
        <v>44295</v>
      </c>
      <c r="L385" s="70">
        <v>0.5</v>
      </c>
      <c r="M385" s="70">
        <v>0.16</v>
      </c>
    </row>
    <row r="386" spans="11:13">
      <c r="K386" s="76">
        <v>44296</v>
      </c>
      <c r="L386" s="70">
        <v>0.5</v>
      </c>
      <c r="M386" s="70">
        <v>0.16</v>
      </c>
    </row>
    <row r="387" spans="11:13">
      <c r="K387" s="76">
        <v>44297</v>
      </c>
      <c r="L387" s="70">
        <v>0.5</v>
      </c>
      <c r="M387" s="70">
        <v>0.16</v>
      </c>
    </row>
    <row r="388" spans="11:13">
      <c r="K388" s="76">
        <v>44298</v>
      </c>
      <c r="L388" s="70">
        <v>0.5</v>
      </c>
      <c r="M388" s="70">
        <v>0.16</v>
      </c>
    </row>
    <row r="389" spans="11:13">
      <c r="K389" s="76">
        <v>44299</v>
      </c>
      <c r="L389" s="70">
        <v>0.5</v>
      </c>
      <c r="M389" s="70">
        <v>0.16</v>
      </c>
    </row>
    <row r="390" spans="11:13">
      <c r="K390" s="76">
        <v>44300</v>
      </c>
      <c r="L390" s="70">
        <v>0.5</v>
      </c>
      <c r="M390" s="70">
        <v>0.16</v>
      </c>
    </row>
    <row r="391" spans="11:13">
      <c r="K391" s="76">
        <v>44301</v>
      </c>
      <c r="L391" s="70">
        <v>0.5</v>
      </c>
      <c r="M391" s="70">
        <v>0.16</v>
      </c>
    </row>
    <row r="392" spans="11:13">
      <c r="K392" s="76">
        <v>44302</v>
      </c>
      <c r="L392" s="70">
        <v>0.5</v>
      </c>
      <c r="M392" s="70">
        <v>0.16</v>
      </c>
    </row>
    <row r="393" spans="11:13">
      <c r="K393" s="76">
        <v>44303</v>
      </c>
      <c r="L393" s="70">
        <v>0.5</v>
      </c>
      <c r="M393" s="70">
        <v>0.16</v>
      </c>
    </row>
    <row r="394" spans="11:13">
      <c r="K394" s="76">
        <v>44304</v>
      </c>
      <c r="L394" s="70">
        <v>0.5</v>
      </c>
      <c r="M394" s="70">
        <v>0.16</v>
      </c>
    </row>
    <row r="395" spans="11:13">
      <c r="K395" s="76">
        <v>44305</v>
      </c>
      <c r="L395" s="70">
        <v>0.5</v>
      </c>
      <c r="M395" s="70">
        <v>0.16</v>
      </c>
    </row>
    <row r="396" spans="11:13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N25" sqref="N25"/>
    </sheetView>
  </sheetViews>
  <sheetFormatPr baseColWidth="10" defaultRowHeight="16"/>
  <cols>
    <col min="12" max="12" width="16.1640625" customWidth="1"/>
  </cols>
  <sheetData>
    <row r="7" spans="12:13">
      <c r="L7" s="33" t="s">
        <v>63</v>
      </c>
      <c r="M7">
        <f>compute!B59-compute!B52</f>
        <v>729</v>
      </c>
    </row>
    <row r="8" spans="12:13">
      <c r="L8" s="33" t="s">
        <v>64</v>
      </c>
      <c r="M8">
        <f>compute!B66-compute!B59</f>
        <v>710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>
      <c r="A6" s="17"/>
      <c r="B6" s="24"/>
      <c r="C6" s="59">
        <f ca="1">compute!U9</f>
        <v>10154</v>
      </c>
      <c r="D6" s="24"/>
      <c r="E6" s="17"/>
      <c r="F6" s="18"/>
      <c r="G6" s="82">
        <f ca="1">compute!U12</f>
        <v>30769.696969696968</v>
      </c>
      <c r="H6" s="22"/>
      <c r="I6" s="21"/>
    </row>
    <row r="7" spans="1:12" s="50" customFormat="1" ht="35" customHeight="1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>
      <c r="A8" s="43"/>
      <c r="B8" s="44"/>
      <c r="C8" s="45" t="str">
        <f ca="1">compute!V79</f>
        <v>doubing in 79.6 days</v>
      </c>
      <c r="D8" s="44"/>
      <c r="E8" s="43"/>
      <c r="F8" s="46"/>
      <c r="G8" s="47" t="str">
        <f ca="1">compute!V81</f>
        <v>+0.9% per day</v>
      </c>
      <c r="H8" s="48"/>
      <c r="I8" s="49"/>
    </row>
    <row r="9" spans="1:12" ht="2" customHeight="1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>
      <c r="A10" s="17"/>
      <c r="B10" s="17"/>
      <c r="C10" s="17"/>
      <c r="D10" s="17"/>
      <c r="E10" s="17"/>
      <c r="F10" s="17"/>
      <c r="G10" s="17"/>
      <c r="H10" s="21"/>
      <c r="I10" s="21"/>
    </row>
    <row r="11" spans="1:1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>
      <c r="A14" s="17"/>
      <c r="B14" s="18"/>
      <c r="C14" s="20">
        <f ca="1">compute!U15</f>
        <v>6.5340374186575401E-2</v>
      </c>
      <c r="D14" s="18"/>
      <c r="E14" s="17"/>
      <c r="F14" s="18"/>
      <c r="G14" s="19">
        <f ca="1">compute!U18</f>
        <v>7.9503756436590791</v>
      </c>
      <c r="H14" s="22"/>
      <c r="I14" s="21"/>
    </row>
    <row r="15" spans="1:12" ht="32" customHeight="1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83"/>
  <sheetViews>
    <sheetView workbookViewId="0">
      <selection sqref="A1:B66"/>
    </sheetView>
  </sheetViews>
  <sheetFormatPr baseColWidth="10" defaultRowHeight="16"/>
  <cols>
    <col min="1" max="1" width="15.1640625" style="92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>
      <c r="A1" s="91" t="s">
        <v>40</v>
      </c>
      <c r="B1" s="86" t="s">
        <v>44</v>
      </c>
      <c r="C1" s="71"/>
    </row>
    <row r="2" spans="1:24" ht="17">
      <c r="A2" s="91" t="s">
        <v>41</v>
      </c>
      <c r="B2" s="84">
        <v>470914</v>
      </c>
      <c r="C2" s="72"/>
    </row>
    <row r="3" spans="1:24">
      <c r="A3" s="91" t="s">
        <v>43</v>
      </c>
      <c r="B3" s="87" t="s">
        <v>35</v>
      </c>
      <c r="C3" s="71"/>
    </row>
    <row r="4" spans="1:24" s="2" customFormat="1" ht="81" customHeight="1" thickBot="1">
      <c r="A4" s="93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>
      <c r="A5" s="91">
        <v>43913</v>
      </c>
      <c r="B5" s="86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460.60606060606062</v>
      </c>
      <c r="G5" s="56">
        <f>Table2[[#This Row],[cases]]*100/$T$13</f>
        <v>389.74358974358972</v>
      </c>
      <c r="H5" s="56">
        <f>Table2[[#This Row],[cases]]*100/$T$16</f>
        <v>562.96296296296293</v>
      </c>
      <c r="I5" s="56">
        <f>Table2[[#This Row],[infection count, high end of estimate range]]-Table2[[#This Row],[infection count, low end of estimate range]]</f>
        <v>173.21937321937321</v>
      </c>
      <c r="J5" s="56">
        <f>(Table2[[#This Row],[infection count, low end of estimate range]]+Table2[[#This Row],[infection count, high end of estimate range]])/2</f>
        <v>476.35327635327633</v>
      </c>
      <c r="K5" s="26">
        <f>Table2[[#This Row],[estimated infections]]/$T$6</f>
        <v>9.7811078159931665E-4</v>
      </c>
      <c r="L5" s="26">
        <f>Table2[[#This Row],[infection count, low end of estimate range]]/$T$6</f>
        <v>8.2763219981480632E-4</v>
      </c>
      <c r="M5" s="26">
        <f>Table2[[#This Row],[infection count, high end of estimate range]]/$T$6</f>
        <v>1.1954687330658314E-3</v>
      </c>
      <c r="N5" s="14">
        <f>Table2[[#This Row],[infection percentage, high end of estimate range]]-Table2[[#This Row],[infection percentage, low end of estimate range]]</f>
        <v>3.6783653325102512E-4</v>
      </c>
      <c r="O5" s="26">
        <f>(Table2[[#This Row],[infection percentage, low end of estimate range]]+Table2[[#This Row],[infection percentage, high end of estimate range]])/2</f>
        <v>1.0115504664403188E-3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>
      <c r="A6" s="91">
        <v>43914</v>
      </c>
      <c r="B6" s="86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593.93939393939399</v>
      </c>
      <c r="G6" s="56">
        <f>Table2[[#This Row],[cases]]*100/$T$13</f>
        <v>502.56410256410254</v>
      </c>
      <c r="H6" s="56">
        <f>Table2[[#This Row],[cases]]*100/$T$16</f>
        <v>725.92592592592598</v>
      </c>
      <c r="I6" s="56">
        <f>Table2[[#This Row],[infection count, high end of estimate range]]-Table2[[#This Row],[infection count, low end of estimate range]]</f>
        <v>223.36182336182344</v>
      </c>
      <c r="J6" s="56">
        <f>(Table2[[#This Row],[infection count, low end of estimate range]]+Table2[[#This Row],[infection count, high end of estimate range]])/2</f>
        <v>614.24501424501432</v>
      </c>
      <c r="K6" s="26">
        <f>Table2[[#This Row],[estimated infections]]/$T$6</f>
        <v>1.2612481131149085E-3</v>
      </c>
      <c r="L6" s="26">
        <f>Table2[[#This Row],[infection count, low end of estimate range]]/$T$6</f>
        <v>1.0672099418664609E-3</v>
      </c>
      <c r="M6" s="26">
        <f>Table2[[#This Row],[infection count, high end of estimate range]]/$T$6</f>
        <v>1.5415254715848881E-3</v>
      </c>
      <c r="N6" s="14">
        <f>Table2[[#This Row],[infection percentage, high end of estimate range]]-Table2[[#This Row],[infection percentage, low end of estimate range]]</f>
        <v>4.7431552971842722E-4</v>
      </c>
      <c r="O6" s="26">
        <f>(Table2[[#This Row],[infection percentage, low end of estimate range]]+Table2[[#This Row],[infection percentage, high end of estimate range]])/2</f>
        <v>1.3043677067256744E-3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OFFSET(compute!A5,COUNTA(compute!A5:A10044)-1,0)</f>
        <v>43974</v>
      </c>
      <c r="V6" s="3"/>
      <c r="X6" t="str">
        <f>"Number of Confirmed COVID-19 Cases " &amp; B1</f>
        <v>Number of Confirmed COVID-19 Cases Miami</v>
      </c>
    </row>
    <row r="7" spans="1:24">
      <c r="A7" s="91">
        <v>43915</v>
      </c>
      <c r="B7" s="86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775.75757575757575</v>
      </c>
      <c r="G7" s="56">
        <f>Table2[[#This Row],[cases]]*100/$T$13</f>
        <v>656.41025641025647</v>
      </c>
      <c r="H7" s="56">
        <f>Table2[[#This Row],[cases]]*100/$T$16</f>
        <v>948.14814814814815</v>
      </c>
      <c r="I7" s="56">
        <f>Table2[[#This Row],[infection count, high end of estimate range]]-Table2[[#This Row],[infection count, low end of estimate range]]</f>
        <v>291.73789173789169</v>
      </c>
      <c r="J7" s="56">
        <f>(Table2[[#This Row],[infection count, low end of estimate range]]+Table2[[#This Row],[infection count, high end of estimate range]])/2</f>
        <v>802.27920227920231</v>
      </c>
      <c r="K7" s="26">
        <f>Table2[[#This Row],[estimated infections]]/$T$6</f>
        <v>1.6473444742725334E-3</v>
      </c>
      <c r="L7" s="26">
        <f>Table2[[#This Row],[infection count, low end of estimate range]]/$T$6</f>
        <v>1.3939068628459898E-3</v>
      </c>
      <c r="M7" s="26">
        <f>Table2[[#This Row],[infection count, high end of estimate range]]/$T$6</f>
        <v>2.0134210241108739E-3</v>
      </c>
      <c r="N7" s="14">
        <f>Table2[[#This Row],[infection percentage, high end of estimate range]]-Table2[[#This Row],[infection percentage, low end of estimate range]]</f>
        <v>6.1951416126488409E-4</v>
      </c>
      <c r="O7" s="26">
        <f>(Table2[[#This Row],[infection percentage, low end of estimate range]]+Table2[[#This Row],[infection percentage, high end of estimate range]])/2</f>
        <v>1.7036639434784319E-3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>
      <c r="A8" s="91">
        <v>43916</v>
      </c>
      <c r="B8" s="86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1045.4545454545455</v>
      </c>
      <c r="G8" s="56">
        <f>Table2[[#This Row],[cases]]*100/$T$13</f>
        <v>884.61538461538464</v>
      </c>
      <c r="H8" s="56">
        <f>Table2[[#This Row],[cases]]*100/$T$16</f>
        <v>1277.7777777777778</v>
      </c>
      <c r="I8" s="56">
        <f>Table2[[#This Row],[infection count, high end of estimate range]]-Table2[[#This Row],[infection count, low end of estimate range]]</f>
        <v>393.16239316239319</v>
      </c>
      <c r="J8" s="56">
        <f>(Table2[[#This Row],[infection count, low end of estimate range]]+Table2[[#This Row],[infection count, high end of estimate range]])/2</f>
        <v>1081.1965811965813</v>
      </c>
      <c r="K8" s="26">
        <f>Table2[[#This Row],[estimated infections]]/$T$6</f>
        <v>2.220054076656344E-3</v>
      </c>
      <c r="L8" s="26">
        <f>Table2[[#This Row],[infection count, low end of estimate range]]/$T$6</f>
        <v>1.878507295632291E-3</v>
      </c>
      <c r="M8" s="26">
        <f>Table2[[#This Row],[infection count, high end of estimate range]]/$T$6</f>
        <v>2.7133994270244202E-3</v>
      </c>
      <c r="N8" s="14">
        <f>Table2[[#This Row],[infection percentage, high end of estimate range]]-Table2[[#This Row],[infection percentage, low end of estimate range]]</f>
        <v>8.3489213139212922E-4</v>
      </c>
      <c r="O8" s="26">
        <f>(Table2[[#This Row],[infection percentage, low end of estimate range]]+Table2[[#This Row],[infection percentage, high end of estimate range]])/2</f>
        <v>2.2959533613283556E-3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>
      <c r="A9" s="91">
        <v>43917</v>
      </c>
      <c r="B9" s="86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1406.060606060606</v>
      </c>
      <c r="G9" s="56">
        <f>Table2[[#This Row],[cases]]*100/$T$13</f>
        <v>1189.7435897435898</v>
      </c>
      <c r="H9" s="56">
        <f>Table2[[#This Row],[cases]]*100/$T$16</f>
        <v>1718.5185185185185</v>
      </c>
      <c r="I9" s="56">
        <f>Table2[[#This Row],[infection count, high end of estimate range]]-Table2[[#This Row],[infection count, low end of estimate range]]</f>
        <v>528.77492877492864</v>
      </c>
      <c r="J9" s="56">
        <f>(Table2[[#This Row],[infection count, low end of estimate range]]+Table2[[#This Row],[infection count, high end of estimate range]])/2</f>
        <v>1454.131054131054</v>
      </c>
      <c r="K9" s="26">
        <f>Table2[[#This Row],[estimated infections]]/$T$6</f>
        <v>2.9858118596189664E-3</v>
      </c>
      <c r="L9" s="26">
        <f>Table2[[#This Row],[infection count, low end of estimate range]]/$T$6</f>
        <v>2.5264561889083567E-3</v>
      </c>
      <c r="M9" s="26">
        <f>Table2[[#This Row],[infection count, high end of estimate range]]/$T$6</f>
        <v>3.6493256062009594E-3</v>
      </c>
      <c r="N9" s="14">
        <f>Table2[[#This Row],[infection percentage, high end of estimate range]]-Table2[[#This Row],[infection percentage, low end of estimate range]]</f>
        <v>1.1228694172926027E-3</v>
      </c>
      <c r="O9" s="26">
        <f>(Table2[[#This Row],[infection percentage, low end of estimate range]]+Table2[[#This Row],[infection percentage, high end of estimate range]])/2</f>
        <v>3.087890897554658E-3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OFFSET(compute!B4,COUNTA(compute!B4:B10044)-1,0)</f>
        <v>10154</v>
      </c>
      <c r="V9" s="3"/>
    </row>
    <row r="10" spans="1:24">
      <c r="A10" s="91">
        <v>43918</v>
      </c>
      <c r="B10" s="86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1827.2727272727273</v>
      </c>
      <c r="G10" s="56">
        <f>Table2[[#This Row],[cases]]*100/$T$13</f>
        <v>1546.1538461538462</v>
      </c>
      <c r="H10" s="56">
        <f>Table2[[#This Row],[cases]]*100/$T$16</f>
        <v>2233.3333333333335</v>
      </c>
      <c r="I10" s="56">
        <f>Table2[[#This Row],[infection count, high end of estimate range]]-Table2[[#This Row],[infection count, low end of estimate range]]</f>
        <v>687.1794871794873</v>
      </c>
      <c r="J10" s="56">
        <f>(Table2[[#This Row],[infection count, low end of estimate range]]+Table2[[#This Row],[infection count, high end of estimate range]])/2</f>
        <v>1889.7435897435898</v>
      </c>
      <c r="K10" s="26">
        <f>Table2[[#This Row],[estimated infections]]/$T$6</f>
        <v>3.8802684296341313E-3</v>
      </c>
      <c r="L10" s="26">
        <f>Table2[[#This Row],[infection count, low end of estimate range]]/$T$6</f>
        <v>3.2833040558442649E-3</v>
      </c>
      <c r="M10" s="26">
        <f>Table2[[#This Row],[infection count, high end of estimate range]]/$T$6</f>
        <v>4.7425503028861605E-3</v>
      </c>
      <c r="N10" s="14">
        <f>Table2[[#This Row],[infection percentage, high end of estimate range]]-Table2[[#This Row],[infection percentage, low end of estimate range]]</f>
        <v>1.4592462470418956E-3</v>
      </c>
      <c r="O10" s="26">
        <f>(Table2[[#This Row],[infection percentage, low end of estimate range]]+Table2[[#This Row],[infection percentage, high end of estimate range]])/2</f>
        <v>4.0129271793652131E-3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>
      <c r="A11" s="91">
        <v>43919</v>
      </c>
      <c r="B11" s="86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2460.6060606060605</v>
      </c>
      <c r="G11" s="56">
        <f>Table2[[#This Row],[cases]]*100/$T$13</f>
        <v>2082.0512820512822</v>
      </c>
      <c r="H11" s="56">
        <f>Table2[[#This Row],[cases]]*100/$T$16</f>
        <v>3007.4074074074074</v>
      </c>
      <c r="I11" s="56">
        <f>Table2[[#This Row],[infection count, high end of estimate range]]-Table2[[#This Row],[infection count, low end of estimate range]]</f>
        <v>925.35612535612518</v>
      </c>
      <c r="J11" s="56">
        <f>(Table2[[#This Row],[infection count, low end of estimate range]]+Table2[[#This Row],[infection count, high end of estimate range]])/2</f>
        <v>2544.729344729345</v>
      </c>
      <c r="K11" s="26">
        <f>Table2[[#This Row],[estimated infections]]/$T$6</f>
        <v>5.2251707543331917E-3</v>
      </c>
      <c r="L11" s="26">
        <f>Table2[[#This Row],[infection count, low end of estimate range]]/$T$6</f>
        <v>4.421298330589624E-3</v>
      </c>
      <c r="M11" s="26">
        <f>Table2[[#This Row],[infection count, high end of estimate range]]/$T$6</f>
        <v>6.3863198108516789E-3</v>
      </c>
      <c r="N11" s="14">
        <f>Table2[[#This Row],[infection percentage, high end of estimate range]]-Table2[[#This Row],[infection percentage, low end of estimate range]]</f>
        <v>1.9650214802620549E-3</v>
      </c>
      <c r="O11" s="26">
        <f>(Table2[[#This Row],[infection percentage, low end of estimate range]]+Table2[[#This Row],[infection percentage, high end of estimate range]])/2</f>
        <v>5.4038090707206514E-3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>
      <c r="A12" s="91">
        <v>43920</v>
      </c>
      <c r="B12" s="86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2821.212121212121</v>
      </c>
      <c r="G12" s="56">
        <f>Table2[[#This Row],[cases]]*100/$T$13</f>
        <v>2387.1794871794873</v>
      </c>
      <c r="H12" s="56">
        <f>Table2[[#This Row],[cases]]*100/$T$16</f>
        <v>3448.1481481481483</v>
      </c>
      <c r="I12" s="56">
        <f>Table2[[#This Row],[infection count, high end of estimate range]]-Table2[[#This Row],[infection count, low end of estimate range]]</f>
        <v>1060.968660968661</v>
      </c>
      <c r="J12" s="56">
        <f>(Table2[[#This Row],[infection count, low end of estimate range]]+Table2[[#This Row],[infection count, high end of estimate range]])/2</f>
        <v>2917.663817663818</v>
      </c>
      <c r="K12" s="26">
        <f>Table2[[#This Row],[estimated infections]]/$T$6</f>
        <v>5.9909285372958141E-3</v>
      </c>
      <c r="L12" s="26">
        <f>Table2[[#This Row],[infection count, low end of estimate range]]/$T$6</f>
        <v>5.0692472238656897E-3</v>
      </c>
      <c r="M12" s="26">
        <f>Table2[[#This Row],[infection count, high end of estimate range]]/$T$6</f>
        <v>7.3222459900282181E-3</v>
      </c>
      <c r="N12" s="14">
        <f>Table2[[#This Row],[infection percentage, high end of estimate range]]-Table2[[#This Row],[infection percentage, low end of estimate range]]</f>
        <v>2.2529987661625284E-3</v>
      </c>
      <c r="O12" s="26">
        <f>(Table2[[#This Row],[infection percentage, low end of estimate range]]+Table2[[#This Row],[infection percentage, high end of estimate range]])/2</f>
        <v>6.1957466069469539E-3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30769.696969696968</v>
      </c>
      <c r="V12" s="3"/>
    </row>
    <row r="13" spans="1:24">
      <c r="A13" s="91">
        <v>43921</v>
      </c>
      <c r="B13" s="88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3572.7272727272725</v>
      </c>
      <c r="G13" s="56">
        <f>Table2[[#This Row],[cases]]*100/$T$13</f>
        <v>3023.0769230769229</v>
      </c>
      <c r="H13" s="56">
        <f>Table2[[#This Row],[cases]]*100/$T$16</f>
        <v>4366.666666666667</v>
      </c>
      <c r="I13" s="56">
        <f>Table2[[#This Row],[infection count, high end of estimate range]]-Table2[[#This Row],[infection count, low end of estimate range]]</f>
        <v>1343.5897435897441</v>
      </c>
      <c r="J13" s="56">
        <f>(Table2[[#This Row],[infection count, low end of estimate range]]+Table2[[#This Row],[infection count, high end of estimate range]])/2</f>
        <v>3694.8717948717949</v>
      </c>
      <c r="K13" s="26">
        <f>Table2[[#This Row],[estimated infections]]/$T$6</f>
        <v>7.5867934967473304E-3</v>
      </c>
      <c r="L13" s="26">
        <f>Table2[[#This Row],[infection count, low end of estimate range]]/$T$6</f>
        <v>6.4195944972477411E-3</v>
      </c>
      <c r="M13" s="26">
        <f>Table2[[#This Row],[infection count, high end of estimate range]]/$T$6</f>
        <v>9.2727476071356278E-3</v>
      </c>
      <c r="N13" s="14">
        <f>Table2[[#This Row],[infection percentage, high end of estimate range]]-Table2[[#This Row],[infection percentage, low end of estimate range]]</f>
        <v>2.8531531098878868E-3</v>
      </c>
      <c r="O13" s="26">
        <f>(Table2[[#This Row],[infection percentage, low end of estimate range]]+Table2[[#This Row],[infection percentage, high end of estimate range]])/2</f>
        <v>7.846171052191684E-3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39</v>
      </c>
      <c r="V13" s="3"/>
    </row>
    <row r="14" spans="1:24">
      <c r="A14" s="91">
        <v>43922</v>
      </c>
      <c r="B14" s="88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4154.545454545455</v>
      </c>
      <c r="G14" s="56">
        <f>Table2[[#This Row],[cases]]*100/$T$13</f>
        <v>3515.3846153846152</v>
      </c>
      <c r="H14" s="56">
        <f>Table2[[#This Row],[cases]]*100/$T$16</f>
        <v>5077.7777777777774</v>
      </c>
      <c r="I14" s="56">
        <f>Table2[[#This Row],[infection count, high end of estimate range]]-Table2[[#This Row],[infection count, low end of estimate range]]</f>
        <v>1562.3931623931621</v>
      </c>
      <c r="J14" s="56">
        <f>(Table2[[#This Row],[infection count, low end of estimate range]]+Table2[[#This Row],[infection count, high end of estimate range]])/2</f>
        <v>4296.5811965811963</v>
      </c>
      <c r="K14" s="26">
        <f>Table2[[#This Row],[estimated infections]]/$T$6</f>
        <v>8.8223018524517319E-3</v>
      </c>
      <c r="L14" s="26">
        <f>Table2[[#This Row],[infection count, low end of estimate range]]/$T$6</f>
        <v>7.465024644382234E-3</v>
      </c>
      <c r="M14" s="26">
        <f>Table2[[#This Row],[infection count, high end of estimate range]]/$T$6</f>
        <v>1.0782813375218782E-2</v>
      </c>
      <c r="N14" s="14">
        <f>Table2[[#This Row],[infection percentage, high end of estimate range]]-Table2[[#This Row],[infection percentage, low end of estimate range]]</f>
        <v>3.3177887308365479E-3</v>
      </c>
      <c r="O14" s="26">
        <f>(Table2[[#This Row],[infection percentage, low end of estimate range]]+Table2[[#This Row],[infection percentage, high end of estimate range]])/2</f>
        <v>9.1239190098005088E-3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>
      <c r="A15" s="91">
        <v>43923</v>
      </c>
      <c r="B15" s="88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5081.818181818182</v>
      </c>
      <c r="G15" s="56">
        <f>Table2[[#This Row],[cases]]*100/$T$13</f>
        <v>4300</v>
      </c>
      <c r="H15" s="56">
        <f>Table2[[#This Row],[cases]]*100/$T$16</f>
        <v>6211.1111111111113</v>
      </c>
      <c r="I15" s="56">
        <f>Table2[[#This Row],[infection count, high end of estimate range]]-Table2[[#This Row],[infection count, low end of estimate range]]</f>
        <v>1911.1111111111113</v>
      </c>
      <c r="J15" s="56">
        <f>(Table2[[#This Row],[infection count, low end of estimate range]]+Table2[[#This Row],[infection count, high end of estimate range]])/2</f>
        <v>5255.5555555555557</v>
      </c>
      <c r="K15" s="26">
        <f>Table2[[#This Row],[estimated infections]]/$T$6</f>
        <v>1.079139329435562E-2</v>
      </c>
      <c r="L15" s="26">
        <f>Table2[[#This Row],[infection count, low end of estimate range]]/$T$6</f>
        <v>9.1311789413778318E-3</v>
      </c>
      <c r="M15" s="26">
        <f>Table2[[#This Row],[infection count, high end of estimate range]]/$T$6</f>
        <v>1.3189480693101312E-2</v>
      </c>
      <c r="N15" s="14">
        <f>Table2[[#This Row],[infection percentage, high end of estimate range]]-Table2[[#This Row],[infection percentage, low end of estimate range]]</f>
        <v>4.0583017517234806E-3</v>
      </c>
      <c r="O15" s="26">
        <f>(Table2[[#This Row],[infection percentage, low end of estimate range]]+Table2[[#This Row],[infection percentage, high end of estimate range]])/2</f>
        <v>1.1160329817239571E-2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6.5340374186575401E-2</v>
      </c>
      <c r="V15" s="3"/>
    </row>
    <row r="16" spans="1:24">
      <c r="A16" s="91">
        <v>43924</v>
      </c>
      <c r="B16" s="88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5936.363636363636</v>
      </c>
      <c r="G16" s="56">
        <f>Table2[[#This Row],[cases]]*100/$T$13</f>
        <v>5023.0769230769229</v>
      </c>
      <c r="H16" s="56">
        <f>Table2[[#This Row],[cases]]*100/$T$16</f>
        <v>7255.5555555555557</v>
      </c>
      <c r="I16" s="56">
        <f>Table2[[#This Row],[infection count, high end of estimate range]]-Table2[[#This Row],[infection count, low end of estimate range]]</f>
        <v>2232.4786324786328</v>
      </c>
      <c r="J16" s="56">
        <f>(Table2[[#This Row],[infection count, low end of estimate range]]+Table2[[#This Row],[infection count, high end of estimate range]])/2</f>
        <v>6139.3162393162393</v>
      </c>
      <c r="K16" s="26">
        <f>Table2[[#This Row],[estimated infections]]/$T$6</f>
        <v>1.2606046191796455E-2</v>
      </c>
      <c r="L16" s="26">
        <f>Table2[[#This Row],[infection count, low end of estimate range]]/$T$6</f>
        <v>1.0666654469981615E-2</v>
      </c>
      <c r="M16" s="26">
        <f>Table2[[#This Row],[infection count, high end of estimate range]]/$T$6</f>
        <v>1.5407389789973447E-2</v>
      </c>
      <c r="N16" s="14">
        <f>Table2[[#This Row],[infection percentage, high end of estimate range]]-Table2[[#This Row],[infection percentage, low end of estimate range]]</f>
        <v>4.740735319991831E-3</v>
      </c>
      <c r="O16" s="26">
        <f>(Table2[[#This Row],[infection percentage, low end of estimate range]]+Table2[[#This Row],[infection percentage, high end of estimate range]])/2</f>
        <v>1.3037022129977531E-2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27</v>
      </c>
      <c r="V16" s="3"/>
    </row>
    <row r="17" spans="1:22">
      <c r="A17" s="91">
        <v>43925</v>
      </c>
      <c r="B17" s="88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6942.424242424242</v>
      </c>
      <c r="G17" s="56">
        <f>Table2[[#This Row],[cases]]*100/$T$13</f>
        <v>5874.3589743589746</v>
      </c>
      <c r="H17" s="56">
        <f>Table2[[#This Row],[cases]]*100/$T$16</f>
        <v>8485.1851851851843</v>
      </c>
      <c r="I17" s="56">
        <f>Table2[[#This Row],[infection count, high end of estimate range]]-Table2[[#This Row],[infection count, low end of estimate range]]</f>
        <v>2610.8262108262097</v>
      </c>
      <c r="J17" s="56">
        <f>(Table2[[#This Row],[infection count, low end of estimate range]]+Table2[[#This Row],[infection count, high end of estimate range]])/2</f>
        <v>7179.7720797720795</v>
      </c>
      <c r="K17" s="26">
        <f>Table2[[#This Row],[estimated infections]]/$T$6</f>
        <v>1.4742446056868646E-2</v>
      </c>
      <c r="L17" s="26">
        <f>Table2[[#This Row],[infection count, low end of estimate range]]/$T$6</f>
        <v>1.2474377432735011E-2</v>
      </c>
      <c r="M17" s="26">
        <f>Table2[[#This Row],[infection count, high end of estimate range]]/$T$6</f>
        <v>1.8018545180617233E-2</v>
      </c>
      <c r="N17" s="14">
        <f>Table2[[#This Row],[infection percentage, high end of estimate range]]-Table2[[#This Row],[infection percentage, low end of estimate range]]</f>
        <v>5.5441677478822223E-3</v>
      </c>
      <c r="O17" s="26">
        <f>(Table2[[#This Row],[infection percentage, low end of estimate range]]+Table2[[#This Row],[infection percentage, high end of estimate range]])/2</f>
        <v>1.5246461306676121E-2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>
      <c r="A18" s="91">
        <v>43926</v>
      </c>
      <c r="B18" s="88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7457.575757575758</v>
      </c>
      <c r="G18" s="56">
        <f>Table2[[#This Row],[cases]]*100/$T$13</f>
        <v>6310.2564102564102</v>
      </c>
      <c r="H18" s="56">
        <f>Table2[[#This Row],[cases]]*100/$T$16</f>
        <v>9114.8148148148157</v>
      </c>
      <c r="I18" s="56">
        <f>Table2[[#This Row],[infection count, high end of estimate range]]-Table2[[#This Row],[infection count, low end of estimate range]]</f>
        <v>2804.5584045584055</v>
      </c>
      <c r="J18" s="56">
        <f>(Table2[[#This Row],[infection count, low end of estimate range]]+Table2[[#This Row],[infection count, high end of estimate range]])/2</f>
        <v>7712.5356125356129</v>
      </c>
      <c r="K18" s="26">
        <f>Table2[[#This Row],[estimated infections]]/$T$6</f>
        <v>1.5836385746815253E-2</v>
      </c>
      <c r="L18" s="26">
        <f>Table2[[#This Row],[infection count, low end of estimate range]]/$T$6</f>
        <v>1.3400018708843674E-2</v>
      </c>
      <c r="M18" s="26">
        <f>Table2[[#This Row],[infection count, high end of estimate range]]/$T$6</f>
        <v>1.9355582579440866E-2</v>
      </c>
      <c r="N18" s="14">
        <f>Table2[[#This Row],[infection percentage, high end of estimate range]]-Table2[[#This Row],[infection percentage, low end of estimate range]]</f>
        <v>5.9555638705971921E-3</v>
      </c>
      <c r="O18" s="26">
        <f>(Table2[[#This Row],[infection percentage, low end of estimate range]]+Table2[[#This Row],[infection percentage, high end of estimate range]])/2</f>
        <v>1.6377800644142272E-2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7.9503756436590791</v>
      </c>
      <c r="V18" s="3"/>
    </row>
    <row r="19" spans="1:22">
      <c r="A19" s="91">
        <v>43927</v>
      </c>
      <c r="B19" s="88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8490.9090909090901</v>
      </c>
      <c r="G19" s="35">
        <f>Table2[[#This Row],[cases]]*100/$T$13</f>
        <v>7184.6153846153848</v>
      </c>
      <c r="H19" s="35">
        <f>Table2[[#This Row],[cases]]*100/$T$16</f>
        <v>10377.777777777777</v>
      </c>
      <c r="I19" s="35">
        <f>Table2[[#This Row],[infection count, high end of estimate range]]-Table2[[#This Row],[infection count, low end of estimate range]]</f>
        <v>3193.1623931623926</v>
      </c>
      <c r="J19" s="35">
        <f>(Table2[[#This Row],[infection count, low end of estimate range]]+Table2[[#This Row],[infection count, high end of estimate range]])/2</f>
        <v>8781.196581196582</v>
      </c>
      <c r="K19" s="26">
        <f>Table2[[#This Row],[estimated infections]]/$T$6</f>
        <v>1.8030700066061087E-2</v>
      </c>
      <c r="L19" s="27">
        <f>Table2[[#This Row],[infection count, low end of estimate range]]/$T$6</f>
        <v>1.5256746209743998E-2</v>
      </c>
      <c r="M19" s="26">
        <f>Table2[[#This Row],[infection count, high end of estimate range]]/$T$6</f>
        <v>2.203752230296355E-2</v>
      </c>
      <c r="N19" s="15">
        <f>Table2[[#This Row],[infection percentage, high end of estimate range]]-Table2[[#This Row],[infection percentage, low end of estimate range]]</f>
        <v>6.7807760932195524E-3</v>
      </c>
      <c r="O19" s="27">
        <f>(Table2[[#This Row],[infection percentage, low end of estimate range]]+Table2[[#This Row],[infection percentage, high end of estimate range]])/2</f>
        <v>1.8647134256353774E-2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33</v>
      </c>
      <c r="V19" s="32" t="s">
        <v>23</v>
      </c>
    </row>
    <row r="20" spans="1:22">
      <c r="A20" s="91">
        <v>43928</v>
      </c>
      <c r="B20" s="88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9393.939393939394</v>
      </c>
      <c r="G20" s="35">
        <f>Table2[[#This Row],[cases]]*100/$T$13</f>
        <v>7948.7179487179483</v>
      </c>
      <c r="H20" s="35">
        <f>Table2[[#This Row],[cases]]*100/$T$16</f>
        <v>11481.481481481482</v>
      </c>
      <c r="I20" s="35">
        <f>Table2[[#This Row],[infection count, high end of estimate range]]-Table2[[#This Row],[infection count, low end of estimate range]]</f>
        <v>3532.7635327635335</v>
      </c>
      <c r="J20" s="35">
        <f>(Table2[[#This Row],[infection count, low end of estimate range]]+Table2[[#This Row],[infection count, high end of estimate range]])/2</f>
        <v>9715.0997150997155</v>
      </c>
      <c r="K20" s="26">
        <f>Table2[[#This Row],[estimated infections]]/$T$6</f>
        <v>1.9948311993143959E-2</v>
      </c>
      <c r="L20" s="27">
        <f>Table2[[#This Row],[infection count, low end of estimate range]]/$T$6</f>
        <v>1.6879340917275654E-2</v>
      </c>
      <c r="M20" s="26">
        <f>Table2[[#This Row],[infection count, high end of estimate range]]/$T$6</f>
        <v>2.4381270213842617E-2</v>
      </c>
      <c r="N20" s="15">
        <f>Table2[[#This Row],[infection percentage, high end of estimate range]]-Table2[[#This Row],[infection percentage, low end of estimate range]]</f>
        <v>7.5019292965669629E-3</v>
      </c>
      <c r="O20" s="27">
        <f>(Table2[[#This Row],[infection percentage, low end of estimate range]]+Table2[[#This Row],[infection percentage, high end of estimate range]])/2</f>
        <v>2.0630305565559136E-2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>
      <c r="A21" s="91">
        <v>43929</v>
      </c>
      <c r="B21" s="88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10051.515151515152</v>
      </c>
      <c r="G21" s="35">
        <f>Table2[[#This Row],[cases]]*100/$T$13</f>
        <v>8505.1282051282051</v>
      </c>
      <c r="H21" s="35">
        <f>Table2[[#This Row],[cases]]*100/$T$16</f>
        <v>12285.185185185184</v>
      </c>
      <c r="I21" s="35">
        <f>Table2[[#This Row],[infection count, high end of estimate range]]-Table2[[#This Row],[infection count, low end of estimate range]]</f>
        <v>3780.0569800569792</v>
      </c>
      <c r="J21" s="35">
        <f>(Table2[[#This Row],[infection count, low end of estimate range]]+Table2[[#This Row],[infection count, high end of estimate range]])/2</f>
        <v>10395.156695156695</v>
      </c>
      <c r="K21" s="26">
        <f>Table2[[#This Row],[estimated infections]]/$T$6</f>
        <v>2.1344693832664036E-2</v>
      </c>
      <c r="L21" s="27">
        <f>Table2[[#This Row],[infection count, low end of estimate range]]/$T$6</f>
        <v>1.8060894781484954E-2</v>
      </c>
      <c r="M21" s="27">
        <f>Table2[[#This Row],[infection count, high end of estimate range]]/$T$6</f>
        <v>2.6087959128811598E-2</v>
      </c>
      <c r="N21" s="15">
        <f>Table2[[#This Row],[infection percentage, high end of estimate range]]-Table2[[#This Row],[infection percentage, low end of estimate range]]</f>
        <v>8.0270643473266436E-3</v>
      </c>
      <c r="O21" s="27">
        <f>(Table2[[#This Row],[infection percentage, low end of estimate range]]+Table2[[#This Row],[infection percentage, high end of estimate range]])/2</f>
        <v>2.2074426955148274E-2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79.632656259409558</v>
      </c>
      <c r="V21" s="31"/>
    </row>
    <row r="22" spans="1:22">
      <c r="A22" s="91">
        <v>43930</v>
      </c>
      <c r="B22" s="88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10869.69696969697</v>
      </c>
      <c r="G22" s="35">
        <f>Table2[[#This Row],[cases]]*100/$T$13</f>
        <v>9197.4358974358965</v>
      </c>
      <c r="H22" s="35">
        <f>Table2[[#This Row],[cases]]*100/$T$16</f>
        <v>13285.185185185184</v>
      </c>
      <c r="I22" s="35">
        <f>Table2[[#This Row],[infection count, high end of estimate range]]-Table2[[#This Row],[infection count, low end of estimate range]]</f>
        <v>4087.7492877492878</v>
      </c>
      <c r="J22" s="35">
        <f>(Table2[[#This Row],[infection count, low end of estimate range]]+Table2[[#This Row],[infection count, high end of estimate range]])/2</f>
        <v>11241.31054131054</v>
      </c>
      <c r="K22" s="26">
        <f>Table2[[#This Row],[estimated infections]]/$T$6</f>
        <v>2.3082127457873348E-2</v>
      </c>
      <c r="L22" s="27">
        <f>Table2[[#This Row],[infection count, low end of estimate range]]/$T$6</f>
        <v>1.9531030925892832E-2</v>
      </c>
      <c r="M22" s="27">
        <f>Table2[[#This Row],[infection count, high end of estimate range]]/$T$6</f>
        <v>2.8211489115178533E-2</v>
      </c>
      <c r="N22" s="15">
        <f>Table2[[#This Row],[infection percentage, high end of estimate range]]-Table2[[#This Row],[infection percentage, low end of estimate range]]</f>
        <v>8.6804581892857002E-3</v>
      </c>
      <c r="O22" s="27">
        <f>(Table2[[#This Row],[infection percentage, low end of estimate range]]+Table2[[#This Row],[infection percentage, high end of estimate range]])/2</f>
        <v>2.3871260020535683E-2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>
      <c r="A23" s="91">
        <v>43931</v>
      </c>
      <c r="B23" s="88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11563.636363636364</v>
      </c>
      <c r="G23" s="35">
        <f>Table2[[#This Row],[cases]]*100/$T$13</f>
        <v>9784.6153846153848</v>
      </c>
      <c r="H23" s="35">
        <f>Table2[[#This Row],[cases]]*100/$T$16</f>
        <v>14133.333333333334</v>
      </c>
      <c r="I23" s="35">
        <f>Table2[[#This Row],[infection count, high end of estimate range]]-Table2[[#This Row],[infection count, low end of estimate range]]</f>
        <v>4348.7179487179492</v>
      </c>
      <c r="J23" s="35">
        <f>(Table2[[#This Row],[infection count, low end of estimate range]]+Table2[[#This Row],[infection count, high end of estimate range]])/2</f>
        <v>11958.974358974359</v>
      </c>
      <c r="K23" s="26">
        <f>Table2[[#This Row],[estimated infections]]/$T$6</f>
        <v>2.455572856962495E-2</v>
      </c>
      <c r="L23" s="27">
        <f>Table2[[#This Row],[infection count, low end of estimate range]]/$T$6</f>
        <v>2.0777924174298034E-2</v>
      </c>
      <c r="M23" s="27">
        <f>Table2[[#This Row],[infection count, high end of estimate range]]/$T$6</f>
        <v>3.0012557140652717E-2</v>
      </c>
      <c r="N23" s="15">
        <f>Table2[[#This Row],[infection percentage, high end of estimate range]]-Table2[[#This Row],[infection percentage, low end of estimate range]]</f>
        <v>9.2346329663546833E-3</v>
      </c>
      <c r="O23" s="27">
        <f>(Table2[[#This Row],[infection percentage, low end of estimate range]]+Table2[[#This Row],[infection percentage, high end of estimate range]])/2</f>
        <v>2.5395240657475376E-2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>
      <c r="A24" s="91">
        <v>43932</v>
      </c>
      <c r="B24" s="88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12396.969696969696</v>
      </c>
      <c r="G24" s="35">
        <f>Table2[[#This Row],[cases]]*100/$T$13</f>
        <v>10489.74358974359</v>
      </c>
      <c r="H24" s="35">
        <f>Table2[[#This Row],[cases]]*100/$T$16</f>
        <v>15151.851851851852</v>
      </c>
      <c r="I24" s="35">
        <f>Table2[[#This Row],[infection count, high end of estimate range]]-Table2[[#This Row],[infection count, low end of estimate range]]</f>
        <v>4662.1082621082624</v>
      </c>
      <c r="J24" s="35">
        <f>(Table2[[#This Row],[infection count, low end of estimate range]]+Table2[[#This Row],[infection count, high end of estimate range]])/2</f>
        <v>12820.79772079772</v>
      </c>
      <c r="K24" s="26">
        <f>Table2[[#This Row],[estimated infections]]/$T$6</f>
        <v>2.6325336891597394E-2</v>
      </c>
      <c r="L24" s="27">
        <f>Table2[[#This Row],[infection count, low end of estimate range]]/$T$6</f>
        <v>2.2275285062120877E-2</v>
      </c>
      <c r="M24" s="27">
        <f>Table2[[#This Row],[infection count, high end of estimate range]]/$T$6</f>
        <v>3.2175411756396821E-2</v>
      </c>
      <c r="N24" s="15">
        <f>Table2[[#This Row],[infection percentage, high end of estimate range]]-Table2[[#This Row],[infection percentage, low end of estimate range]]</f>
        <v>9.9001266942759444E-3</v>
      </c>
      <c r="O24" s="27">
        <f>(Table2[[#This Row],[infection percentage, low end of estimate range]]+Table2[[#This Row],[infection percentage, high end of estimate range]])/2</f>
        <v>2.7225348409258849E-2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>
      <c r="A25" s="91">
        <v>43933</v>
      </c>
      <c r="B25" s="88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12948.484848484848</v>
      </c>
      <c r="G25" s="35">
        <f>Table2[[#This Row],[cases]]*100/$T$13</f>
        <v>10956.410256410256</v>
      </c>
      <c r="H25" s="35">
        <f>Table2[[#This Row],[cases]]*100/$T$16</f>
        <v>15825.925925925925</v>
      </c>
      <c r="I25" s="35">
        <f>Table2[[#This Row],[infection count, high end of estimate range]]-Table2[[#This Row],[infection count, low end of estimate range]]</f>
        <v>4869.5156695156693</v>
      </c>
      <c r="J25" s="35">
        <f>(Table2[[#This Row],[infection count, low end of estimate range]]+Table2[[#This Row],[infection count, high end of estimate range]])/2</f>
        <v>13391.168091168091</v>
      </c>
      <c r="K25" s="26">
        <f>Table2[[#This Row],[estimated infections]]/$T$6</f>
        <v>2.7496495853775525E-2</v>
      </c>
      <c r="L25" s="27">
        <f>Table2[[#This Row],[infection count, low end of estimate range]]/$T$6</f>
        <v>2.3266265722425444E-2</v>
      </c>
      <c r="M25" s="27">
        <f>Table2[[#This Row],[infection count, high end of estimate range]]/$T$6</f>
        <v>3.3606828265725641E-2</v>
      </c>
      <c r="N25" s="15">
        <f>Table2[[#This Row],[infection percentage, high end of estimate range]]-Table2[[#This Row],[infection percentage, low end of estimate range]]</f>
        <v>1.0340562543300198E-2</v>
      </c>
      <c r="O25" s="27">
        <f>(Table2[[#This Row],[infection percentage, low end of estimate range]]+Table2[[#This Row],[infection percentage, high end of estimate range]])/2</f>
        <v>2.8436546994075544E-2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>
      <c r="A26" s="91">
        <v>43934</v>
      </c>
      <c r="B26" s="88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13596.969696969696</v>
      </c>
      <c r="G26" s="35">
        <f>Table2[[#This Row],[cases]]*100/$T$13</f>
        <v>11505.128205128205</v>
      </c>
      <c r="H26" s="35">
        <f>Table2[[#This Row],[cases]]*100/$T$16</f>
        <v>16618.518518518518</v>
      </c>
      <c r="I26" s="35">
        <f>Table2[[#This Row],[infection count, high end of estimate range]]-Table2[[#This Row],[infection count, low end of estimate range]]</f>
        <v>5113.3903133903132</v>
      </c>
      <c r="J26" s="35">
        <f>(Table2[[#This Row],[infection count, low end of estimate range]]+Table2[[#This Row],[infection count, high end of estimate range]])/2</f>
        <v>14061.823361823361</v>
      </c>
      <c r="K26" s="26">
        <f>Table2[[#This Row],[estimated infections]]/$T$6</f>
        <v>2.8873572875237719E-2</v>
      </c>
      <c r="L26" s="27">
        <f>Table2[[#This Row],[infection count, low end of estimate range]]/$T$6</f>
        <v>2.4431484740585766E-2</v>
      </c>
      <c r="M26" s="27">
        <f>Table2[[#This Row],[infection count, high end of estimate range]]/$T$6</f>
        <v>3.528992240306833E-2</v>
      </c>
      <c r="N26" s="15">
        <f>Table2[[#This Row],[infection percentage, high end of estimate range]]-Table2[[#This Row],[infection percentage, low end of estimate range]]</f>
        <v>1.0858437662482564E-2</v>
      </c>
      <c r="O26" s="27">
        <f>(Table2[[#This Row],[infection percentage, low end of estimate range]]+Table2[[#This Row],[infection percentage, high end of estimate range]])/2</f>
        <v>2.9860703571827046E-2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>
      <c r="A27" s="91">
        <v>43935</v>
      </c>
      <c r="B27" s="88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14084.848484848484</v>
      </c>
      <c r="G27" s="35">
        <f>Table2[[#This Row],[cases]]*100/$T$13</f>
        <v>11917.948717948719</v>
      </c>
      <c r="H27" s="35">
        <f>Table2[[#This Row],[cases]]*100/$T$16</f>
        <v>17214.814814814814</v>
      </c>
      <c r="I27" s="35">
        <f>Table2[[#This Row],[infection count, high end of estimate range]]-Table2[[#This Row],[infection count, low end of estimate range]]</f>
        <v>5296.8660968660952</v>
      </c>
      <c r="J27" s="35">
        <f>(Table2[[#This Row],[infection count, low end of estimate range]]+Table2[[#This Row],[infection count, high end of estimate range]])/2</f>
        <v>14566.381766381766</v>
      </c>
      <c r="K27" s="26">
        <f>Table2[[#This Row],[estimated infections]]/$T$6</f>
        <v>2.9909598111010682E-2</v>
      </c>
      <c r="L27" s="27">
        <f>Table2[[#This Row],[infection count, low end of estimate range]]/$T$6</f>
        <v>2.5308121478547503E-2</v>
      </c>
      <c r="M27" s="27">
        <f>Table2[[#This Row],[infection count, high end of estimate range]]/$T$6</f>
        <v>3.6556175469013054E-2</v>
      </c>
      <c r="N27" s="15">
        <f>Table2[[#This Row],[infection percentage, high end of estimate range]]-Table2[[#This Row],[infection percentage, low end of estimate range]]</f>
        <v>1.1248053990465551E-2</v>
      </c>
      <c r="O27" s="27">
        <f>(Table2[[#This Row],[infection percentage, low end of estimate range]]+Table2[[#This Row],[infection percentage, high end of estimate range]])/2</f>
        <v>3.0932148473780278E-2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>
      <c r="A28" s="91">
        <v>43936</v>
      </c>
      <c r="B28" s="88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14718.181818181818</v>
      </c>
      <c r="G28" s="35">
        <f>Table2[[#This Row],[cases]]*100/$T$13</f>
        <v>12453.846153846154</v>
      </c>
      <c r="H28" s="35">
        <f>Table2[[#This Row],[cases]]*100/$T$16</f>
        <v>17988.888888888891</v>
      </c>
      <c r="I28" s="35">
        <f>Table2[[#This Row],[infection count, high end of estimate range]]-Table2[[#This Row],[infection count, low end of estimate range]]</f>
        <v>5535.0427350427362</v>
      </c>
      <c r="J28" s="35">
        <f>(Table2[[#This Row],[infection count, low end of estimate range]]+Table2[[#This Row],[infection count, high end of estimate range]])/2</f>
        <v>15221.367521367523</v>
      </c>
      <c r="K28" s="26">
        <f>Table2[[#This Row],[estimated infections]]/$T$6</f>
        <v>3.1254500435709744E-2</v>
      </c>
      <c r="L28" s="27">
        <f>Table2[[#This Row],[infection count, low end of estimate range]]/$T$6</f>
        <v>2.6446115753292861E-2</v>
      </c>
      <c r="M28" s="27">
        <f>Table2[[#This Row],[infection count, high end of estimate range]]/$T$6</f>
        <v>3.8199944976978581E-2</v>
      </c>
      <c r="N28" s="15">
        <f>Table2[[#This Row],[infection percentage, high end of estimate range]]-Table2[[#This Row],[infection percentage, low end of estimate range]]</f>
        <v>1.175382922368572E-2</v>
      </c>
      <c r="O28" s="27">
        <f>(Table2[[#This Row],[infection percentage, low end of estimate range]]+Table2[[#This Row],[infection percentage, high end of estimate range]])/2</f>
        <v>3.2323030365135723E-2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>
      <c r="A29" s="91">
        <v>43937</v>
      </c>
      <c r="B29" s="88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15206.060606060606</v>
      </c>
      <c r="G29" s="35">
        <f>Table2[[#This Row],[cases]]*100/$T$13</f>
        <v>12866.666666666666</v>
      </c>
      <c r="H29" s="35">
        <f>Table2[[#This Row],[cases]]*100/$T$16</f>
        <v>18585.185185185186</v>
      </c>
      <c r="I29" s="35">
        <f>Table2[[#This Row],[infection count, high end of estimate range]]-Table2[[#This Row],[infection count, low end of estimate range]]</f>
        <v>5718.5185185185201</v>
      </c>
      <c r="J29" s="35">
        <f>(Table2[[#This Row],[infection count, low end of estimate range]]+Table2[[#This Row],[infection count, high end of estimate range]])/2</f>
        <v>15725.925925925927</v>
      </c>
      <c r="K29" s="26">
        <f>Table2[[#This Row],[estimated infections]]/$T$6</f>
        <v>3.2290525671482703E-2</v>
      </c>
      <c r="L29" s="27">
        <f>Table2[[#This Row],[infection count, low end of estimate range]]/$T$6</f>
        <v>2.7322752491254595E-2</v>
      </c>
      <c r="M29" s="27">
        <f>Table2[[#This Row],[infection count, high end of estimate range]]/$T$6</f>
        <v>3.9466198042923305E-2</v>
      </c>
      <c r="N29" s="15">
        <f>Table2[[#This Row],[infection percentage, high end of estimate range]]-Table2[[#This Row],[infection percentage, low end of estimate range]]</f>
        <v>1.214344555166871E-2</v>
      </c>
      <c r="O29" s="27">
        <f>(Table2[[#This Row],[infection percentage, low end of estimate range]]+Table2[[#This Row],[infection percentage, high end of estimate range]])/2</f>
        <v>3.3394475267088948E-2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>
      <c r="A30" s="91">
        <v>43938</v>
      </c>
      <c r="B30" s="88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16136.363636363636</v>
      </c>
      <c r="G30" s="35">
        <f>Table2[[#This Row],[cases]]*100/$T$13</f>
        <v>13653.846153846154</v>
      </c>
      <c r="H30" s="35">
        <f>Table2[[#This Row],[cases]]*100/$T$16</f>
        <v>19722.222222222223</v>
      </c>
      <c r="I30" s="35">
        <f>Table2[[#This Row],[infection count, high end of estimate range]]-Table2[[#This Row],[infection count, low end of estimate range]]</f>
        <v>6068.3760683760684</v>
      </c>
      <c r="J30" s="35">
        <f>(Table2[[#This Row],[infection count, low end of estimate range]]+Table2[[#This Row],[infection count, high end of estimate range]])/2</f>
        <v>16688.034188034188</v>
      </c>
      <c r="K30" s="26">
        <f>Table2[[#This Row],[estimated infections]]/$T$6</f>
        <v>3.4266052052739221E-2</v>
      </c>
      <c r="L30" s="27">
        <f>Table2[[#This Row],[infection count, low end of estimate range]]/$T$6</f>
        <v>2.8994351736933186E-2</v>
      </c>
      <c r="M30" s="27">
        <f>Table2[[#This Row],[infection count, high end of estimate range]]/$T$6</f>
        <v>4.1880730286681267E-2</v>
      </c>
      <c r="N30" s="15">
        <f>Table2[[#This Row],[infection percentage, high end of estimate range]]-Table2[[#This Row],[infection percentage, low end of estimate range]]</f>
        <v>1.2886378549748081E-2</v>
      </c>
      <c r="O30" s="27">
        <f>(Table2[[#This Row],[infection percentage, low end of estimate range]]+Table2[[#This Row],[infection percentage, high end of estimate range]])/2</f>
        <v>3.5437541011807225E-2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>
      <c r="A31" s="91">
        <v>43939</v>
      </c>
      <c r="B31" s="88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16584.848484848484</v>
      </c>
      <c r="G31" s="35">
        <f>Table2[[#This Row],[cases]]*100/$T$13</f>
        <v>14033.333333333334</v>
      </c>
      <c r="H31" s="35">
        <f>Table2[[#This Row],[cases]]*100/$T$16</f>
        <v>20270.370370370369</v>
      </c>
      <c r="I31" s="35">
        <f>Table2[[#This Row],[infection count, high end of estimate range]]-Table2[[#This Row],[infection count, low end of estimate range]]</f>
        <v>6237.0370370370347</v>
      </c>
      <c r="J31" s="35">
        <f>(Table2[[#This Row],[infection count, low end of estimate range]]+Table2[[#This Row],[infection count, high end of estimate range]])/2</f>
        <v>17151.85185185185</v>
      </c>
      <c r="K31" s="26">
        <f>Table2[[#This Row],[estimated infections]]/$T$6</f>
        <v>3.5218423076928025E-2</v>
      </c>
      <c r="L31" s="27">
        <f>Table2[[#This Row],[infection count, low end of estimate range]]/$T$6</f>
        <v>2.9800204142016024E-2</v>
      </c>
      <c r="M31" s="27">
        <f>Table2[[#This Row],[infection count, high end of estimate range]]/$T$6</f>
        <v>4.3044739316245362E-2</v>
      </c>
      <c r="N31" s="15">
        <f>Table2[[#This Row],[infection percentage, high end of estimate range]]-Table2[[#This Row],[infection percentage, low end of estimate range]]</f>
        <v>1.3244535174229338E-2</v>
      </c>
      <c r="O31" s="27">
        <f>(Table2[[#This Row],[infection percentage, low end of estimate range]]+Table2[[#This Row],[infection percentage, high end of estimate range]])/2</f>
        <v>3.6422471729130691E-2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>
      <c r="A32" s="91">
        <v>43940</v>
      </c>
      <c r="B32" s="88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17106.060606060608</v>
      </c>
      <c r="G32" s="35">
        <f>Table2[[#This Row],[cases]]*100/$T$13</f>
        <v>14474.358974358975</v>
      </c>
      <c r="H32" s="35">
        <f>Table2[[#This Row],[cases]]*100/$T$16</f>
        <v>20907.407407407409</v>
      </c>
      <c r="I32" s="35">
        <f>Table2[[#This Row],[infection count, high end of estimate range]]-Table2[[#This Row],[infection count, low end of estimate range]]</f>
        <v>6433.0484330484342</v>
      </c>
      <c r="J32" s="35">
        <f>(Table2[[#This Row],[infection count, low end of estimate range]]+Table2[[#This Row],[infection count, high end of estimate range]])/2</f>
        <v>17690.883190883193</v>
      </c>
      <c r="K32" s="26">
        <f>Table2[[#This Row],[estimated infections]]/$T$6</f>
        <v>3.6325232645579887E-2</v>
      </c>
      <c r="L32" s="27">
        <f>Table2[[#This Row],[infection count, low end of estimate range]]/$T$6</f>
        <v>3.0736735315490673E-2</v>
      </c>
      <c r="M32" s="27">
        <f>Table2[[#This Row],[infection count, high end of estimate range]]/$T$6</f>
        <v>4.4397506566819865E-2</v>
      </c>
      <c r="N32" s="15">
        <f>Table2[[#This Row],[infection percentage, high end of estimate range]]-Table2[[#This Row],[infection percentage, low end of estimate range]]</f>
        <v>1.3660771251329192E-2</v>
      </c>
      <c r="O32" s="27">
        <f>(Table2[[#This Row],[infection percentage, low end of estimate range]]+Table2[[#This Row],[infection percentage, high end of estimate range]])/2</f>
        <v>3.7567120941155267E-2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>
      <c r="A33" s="91">
        <v>43941</v>
      </c>
      <c r="B33" s="88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17733.333333333332</v>
      </c>
      <c r="G33" s="35">
        <f>Table2[[#This Row],[cases]]*100/$T$13</f>
        <v>15005.128205128205</v>
      </c>
      <c r="H33" s="35">
        <f>Table2[[#This Row],[cases]]*100/$T$16</f>
        <v>21674.074074074073</v>
      </c>
      <c r="I33" s="35">
        <f>Table2[[#This Row],[infection count, high end of estimate range]]-Table2[[#This Row],[infection count, low end of estimate range]]</f>
        <v>6668.9458689458679</v>
      </c>
      <c r="J33" s="35">
        <f>(Table2[[#This Row],[infection count, low end of estimate range]]+Table2[[#This Row],[infection count, high end of estimate range]])/2</f>
        <v>18339.601139601138</v>
      </c>
      <c r="K33" s="26">
        <f>Table2[[#This Row],[estimated infections]]/$T$6</f>
        <v>3.7657265091573688E-2</v>
      </c>
      <c r="L33" s="27">
        <f>Table2[[#This Row],[infection count, low end of estimate range]]/$T$6</f>
        <v>3.1863839692870044E-2</v>
      </c>
      <c r="M33" s="27">
        <f>Table2[[#This Row],[infection count, high end of estimate range]]/$T$6</f>
        <v>4.6025546223034508E-2</v>
      </c>
      <c r="N33" s="15">
        <f>Table2[[#This Row],[infection percentage, high end of estimate range]]-Table2[[#This Row],[infection percentage, low end of estimate range]]</f>
        <v>1.4161706530164464E-2</v>
      </c>
      <c r="O33" s="27">
        <f>(Table2[[#This Row],[infection percentage, low end of estimate range]]+Table2[[#This Row],[infection percentage, high end of estimate range]])/2</f>
        <v>3.8944692957952276E-2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>
      <c r="A34" s="91">
        <v>43942</v>
      </c>
      <c r="B34" s="88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18375.757575757576</v>
      </c>
      <c r="G34" s="35">
        <f>Table2[[#This Row],[cases]]*100/$T$13</f>
        <v>15548.717948717949</v>
      </c>
      <c r="H34" s="35">
        <f>Table2[[#This Row],[cases]]*100/$T$16</f>
        <v>22459.259259259259</v>
      </c>
      <c r="I34" s="35">
        <f>Table2[[#This Row],[infection count, high end of estimate range]]-Table2[[#This Row],[infection count, low end of estimate range]]</f>
        <v>6910.5413105413099</v>
      </c>
      <c r="J34" s="35">
        <f>(Table2[[#This Row],[infection count, low end of estimate range]]+Table2[[#This Row],[infection count, high end of estimate range]])/2</f>
        <v>19003.988603988604</v>
      </c>
      <c r="K34" s="26">
        <f>Table2[[#This Row],[estimated infections]]/$T$6</f>
        <v>3.9021472234330633E-2</v>
      </c>
      <c r="L34" s="27">
        <f>Table2[[#This Row],[infection count, low end of estimate range]]/$T$6</f>
        <v>3.3018168813664379E-2</v>
      </c>
      <c r="M34" s="27">
        <f>Table2[[#This Row],[infection count, high end of estimate range]]/$T$6</f>
        <v>4.7692910508626327E-2</v>
      </c>
      <c r="N34" s="15">
        <f>Table2[[#This Row],[infection percentage, high end of estimate range]]-Table2[[#This Row],[infection percentage, low end of estimate range]]</f>
        <v>1.4674741694961947E-2</v>
      </c>
      <c r="O34" s="27">
        <f>(Table2[[#This Row],[infection percentage, low end of estimate range]]+Table2[[#This Row],[infection percentage, high end of estimate range]])/2</f>
        <v>4.0355539661145357E-2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>
      <c r="A35" s="91">
        <v>43943</v>
      </c>
      <c r="B35" s="88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18869.696969696968</v>
      </c>
      <c r="G35" s="35">
        <f>Table2[[#This Row],[cases]]*100/$T$13</f>
        <v>15966.666666666666</v>
      </c>
      <c r="H35" s="35">
        <f>Table2[[#This Row],[cases]]*100/$T$16</f>
        <v>23062.962962962964</v>
      </c>
      <c r="I35" s="35">
        <f>Table2[[#This Row],[infection count, high end of estimate range]]-Table2[[#This Row],[infection count, low end of estimate range]]</f>
        <v>7096.2962962962974</v>
      </c>
      <c r="J35" s="35">
        <f>(Table2[[#This Row],[infection count, low end of estimate range]]+Table2[[#This Row],[infection count, high end of estimate range]])/2</f>
        <v>19514.814814814814</v>
      </c>
      <c r="K35" s="26">
        <f>Table2[[#This Row],[estimated infections]]/$T$6</f>
        <v>4.0070367348808845E-2</v>
      </c>
      <c r="L35" s="27">
        <f>Table2[[#This Row],[infection count, low end of estimate range]]/$T$6</f>
        <v>3.39056954489921E-2</v>
      </c>
      <c r="M35" s="27">
        <f>Table2[[#This Row],[infection count, high end of estimate range]]/$T$6</f>
        <v>4.8974893426321928E-2</v>
      </c>
      <c r="N35" s="15">
        <f>Table2[[#This Row],[infection percentage, high end of estimate range]]-Table2[[#This Row],[infection percentage, low end of estimate range]]</f>
        <v>1.5069197977329828E-2</v>
      </c>
      <c r="O35" s="27">
        <f>(Table2[[#This Row],[infection percentage, low end of estimate range]]+Table2[[#This Row],[infection percentage, high end of estimate range]])/2</f>
        <v>4.144029443765701E-2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>
      <c r="A36" s="91">
        <v>43944</v>
      </c>
      <c r="B36" s="88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19433.333333333332</v>
      </c>
      <c r="G36" s="35">
        <f>Table2[[#This Row],[cases]]*100/$T$13</f>
        <v>16443.589743589742</v>
      </c>
      <c r="H36" s="35">
        <f>Table2[[#This Row],[cases]]*100/$T$16</f>
        <v>23751.85185185185</v>
      </c>
      <c r="I36" s="35">
        <f>Table2[[#This Row],[infection count, high end of estimate range]]-Table2[[#This Row],[infection count, low end of estimate range]]</f>
        <v>7308.2621082621081</v>
      </c>
      <c r="J36" s="35">
        <f>(Table2[[#This Row],[infection count, low end of estimate range]]+Table2[[#This Row],[infection count, high end of estimate range]])/2</f>
        <v>20097.720797720795</v>
      </c>
      <c r="K36" s="26">
        <f>Table2[[#This Row],[estimated infections]]/$T$6</f>
        <v>4.1267266068397486E-2</v>
      </c>
      <c r="L36" s="27">
        <f>Table2[[#This Row],[infection count, low end of estimate range]]/$T$6</f>
        <v>3.4918455904028638E-2</v>
      </c>
      <c r="M36" s="27">
        <f>Table2[[#This Row],[infection count, high end of estimate range]]/$T$6</f>
        <v>5.0437769639152481E-2</v>
      </c>
      <c r="N36" s="15">
        <f>Table2[[#This Row],[infection percentage, high end of estimate range]]-Table2[[#This Row],[infection percentage, low end of estimate range]]</f>
        <v>1.5519313735123844E-2</v>
      </c>
      <c r="O36" s="27">
        <f>(Table2[[#This Row],[infection percentage, low end of estimate range]]+Table2[[#This Row],[infection percentage, high end of estimate range]])/2</f>
        <v>4.2678112771590559E-2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>
      <c r="A37" s="91">
        <v>43945</v>
      </c>
      <c r="B37" s="88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20175.757575757576</v>
      </c>
      <c r="G37" s="35">
        <f>Table2[[#This Row],[cases]]*100/$T$13</f>
        <v>17071.794871794871</v>
      </c>
      <c r="H37" s="35">
        <f>Table2[[#This Row],[cases]]*100/$T$16</f>
        <v>24659.259259259259</v>
      </c>
      <c r="I37" s="35">
        <f>Table2[[#This Row],[infection count, high end of estimate range]]-Table2[[#This Row],[infection count, low end of estimate range]]</f>
        <v>7587.464387464388</v>
      </c>
      <c r="J37" s="35">
        <f>(Table2[[#This Row],[infection count, low end of estimate range]]+Table2[[#This Row],[infection count, high end of estimate range]])/2</f>
        <v>20865.527065527065</v>
      </c>
      <c r="K37" s="26">
        <f>Table2[[#This Row],[estimated infections]]/$T$6</f>
        <v>4.2843826209791123E-2</v>
      </c>
      <c r="L37" s="27">
        <f>Table2[[#This Row],[infection count, low end of estimate range]]/$T$6</f>
        <v>3.6252468331361719E-2</v>
      </c>
      <c r="M37" s="27">
        <f>Table2[[#This Row],[infection count, high end of estimate range]]/$T$6</f>
        <v>5.236467647863359E-2</v>
      </c>
      <c r="N37" s="15">
        <f>Table2[[#This Row],[infection percentage, high end of estimate range]]-Table2[[#This Row],[infection percentage, low end of estimate range]]</f>
        <v>1.6112208147271871E-2</v>
      </c>
      <c r="O37" s="27">
        <f>(Table2[[#This Row],[infection percentage, low end of estimate range]]+Table2[[#This Row],[infection percentage, high end of estimate range]])/2</f>
        <v>4.4308572404997651E-2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>
      <c r="A38" s="91">
        <v>43946</v>
      </c>
      <c r="B38" s="88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20333.333333333332</v>
      </c>
      <c r="G38" s="35">
        <f>Table2[[#This Row],[cases]]*100/$T$13</f>
        <v>17205.128205128207</v>
      </c>
      <c r="H38" s="35">
        <f>Table2[[#This Row],[cases]]*100/$T$16</f>
        <v>24851.85185185185</v>
      </c>
      <c r="I38" s="35">
        <f>Table2[[#This Row],[infection count, high end of estimate range]]-Table2[[#This Row],[infection count, low end of estimate range]]</f>
        <v>7646.7236467236435</v>
      </c>
      <c r="J38" s="35">
        <f>(Table2[[#This Row],[infection count, low end of estimate range]]+Table2[[#This Row],[infection count, high end of estimate range]])/2</f>
        <v>21028.490028490029</v>
      </c>
      <c r="K38" s="26">
        <f>Table2[[#This Row],[estimated infections]]/$T$6</f>
        <v>4.3178443056127724E-2</v>
      </c>
      <c r="L38" s="27">
        <f>Table2[[#This Row],[infection count, low end of estimate range]]/$T$6</f>
        <v>3.6535605662877314E-2</v>
      </c>
      <c r="M38" s="27">
        <f>Table2[[#This Row],[infection count, high end of estimate range]]/$T$6</f>
        <v>5.2773652624156113E-2</v>
      </c>
      <c r="N38" s="15">
        <f>Table2[[#This Row],[infection percentage, high end of estimate range]]-Table2[[#This Row],[infection percentage, low end of estimate range]]</f>
        <v>1.6238046961278799E-2</v>
      </c>
      <c r="O38" s="27">
        <f>(Table2[[#This Row],[infection percentage, low end of estimate range]]+Table2[[#This Row],[infection percentage, high end of estimate range]])/2</f>
        <v>4.4654629143516714E-2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>
      <c r="A39" s="91">
        <v>43947</v>
      </c>
      <c r="B39" s="88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21215.151515151516</v>
      </c>
      <c r="G39" s="35">
        <f>Table2[[#This Row],[cases]]*100/$T$13</f>
        <v>17951.282051282051</v>
      </c>
      <c r="H39" s="35">
        <f>Table2[[#This Row],[cases]]*100/$T$16</f>
        <v>25929.629629629631</v>
      </c>
      <c r="I39" s="35">
        <f>Table2[[#This Row],[infection count, high end of estimate range]]-Table2[[#This Row],[infection count, low end of estimate range]]</f>
        <v>7978.3475783475806</v>
      </c>
      <c r="J39" s="35">
        <f>(Table2[[#This Row],[infection count, low end of estimate range]]+Table2[[#This Row],[infection count, high end of estimate range]])/2</f>
        <v>21940.455840455841</v>
      </c>
      <c r="K39" s="26">
        <f>Table2[[#This Row],[estimated infections]]/$T$6</f>
        <v>4.505101040774221E-2</v>
      </c>
      <c r="L39" s="27">
        <f>Table2[[#This Row],[infection count, low end of estimate range]]/$T$6</f>
        <v>3.8120085729628023E-2</v>
      </c>
      <c r="M39" s="27">
        <f>Table2[[#This Row],[infection count, high end of estimate range]]/$T$6</f>
        <v>5.5062346053907148E-2</v>
      </c>
      <c r="N39" s="15">
        <f>Table2[[#This Row],[infection percentage, high end of estimate range]]-Table2[[#This Row],[infection percentage, low end of estimate range]]</f>
        <v>1.6942260324279125E-2</v>
      </c>
      <c r="O39" s="27">
        <f>(Table2[[#This Row],[infection percentage, low end of estimate range]]+Table2[[#This Row],[infection percentage, high end of estimate range]])/2</f>
        <v>4.6591215891767582E-2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>
      <c r="A40" s="91">
        <v>43948</v>
      </c>
      <c r="B40" s="88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21693.939393939392</v>
      </c>
      <c r="G40" s="35">
        <f>Table2[[#This Row],[cases]]*100/$T$13</f>
        <v>18356.410256410258</v>
      </c>
      <c r="H40" s="35">
        <f>Table2[[#This Row],[cases]]*100/$T$16</f>
        <v>26514.814814814814</v>
      </c>
      <c r="I40" s="35">
        <f>Table2[[#This Row],[infection count, high end of estimate range]]-Table2[[#This Row],[infection count, low end of estimate range]]</f>
        <v>8158.4045584045562</v>
      </c>
      <c r="J40" s="35">
        <f>(Table2[[#This Row],[infection count, low end of estimate range]]+Table2[[#This Row],[infection count, high end of estimate range]])/2</f>
        <v>22435.612535612534</v>
      </c>
      <c r="K40" s="26">
        <f>Table2[[#This Row],[estimated infections]]/$T$6</f>
        <v>4.6067730825457287E-2</v>
      </c>
      <c r="L40" s="27">
        <f>Table2[[#This Row],[infection count, low end of estimate range]]/$T$6</f>
        <v>3.8980387621540789E-2</v>
      </c>
      <c r="M40" s="27">
        <f>Table2[[#This Row],[infection count, high end of estimate range]]/$T$6</f>
        <v>5.6305004342225573E-2</v>
      </c>
      <c r="N40" s="15">
        <f>Table2[[#This Row],[infection percentage, high end of estimate range]]-Table2[[#This Row],[infection percentage, low end of estimate range]]</f>
        <v>1.7324616720684784E-2</v>
      </c>
      <c r="O40" s="27">
        <f>(Table2[[#This Row],[infection percentage, low end of estimate range]]+Table2[[#This Row],[infection percentage, high end of estimate range]])/2</f>
        <v>4.7642695981883185E-2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>
      <c r="A41" s="91">
        <v>43949</v>
      </c>
      <c r="B41" s="88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22315.151515151516</v>
      </c>
      <c r="G41" s="35">
        <f>Table2[[#This Row],[cases]]*100/$T$13</f>
        <v>18882.051282051281</v>
      </c>
      <c r="H41" s="35">
        <f>Table2[[#This Row],[cases]]*100/$T$16</f>
        <v>27274.074074074073</v>
      </c>
      <c r="I41" s="35">
        <f>Table2[[#This Row],[infection count, high end of estimate range]]-Table2[[#This Row],[infection count, low end of estimate range]]</f>
        <v>8392.0227920227917</v>
      </c>
      <c r="J41" s="35">
        <f>(Table2[[#This Row],[infection count, low end of estimate range]]+Table2[[#This Row],[infection count, high end of estimate range]])/2</f>
        <v>23078.062678062677</v>
      </c>
      <c r="K41" s="26">
        <f>Table2[[#This Row],[estimated infections]]/$T$6</f>
        <v>4.7386893392745842E-2</v>
      </c>
      <c r="L41" s="27">
        <f>Table2[[#This Row],[infection count, low end of estimate range]]/$T$6</f>
        <v>4.009660210155417E-2</v>
      </c>
      <c r="M41" s="27">
        <f>Table2[[#This Row],[infection count, high end of estimate range]]/$T$6</f>
        <v>5.791731414668936E-2</v>
      </c>
      <c r="N41" s="15">
        <f>Table2[[#This Row],[infection percentage, high end of estimate range]]-Table2[[#This Row],[infection percentage, low end of estimate range]]</f>
        <v>1.782071204513519E-2</v>
      </c>
      <c r="O41" s="27">
        <f>(Table2[[#This Row],[infection percentage, low end of estimate range]]+Table2[[#This Row],[infection percentage, high end of estimate range]])/2</f>
        <v>4.9006958124121765E-2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>
      <c r="A42" s="91">
        <v>43950</v>
      </c>
      <c r="B42" s="88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22478.78787878788</v>
      </c>
      <c r="G42" s="35">
        <f>Table2[[#This Row],[cases]]*100/$T$13</f>
        <v>19020.51282051282</v>
      </c>
      <c r="H42" s="35">
        <f>Table2[[#This Row],[cases]]*100/$T$16</f>
        <v>27474.074074074073</v>
      </c>
      <c r="I42" s="35">
        <f>Table2[[#This Row],[infection count, high end of estimate range]]-Table2[[#This Row],[infection count, low end of estimate range]]</f>
        <v>8453.5612535612527</v>
      </c>
      <c r="J42" s="35">
        <f>(Table2[[#This Row],[infection count, low end of estimate range]]+Table2[[#This Row],[infection count, high end of estimate range]])/2</f>
        <v>23247.293447293447</v>
      </c>
      <c r="K42" s="26">
        <f>Table2[[#This Row],[estimated infections]]/$T$6</f>
        <v>4.7734380117787703E-2</v>
      </c>
      <c r="L42" s="27">
        <f>Table2[[#This Row],[infection count, low end of estimate range]]/$T$6</f>
        <v>4.0390629330435752E-2</v>
      </c>
      <c r="M42" s="27">
        <f>Table2[[#This Row],[infection count, high end of estimate range]]/$T$6</f>
        <v>5.8342020143962746E-2</v>
      </c>
      <c r="N42" s="15">
        <f>Table2[[#This Row],[infection percentage, high end of estimate range]]-Table2[[#This Row],[infection percentage, low end of estimate range]]</f>
        <v>1.7951390813526993E-2</v>
      </c>
      <c r="O42" s="27">
        <f>(Table2[[#This Row],[infection percentage, low end of estimate range]]+Table2[[#This Row],[infection percentage, high end of estimate range]])/2</f>
        <v>4.9366324737199249E-2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>
      <c r="A43" s="91">
        <v>43951</v>
      </c>
      <c r="B43" s="88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22696.969696969696</v>
      </c>
      <c r="G43" s="35">
        <f>Table2[[#This Row],[cases]]*100/$T$13</f>
        <v>19205.128205128207</v>
      </c>
      <c r="H43" s="35">
        <f>Table2[[#This Row],[cases]]*100/$T$16</f>
        <v>27740.740740740741</v>
      </c>
      <c r="I43" s="35">
        <f>Table2[[#This Row],[infection count, high end of estimate range]]-Table2[[#This Row],[infection count, low end of estimate range]]</f>
        <v>8535.612535612534</v>
      </c>
      <c r="J43" s="35">
        <f>(Table2[[#This Row],[infection count, low end of estimate range]]+Table2[[#This Row],[infection count, high end of estimate range]])/2</f>
        <v>23472.934472934474</v>
      </c>
      <c r="K43" s="26">
        <f>Table2[[#This Row],[estimated infections]]/$T$6</f>
        <v>4.8197695751176849E-2</v>
      </c>
      <c r="L43" s="27">
        <f>Table2[[#This Row],[infection count, low end of estimate range]]/$T$6</f>
        <v>4.0782665635611184E-2</v>
      </c>
      <c r="M43" s="27">
        <f>Table2[[#This Row],[infection count, high end of estimate range]]/$T$6</f>
        <v>5.890829480699393E-2</v>
      </c>
      <c r="N43" s="15">
        <f>Table2[[#This Row],[infection percentage, high end of estimate range]]-Table2[[#This Row],[infection percentage, low end of estimate range]]</f>
        <v>1.8125629171382746E-2</v>
      </c>
      <c r="O43" s="27">
        <f>(Table2[[#This Row],[infection percentage, low end of estimate range]]+Table2[[#This Row],[infection percentage, high end of estimate range]])/2</f>
        <v>4.9845480221302557E-2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>
      <c r="A44" s="91">
        <v>43952</v>
      </c>
      <c r="B44" s="88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23287.878787878788</v>
      </c>
      <c r="G44" s="35">
        <f>Table2[[#This Row],[cases]]*100/$T$13</f>
        <v>19705.128205128207</v>
      </c>
      <c r="H44" s="35">
        <f>Table2[[#This Row],[cases]]*100/$T$16</f>
        <v>28462.962962962964</v>
      </c>
      <c r="I44" s="35">
        <f>Table2[[#This Row],[infection count, high end of estimate range]]-Table2[[#This Row],[infection count, low end of estimate range]]</f>
        <v>8757.8347578347566</v>
      </c>
      <c r="J44" s="35">
        <f>(Table2[[#This Row],[infection count, low end of estimate range]]+Table2[[#This Row],[infection count, high end of estimate range]])/2</f>
        <v>24084.045584045583</v>
      </c>
      <c r="K44" s="26">
        <f>Table2[[#This Row],[estimated infections]]/$T$6</f>
        <v>4.9452508924939138E-2</v>
      </c>
      <c r="L44" s="27">
        <f>Table2[[#This Row],[infection count, low end of estimate range]]/$T$6</f>
        <v>4.1844430628794657E-2</v>
      </c>
      <c r="M44" s="27">
        <f>Table2[[#This Row],[infection count, high end of estimate range]]/$T$6</f>
        <v>6.0441955352703386E-2</v>
      </c>
      <c r="N44" s="15">
        <f>Table2[[#This Row],[infection percentage, high end of estimate range]]-Table2[[#This Row],[infection percentage, low end of estimate range]]</f>
        <v>1.8597524723908729E-2</v>
      </c>
      <c r="O44" s="27">
        <f>(Table2[[#This Row],[infection percentage, low end of estimate range]]+Table2[[#This Row],[infection percentage, high end of estimate range]])/2</f>
        <v>5.1143192990749022E-2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>
      <c r="A45" s="91">
        <v>43953</v>
      </c>
      <c r="B45" s="88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23745.454545454544</v>
      </c>
      <c r="G45" s="35">
        <f>Table2[[#This Row],[cases]]*100/$T$13</f>
        <v>20092.307692307691</v>
      </c>
      <c r="H45" s="35">
        <f>Table2[[#This Row],[cases]]*100/$T$16</f>
        <v>29022.222222222223</v>
      </c>
      <c r="I45" s="35">
        <f>Table2[[#This Row],[infection count, high end of estimate range]]-Table2[[#This Row],[infection count, low end of estimate range]]</f>
        <v>8929.9145299145312</v>
      </c>
      <c r="J45" s="35">
        <f>(Table2[[#This Row],[infection count, low end of estimate range]]+Table2[[#This Row],[infection count, high end of estimate range]])/2</f>
        <v>24557.264957264957</v>
      </c>
      <c r="K45" s="26">
        <f>Table2[[#This Row],[estimated infections]]/$T$6</f>
        <v>5.0424184767185819E-2</v>
      </c>
      <c r="L45" s="27">
        <f>Table2[[#This Row],[infection count, low end of estimate range]]/$T$6</f>
        <v>4.2666617879926462E-2</v>
      </c>
      <c r="M45" s="27">
        <f>Table2[[#This Row],[infection count, high end of estimate range]]/$T$6</f>
        <v>6.1629559159893786E-2</v>
      </c>
      <c r="N45" s="15">
        <f>Table2[[#This Row],[infection percentage, high end of estimate range]]-Table2[[#This Row],[infection percentage, low end of estimate range]]</f>
        <v>1.8962941279967324E-2</v>
      </c>
      <c r="O45" s="27">
        <f>(Table2[[#This Row],[infection percentage, low end of estimate range]]+Table2[[#This Row],[infection percentage, high end of estimate range]])/2</f>
        <v>5.2148088519910124E-2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>
      <c r="A46" s="91">
        <v>43954</v>
      </c>
      <c r="B46" s="88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24024.242424242424</v>
      </c>
      <c r="G46" s="35">
        <f>Table2[[#This Row],[cases]]*100/$T$13</f>
        <v>20328.205128205129</v>
      </c>
      <c r="H46" s="35">
        <f>Table2[[#This Row],[cases]]*100/$T$16</f>
        <v>29362.962962962964</v>
      </c>
      <c r="I46" s="35">
        <f>Table2[[#This Row],[infection count, high end of estimate range]]-Table2[[#This Row],[infection count, low end of estimate range]]</f>
        <v>9034.7578347578346</v>
      </c>
      <c r="J46" s="35">
        <f>(Table2[[#This Row],[infection count, low end of estimate range]]+Table2[[#This Row],[infection count, high end of estimate range]])/2</f>
        <v>24845.584045584044</v>
      </c>
      <c r="K46" s="26">
        <f>Table2[[#This Row],[estimated infections]]/$T$6</f>
        <v>5.1016199187627516E-2</v>
      </c>
      <c r="L46" s="27">
        <f>Table2[[#This Row],[infection count, low end of estimate range]]/$T$6</f>
        <v>4.3167553158761744E-2</v>
      </c>
      <c r="M46" s="27">
        <f>Table2[[#This Row],[infection count, high end of estimate range]]/$T$6</f>
        <v>6.2353132340433631E-2</v>
      </c>
      <c r="N46" s="15">
        <f>Table2[[#This Row],[infection percentage, high end of estimate range]]-Table2[[#This Row],[infection percentage, low end of estimate range]]</f>
        <v>1.9185579181671887E-2</v>
      </c>
      <c r="O46" s="27">
        <f>(Table2[[#This Row],[infection percentage, low end of estimate range]]+Table2[[#This Row],[infection percentage, high end of estimate range]])/2</f>
        <v>5.2760342749597691E-2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>
      <c r="A47" s="91">
        <v>43955</v>
      </c>
      <c r="B47" s="88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24745.454545454544</v>
      </c>
      <c r="G47" s="35">
        <f>Table2[[#This Row],[cases]]*100/$T$13</f>
        <v>20938.461538461539</v>
      </c>
      <c r="H47" s="35">
        <f>Table2[[#This Row],[cases]]*100/$T$16</f>
        <v>30244.444444444445</v>
      </c>
      <c r="I47" s="35">
        <f>Table2[[#This Row],[infection count, high end of estimate range]]-Table2[[#This Row],[infection count, low end of estimate range]]</f>
        <v>9305.9829059829062</v>
      </c>
      <c r="J47" s="35">
        <f>(Table2[[#This Row],[infection count, low end of estimate range]]+Table2[[#This Row],[infection count, high end of estimate range]])/2</f>
        <v>25591.452991452992</v>
      </c>
      <c r="K47" s="26">
        <f>Table2[[#This Row],[estimated infections]]/$T$6</f>
        <v>5.2547714753552757E-2</v>
      </c>
      <c r="L47" s="27">
        <f>Table2[[#This Row],[infection count, low end of estimate range]]/$T$6</f>
        <v>4.4463450945313877E-2</v>
      </c>
      <c r="M47" s="27">
        <f>Table2[[#This Row],[infection count, high end of estimate range]]/$T$6</f>
        <v>6.4224984698786708E-2</v>
      </c>
      <c r="N47" s="15">
        <f>Table2[[#This Row],[infection percentage, high end of estimate range]]-Table2[[#This Row],[infection percentage, low end of estimate range]]</f>
        <v>1.9761533753472831E-2</v>
      </c>
      <c r="O47" s="27">
        <f>(Table2[[#This Row],[infection percentage, low end of estimate range]]+Table2[[#This Row],[infection percentage, high end of estimate range]])/2</f>
        <v>5.4344217822050289E-2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>
      <c r="A48" s="91">
        <v>43956</v>
      </c>
      <c r="B48" s="88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25075.757575757576</v>
      </c>
      <c r="G48" s="35">
        <f>Table2[[#This Row],[cases]]*100/$T$13</f>
        <v>21217.948717948719</v>
      </c>
      <c r="H48" s="35">
        <f>Table2[[#This Row],[cases]]*100/$T$16</f>
        <v>30648.14814814815</v>
      </c>
      <c r="I48" s="35">
        <f>Table2[[#This Row],[infection count, high end of estimate range]]-Table2[[#This Row],[infection count, low end of estimate range]]</f>
        <v>9430.1994301994309</v>
      </c>
      <c r="J48" s="35">
        <f>(Table2[[#This Row],[infection count, low end of estimate range]]+Table2[[#This Row],[infection count, high end of estimate range]])/2</f>
        <v>25933.048433048432</v>
      </c>
      <c r="K48" s="26">
        <f>Table2[[#This Row],[estimated infections]]/$T$6</f>
        <v>5.3249123142989116E-2</v>
      </c>
      <c r="L48" s="27">
        <f>Table2[[#This Row],[infection count, low end of estimate range]]/$T$6</f>
        <v>4.5056950351760022E-2</v>
      </c>
      <c r="M48" s="27">
        <f>Table2[[#This Row],[infection count, high end of estimate range]]/$T$6</f>
        <v>6.5082261619208923E-2</v>
      </c>
      <c r="N48" s="15">
        <f>Table2[[#This Row],[infection percentage, high end of estimate range]]-Table2[[#This Row],[infection percentage, low end of estimate range]]</f>
        <v>2.00253112674489E-2</v>
      </c>
      <c r="O48" s="27">
        <f>(Table2[[#This Row],[infection percentage, low end of estimate range]]+Table2[[#This Row],[infection percentage, high end of estimate range]])/2</f>
        <v>5.5069605985484472E-2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>
      <c r="A49" s="91">
        <v>43957</v>
      </c>
      <c r="B49" s="88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25412.121212121212</v>
      </c>
      <c r="G49" s="35">
        <f>Table2[[#This Row],[cases]]*100/$T$13</f>
        <v>21502.564102564102</v>
      </c>
      <c r="H49" s="35">
        <f>Table2[[#This Row],[cases]]*100/$T$16</f>
        <v>31059.259259259259</v>
      </c>
      <c r="I49" s="35">
        <f>Table2[[#This Row],[infection count, high end of estimate range]]-Table2[[#This Row],[infection count, low end of estimate range]]</f>
        <v>9556.6951566951575</v>
      </c>
      <c r="J49" s="35">
        <f>(Table2[[#This Row],[infection count, low end of estimate range]]+Table2[[#This Row],[infection count, high end of estimate range]])/2</f>
        <v>26280.911680911682</v>
      </c>
      <c r="K49" s="26">
        <f>Table2[[#This Row],[estimated infections]]/$T$6</f>
        <v>5.3963401411130721E-2</v>
      </c>
      <c r="L49" s="27">
        <f>Table2[[#This Row],[infection count, low end of estimate range]]/$T$6</f>
        <v>4.5661339655572147E-2</v>
      </c>
      <c r="M49" s="27">
        <f>Table2[[#This Row],[infection count, high end of estimate range]]/$T$6</f>
        <v>6.5955268391381994E-2</v>
      </c>
      <c r="N49" s="15">
        <f>Table2[[#This Row],[infection percentage, high end of estimate range]]-Table2[[#This Row],[infection percentage, low end of estimate range]]</f>
        <v>2.0293928735809846E-2</v>
      </c>
      <c r="O49" s="27">
        <f>(Table2[[#This Row],[infection percentage, low end of estimate range]]+Table2[[#This Row],[infection percentage, high end of estimate range]])/2</f>
        <v>5.5808304023477071E-2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>
      <c r="A50" s="91">
        <v>43958</v>
      </c>
      <c r="B50" s="88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25854.545454545456</v>
      </c>
      <c r="G50" s="35">
        <f>Table2[[#This Row],[cases]]*100/$T$13</f>
        <v>21876.923076923078</v>
      </c>
      <c r="H50" s="35">
        <f>Table2[[#This Row],[cases]]*100/$T$16</f>
        <v>31600</v>
      </c>
      <c r="I50" s="35">
        <f>Table2[[#This Row],[infection count, high end of estimate range]]-Table2[[#This Row],[infection count, low end of estimate range]]</f>
        <v>9723.076923076922</v>
      </c>
      <c r="J50" s="35">
        <f>(Table2[[#This Row],[infection count, low end of estimate range]]+Table2[[#This Row],[infection count, high end of estimate range]])/2</f>
        <v>26738.461538461539</v>
      </c>
      <c r="K50" s="26">
        <f>Table2[[#This Row],[estimated infections]]/$T$6</f>
        <v>5.4902902556614279E-2</v>
      </c>
      <c r="L50" s="27">
        <f>Table2[[#This Row],[infection count, low end of estimate range]]/$T$6</f>
        <v>4.6456302163289005E-2</v>
      </c>
      <c r="M50" s="27">
        <f>Table2[[#This Row],[infection count, high end of estimate range]]/$T$6</f>
        <v>6.7103547569195218E-2</v>
      </c>
      <c r="N50" s="15">
        <f>Table2[[#This Row],[infection percentage, high end of estimate range]]-Table2[[#This Row],[infection percentage, low end of estimate range]]</f>
        <v>2.0647245405906213E-2</v>
      </c>
      <c r="O50" s="27">
        <f>(Table2[[#This Row],[infection percentage, low end of estimate range]]+Table2[[#This Row],[infection percentage, high end of estimate range]])/2</f>
        <v>5.6779924866242115E-2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>
      <c r="A51" s="91">
        <v>43959</v>
      </c>
      <c r="B51" s="88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26042.424242424244</v>
      </c>
      <c r="G51" s="35">
        <f>Table2[[#This Row],[cases]]*100/$T$13</f>
        <v>22035.897435897437</v>
      </c>
      <c r="H51" s="35">
        <f>Table2[[#This Row],[cases]]*100/$T$16</f>
        <v>31829.629629629631</v>
      </c>
      <c r="I51" s="35">
        <f>Table2[[#This Row],[infection count, high end of estimate range]]-Table2[[#This Row],[infection count, low end of estimate range]]</f>
        <v>9793.732193732194</v>
      </c>
      <c r="J51" s="35">
        <f>(Table2[[#This Row],[infection count, low end of estimate range]]+Table2[[#This Row],[infection count, high end of estimate range]])/2</f>
        <v>26932.763532763536</v>
      </c>
      <c r="K51" s="26">
        <f>Table2[[#This Row],[estimated infections]]/$T$6</f>
        <v>5.5301868796477159E-2</v>
      </c>
      <c r="L51" s="27">
        <f>Table2[[#This Row],[infection count, low end of estimate range]]/$T$6</f>
        <v>4.6793888981634515E-2</v>
      </c>
      <c r="M51" s="27">
        <f>Table2[[#This Row],[infection count, high end of estimate range]]/$T$6</f>
        <v>6.7591172973472086E-2</v>
      </c>
      <c r="N51" s="15">
        <f>Table2[[#This Row],[infection percentage, high end of estimate range]]-Table2[[#This Row],[infection percentage, low end of estimate range]]</f>
        <v>2.079728399183757E-2</v>
      </c>
      <c r="O51" s="27">
        <f>(Table2[[#This Row],[infection percentage, low end of estimate range]]+Table2[[#This Row],[infection percentage, high end of estimate range]])/2</f>
        <v>5.7192530977553301E-2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>
      <c r="A52" s="91">
        <v>43960</v>
      </c>
      <c r="B52" s="88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26409.090909090908</v>
      </c>
      <c r="G52" s="35">
        <f>Table2[[#This Row],[cases]]*100/$T$13</f>
        <v>22346.153846153848</v>
      </c>
      <c r="H52" s="35">
        <f>Table2[[#This Row],[cases]]*100/$T$16</f>
        <v>32277.777777777777</v>
      </c>
      <c r="I52" s="35">
        <f>Table2[[#This Row],[infection count, high end of estimate range]]-Table2[[#This Row],[infection count, low end of estimate range]]</f>
        <v>9931.6239316239298</v>
      </c>
      <c r="J52" s="35">
        <f>(Table2[[#This Row],[infection count, low end of estimate range]]+Table2[[#This Row],[infection count, high end of estimate range]])/2</f>
        <v>27311.965811965812</v>
      </c>
      <c r="K52" s="26">
        <f>Table2[[#This Row],[estimated infections]]/$T$6</f>
        <v>5.6080496458145029E-2</v>
      </c>
      <c r="L52" s="27">
        <f>Table2[[#This Row],[infection count, low end of estimate range]]/$T$6</f>
        <v>4.7452727772276569E-2</v>
      </c>
      <c r="M52" s="27">
        <f>Table2[[#This Row],[infection count, high end of estimate range]]/$T$6</f>
        <v>6.854282900439948E-2</v>
      </c>
      <c r="N52" s="15">
        <f>Table2[[#This Row],[infection percentage, high end of estimate range]]-Table2[[#This Row],[infection percentage, low end of estimate range]]</f>
        <v>2.1090101232122911E-2</v>
      </c>
      <c r="O52" s="27">
        <f>(Table2[[#This Row],[infection percentage, low end of estimate range]]+Table2[[#This Row],[infection percentage, high end of estimate range]])/2</f>
        <v>5.7997778388338028E-2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>
      <c r="A53" s="91">
        <v>43961</v>
      </c>
      <c r="B53" s="88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26736.363636363636</v>
      </c>
      <c r="G53" s="35">
        <f>Table2[[#This Row],[cases]]*100/$T$13</f>
        <v>22623.076923076922</v>
      </c>
      <c r="H53" s="35">
        <f>Table2[[#This Row],[cases]]*100/$T$16</f>
        <v>32677.777777777777</v>
      </c>
      <c r="I53" s="35">
        <f>Table2[[#This Row],[infection count, high end of estimate range]]-Table2[[#This Row],[infection count, low end of estimate range]]</f>
        <v>10054.700854700855</v>
      </c>
      <c r="J53" s="35">
        <f>(Table2[[#This Row],[infection count, low end of estimate range]]+Table2[[#This Row],[infection count, high end of estimate range]])/2</f>
        <v>27650.427350427351</v>
      </c>
      <c r="K53" s="26">
        <f>Table2[[#This Row],[estimated infections]]/$T$6</f>
        <v>5.6775469908228758E-2</v>
      </c>
      <c r="L53" s="27">
        <f>Table2[[#This Row],[infection count, low end of estimate range]]/$T$6</f>
        <v>4.8040782230039714E-2</v>
      </c>
      <c r="M53" s="27">
        <f>Table2[[#This Row],[infection count, high end of estimate range]]/$T$6</f>
        <v>6.9392240998946253E-2</v>
      </c>
      <c r="N53" s="15">
        <f>Table2[[#This Row],[infection percentage, high end of estimate range]]-Table2[[#This Row],[infection percentage, low end of estimate range]]</f>
        <v>2.1351458768906539E-2</v>
      </c>
      <c r="O53" s="27">
        <f>(Table2[[#This Row],[infection percentage, low end of estimate range]]+Table2[[#This Row],[infection percentage, high end of estimate range]])/2</f>
        <v>5.8716511614492983E-2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>
      <c r="A54" s="91">
        <v>43962</v>
      </c>
      <c r="B54" s="88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26887.878787878788</v>
      </c>
      <c r="G54" s="35">
        <f>Table2[[#This Row],[cases]]*100/$T$13</f>
        <v>22751.282051282051</v>
      </c>
      <c r="H54" s="35">
        <f>Table2[[#This Row],[cases]]*100/$T$16</f>
        <v>32862.962962962964</v>
      </c>
      <c r="I54" s="35">
        <f>Table2[[#This Row],[infection count, high end of estimate range]]-Table2[[#This Row],[infection count, low end of estimate range]]</f>
        <v>10111.680911680913</v>
      </c>
      <c r="J54" s="35">
        <f>(Table2[[#This Row],[infection count, low end of estimate range]]+Table2[[#This Row],[infection count, high end of estimate range]])/2</f>
        <v>27807.122507122505</v>
      </c>
      <c r="K54" s="26">
        <f>Table2[[#This Row],[estimated infections]]/$T$6</f>
        <v>5.7097216875860113E-2</v>
      </c>
      <c r="L54" s="27">
        <f>Table2[[#This Row],[infection count, low end of estimate range]]/$T$6</f>
        <v>4.8313029664189322E-2</v>
      </c>
      <c r="M54" s="27">
        <f>Table2[[#This Row],[infection count, high end of estimate range]]/$T$6</f>
        <v>6.9785487292717913E-2</v>
      </c>
      <c r="N54" s="15">
        <f>Table2[[#This Row],[infection percentage, high end of estimate range]]-Table2[[#This Row],[infection percentage, low end of estimate range]]</f>
        <v>2.1472457628528591E-2</v>
      </c>
      <c r="O54" s="27">
        <f>(Table2[[#This Row],[infection percentage, low end of estimate range]]+Table2[[#This Row],[infection percentage, high end of estimate range]])/2</f>
        <v>5.9049258478453617E-2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>
      <c r="A55" s="91">
        <v>43963</v>
      </c>
      <c r="B55" s="88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27318.18181818182</v>
      </c>
      <c r="G55" s="35">
        <f>Table2[[#This Row],[cases]]*100/$T$13</f>
        <v>23115.384615384617</v>
      </c>
      <c r="H55" s="35">
        <f>Table2[[#This Row],[cases]]*100/$T$16</f>
        <v>33388.888888888891</v>
      </c>
      <c r="I55" s="35">
        <f>Table2[[#This Row],[infection count, high end of estimate range]]-Table2[[#This Row],[infection count, low end of estimate range]]</f>
        <v>10273.504273504273</v>
      </c>
      <c r="J55" s="35">
        <f>(Table2[[#This Row],[infection count, low end of estimate range]]+Table2[[#This Row],[infection count, high end of estimate range]])/2</f>
        <v>28252.136752136754</v>
      </c>
      <c r="K55" s="26">
        <f>Table2[[#This Row],[estimated infections]]/$T$6</f>
        <v>5.8010978263933158E-2</v>
      </c>
      <c r="L55" s="27">
        <f>Table2[[#This Row],[infection count, low end of estimate range]]/$T$6</f>
        <v>4.9086212377174213E-2</v>
      </c>
      <c r="M55" s="27">
        <f>Table2[[#This Row],[infection count, high end of estimate range]]/$T$6</f>
        <v>7.090230676702941E-2</v>
      </c>
      <c r="N55" s="15">
        <f>Table2[[#This Row],[infection percentage, high end of estimate range]]-Table2[[#This Row],[infection percentage, low end of estimate range]]</f>
        <v>2.1816094389855198E-2</v>
      </c>
      <c r="O55" s="27">
        <f>(Table2[[#This Row],[infection percentage, low end of estimate range]]+Table2[[#This Row],[infection percentage, high end of estimate range]])/2</f>
        <v>5.9994259572101812E-2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>
      <c r="A56" s="91">
        <v>43964</v>
      </c>
      <c r="B56" s="88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27487.878787878788</v>
      </c>
      <c r="G56" s="35">
        <f>Table2[[#This Row],[cases]]*100/$T$13</f>
        <v>23258.974358974359</v>
      </c>
      <c r="H56" s="35">
        <f>Table2[[#This Row],[cases]]*100/$T$16</f>
        <v>33596.296296296299</v>
      </c>
      <c r="I56" s="35">
        <f>Table2[[#This Row],[infection count, high end of estimate range]]-Table2[[#This Row],[infection count, low end of estimate range]]</f>
        <v>10337.32193732194</v>
      </c>
      <c r="J56" s="35">
        <f>(Table2[[#This Row],[infection count, low end of estimate range]]+Table2[[#This Row],[infection count, high end of estimate range]])/2</f>
        <v>28427.635327635329</v>
      </c>
      <c r="K56" s="26">
        <f>Table2[[#This Row],[estimated infections]]/$T$6</f>
        <v>5.8371334867680272E-2</v>
      </c>
      <c r="L56" s="27">
        <f>Table2[[#This Row],[infection count, low end of estimate range]]/$T$6</f>
        <v>4.9391129503421768E-2</v>
      </c>
      <c r="M56" s="27">
        <f>Table2[[#This Row],[infection count, high end of estimate range]]/$T$6</f>
        <v>7.1342742616053667E-2</v>
      </c>
      <c r="N56" s="15">
        <f>Table2[[#This Row],[infection percentage, high end of estimate range]]-Table2[[#This Row],[infection percentage, low end of estimate range]]</f>
        <v>2.1951613112631899E-2</v>
      </c>
      <c r="O56" s="27">
        <f>(Table2[[#This Row],[infection percentage, low end of estimate range]]+Table2[[#This Row],[infection percentage, high end of estimate range]])/2</f>
        <v>6.0366936059737718E-2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>
      <c r="A57" s="91">
        <v>43965</v>
      </c>
      <c r="B57" s="88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27730.303030303032</v>
      </c>
      <c r="G57" s="35">
        <f>Table2[[#This Row],[cases]]*100/$T$13</f>
        <v>23464.102564102563</v>
      </c>
      <c r="H57" s="35">
        <f>Table2[[#This Row],[cases]]*100/$T$16</f>
        <v>33892.592592592591</v>
      </c>
      <c r="I57" s="35">
        <f>Table2[[#This Row],[infection count, high end of estimate range]]-Table2[[#This Row],[infection count, low end of estimate range]]</f>
        <v>10428.490028490029</v>
      </c>
      <c r="J57" s="35">
        <f>(Table2[[#This Row],[infection count, low end of estimate range]]+Table2[[#This Row],[infection count, high end of estimate range]])/2</f>
        <v>28678.347578347577</v>
      </c>
      <c r="K57" s="26">
        <f>Table2[[#This Row],[estimated infections]]/$T$6</f>
        <v>5.8886130015890444E-2</v>
      </c>
      <c r="L57" s="27">
        <f>Table2[[#This Row],[infection count, low end of estimate range]]/$T$6</f>
        <v>4.9826725398061135E-2</v>
      </c>
      <c r="M57" s="27">
        <f>Table2[[#This Row],[infection count, high end of estimate range]]/$T$6</f>
        <v>7.1971936686088311E-2</v>
      </c>
      <c r="N57" s="15">
        <f>Table2[[#This Row],[infection percentage, high end of estimate range]]-Table2[[#This Row],[infection percentage, low end of estimate range]]</f>
        <v>2.2145211288027176E-2</v>
      </c>
      <c r="O57" s="27">
        <f>(Table2[[#This Row],[infection percentage, low end of estimate range]]+Table2[[#This Row],[infection percentage, high end of estimate range]])/2</f>
        <v>6.089933104207472E-2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>
      <c r="A58" s="91">
        <v>43966</v>
      </c>
      <c r="B58" s="88">
        <v>9277</v>
      </c>
      <c r="C58" s="71">
        <f>Table2[[#This Row],[cases]]/$B$2</f>
        <v>1.9699987683526078E-2</v>
      </c>
      <c r="D58" s="26">
        <f>(Table2[[#This Row],[cases]]-B57)/B57</f>
        <v>1.3768986995956725E-2</v>
      </c>
      <c r="E58" s="38">
        <f t="shared" ref="E58:E60" si="16">(LN(2)/LN(B58/B57))</f>
        <v>50.686972970738736</v>
      </c>
      <c r="F58" s="81">
        <f>Table2[[#This Row],[cases]]*100/$T$19</f>
        <v>28112.121212121212</v>
      </c>
      <c r="G58" s="35">
        <f>Table2[[#This Row],[cases]]*100/$T$13</f>
        <v>23787.179487179488</v>
      </c>
      <c r="H58" s="35">
        <f>Table2[[#This Row],[cases]]*100/$T$16</f>
        <v>34359.259259259263</v>
      </c>
      <c r="I58" s="35">
        <f>Table2[[#This Row],[infection count, high end of estimate range]]-Table2[[#This Row],[infection count, low end of estimate range]]</f>
        <v>10572.079772079775</v>
      </c>
      <c r="J58" s="35">
        <f>(Table2[[#This Row],[infection count, low end of estimate range]]+Table2[[#This Row],[infection count, high end of estimate range]])/2</f>
        <v>29073.219373219377</v>
      </c>
      <c r="K58" s="26">
        <f>Table2[[#This Row],[estimated infections]]/$T$6</f>
        <v>5.969693237432145E-2</v>
      </c>
      <c r="L58" s="27">
        <f>Table2[[#This Row],[infection count, low end of estimate range]]/$T$6</f>
        <v>5.0512788932118156E-2</v>
      </c>
      <c r="M58" s="27">
        <f>Table2[[#This Row],[infection count, high end of estimate range]]/$T$6</f>
        <v>7.2962917346392889E-2</v>
      </c>
      <c r="N58" s="15">
        <f>Table2[[#This Row],[infection percentage, high end of estimate range]]-Table2[[#This Row],[infection percentage, low end of estimate range]]</f>
        <v>2.2450128414274732E-2</v>
      </c>
      <c r="O58" s="27">
        <f>(Table2[[#This Row],[infection percentage, low end of estimate range]]+Table2[[#This Row],[infection percentage, high end of estimate range]])/2</f>
        <v>6.1737853139255519E-2</v>
      </c>
      <c r="P58" s="3">
        <f>$T$6/(Table2[[#This Row],[cases]]*5)</f>
        <v>10.152290611188961</v>
      </c>
      <c r="Q58" s="3">
        <f>$T$6/(Table2[[#This Row],[cases]]*7)</f>
        <v>7.2516361508492588</v>
      </c>
      <c r="R58" s="3">
        <f>Table2[[#This Row],[1-in-X odds, estimating 5x cases infected]]-Table2[[#This Row],[1-in-X odds, estimating 7x cases infected]]</f>
        <v>2.9006544603397026</v>
      </c>
      <c r="S58" s="3">
        <f>(Table2[[#This Row],[1-in-X odds, estimating 5x cases infected]]+Table2[[#This Row],[1-in-X odds, estimating 7x cases infected]])/2</f>
        <v>8.7019633810191106</v>
      </c>
      <c r="V58" s="31"/>
    </row>
    <row r="59" spans="1:22">
      <c r="A59" s="91">
        <v>43967</v>
      </c>
      <c r="B59" s="88">
        <v>9444</v>
      </c>
      <c r="C59" s="71">
        <f>Table2[[#This Row],[cases]]/$B$2</f>
        <v>2.0054617191249357E-2</v>
      </c>
      <c r="D59" s="26">
        <f>(Table2[[#This Row],[cases]]-B58)/B58</f>
        <v>1.8001509108548024E-2</v>
      </c>
      <c r="E59" s="38">
        <f t="shared" si="16"/>
        <v>38.850491503432927</v>
      </c>
      <c r="F59" s="81">
        <f>Table2[[#This Row],[cases]]*100/$T$19</f>
        <v>28618.18181818182</v>
      </c>
      <c r="G59" s="35">
        <f>Table2[[#This Row],[cases]]*100/$T$13</f>
        <v>24215.384615384617</v>
      </c>
      <c r="H59" s="35">
        <f>Table2[[#This Row],[cases]]*100/$T$16</f>
        <v>34977.777777777781</v>
      </c>
      <c r="I59" s="35">
        <f>Table2[[#This Row],[infection count, high end of estimate range]]-Table2[[#This Row],[infection count, low end of estimate range]]</f>
        <v>10762.393162393164</v>
      </c>
      <c r="J59" s="35">
        <f>(Table2[[#This Row],[infection count, low end of estimate range]]+Table2[[#This Row],[infection count, high end of estimate range]])/2</f>
        <v>29596.581196581199</v>
      </c>
      <c r="K59" s="26">
        <f>Table2[[#This Row],[estimated infections]]/$T$6</f>
        <v>6.0771567246210176E-2</v>
      </c>
      <c r="L59" s="27">
        <f>Table2[[#This Row],[infection count, low end of estimate range]]/$T$6</f>
        <v>5.1422095362177844E-2</v>
      </c>
      <c r="M59" s="27">
        <f>Table2[[#This Row],[infection count, high end of estimate range]]/$T$6</f>
        <v>7.4276359967590216E-2</v>
      </c>
      <c r="N59" s="15">
        <f>Table2[[#This Row],[infection percentage, high end of estimate range]]-Table2[[#This Row],[infection percentage, low end of estimate range]]</f>
        <v>2.2854264605412372E-2</v>
      </c>
      <c r="O59" s="27">
        <f>(Table2[[#This Row],[infection percentage, low end of estimate range]]+Table2[[#This Row],[infection percentage, high end of estimate range]])/2</f>
        <v>6.284922766488403E-2</v>
      </c>
      <c r="P59" s="3">
        <f>$T$6/(Table2[[#This Row],[cases]]*5)</f>
        <v>9.9727657772130449</v>
      </c>
      <c r="Q59" s="3">
        <f>$T$6/(Table2[[#This Row],[cases]]*7)</f>
        <v>7.1234041265807466</v>
      </c>
      <c r="R59" s="3">
        <f>Table2[[#This Row],[1-in-X odds, estimating 5x cases infected]]-Table2[[#This Row],[1-in-X odds, estimating 7x cases infected]]</f>
        <v>2.8493616506322983</v>
      </c>
      <c r="S59" s="3">
        <f>(Table2[[#This Row],[1-in-X odds, estimating 5x cases infected]]+Table2[[#This Row],[1-in-X odds, estimating 7x cases infected]])/2</f>
        <v>8.5480849518968967</v>
      </c>
      <c r="V59" s="31"/>
    </row>
    <row r="60" spans="1:22">
      <c r="A60" s="91">
        <v>43968</v>
      </c>
      <c r="B60" s="88">
        <v>9589</v>
      </c>
      <c r="C60" s="71">
        <f>Table2[[#This Row],[cases]]/$B$2</f>
        <v>2.0362529039272565E-2</v>
      </c>
      <c r="D60" s="26">
        <f>(Table2[[#This Row],[cases]]-B59)/B59</f>
        <v>1.5353663701821263E-2</v>
      </c>
      <c r="E60" s="38">
        <f t="shared" si="16"/>
        <v>45.491086389368192</v>
      </c>
      <c r="F60" s="81">
        <f>Table2[[#This Row],[cases]]*100/$T$19</f>
        <v>29057.575757575756</v>
      </c>
      <c r="G60" s="35">
        <f>Table2[[#This Row],[cases]]*100/$T$13</f>
        <v>24587.179487179488</v>
      </c>
      <c r="H60" s="35">
        <f>Table2[[#This Row],[cases]]*100/$T$16</f>
        <v>35514.814814814818</v>
      </c>
      <c r="I60" s="35">
        <f>Table2[[#This Row],[infection count, high end of estimate range]]-Table2[[#This Row],[infection count, low end of estimate range]]</f>
        <v>10927.635327635329</v>
      </c>
      <c r="J60" s="35">
        <f>(Table2[[#This Row],[infection count, low end of estimate range]]+Table2[[#This Row],[infection count, high end of estimate range]])/2</f>
        <v>30050.997150997151</v>
      </c>
      <c r="K60" s="26">
        <f>Table2[[#This Row],[estimated infections]]/$T$6</f>
        <v>6.1704633452341097E-2</v>
      </c>
      <c r="L60" s="27">
        <f>Table2[[#This Row],[infection count, low end of estimate range]]/$T$6</f>
        <v>5.2211612921211702E-2</v>
      </c>
      <c r="M60" s="27">
        <f>Table2[[#This Row],[infection count, high end of estimate range]]/$T$6</f>
        <v>7.5416774219528013E-2</v>
      </c>
      <c r="N60" s="15">
        <f>Table2[[#This Row],[infection percentage, high end of estimate range]]-Table2[[#This Row],[infection percentage, low end of estimate range]]</f>
        <v>2.3205161298316311E-2</v>
      </c>
      <c r="O60" s="27">
        <f>(Table2[[#This Row],[infection percentage, low end of estimate range]]+Table2[[#This Row],[infection percentage, high end of estimate range]])/2</f>
        <v>6.3814193570369854E-2</v>
      </c>
      <c r="P60" s="3">
        <f>$T$6/(Table2[[#This Row],[cases]]*5)</f>
        <v>9.8219626655542811</v>
      </c>
      <c r="Q60" s="3">
        <f>$T$6/(Table2[[#This Row],[cases]]*7)</f>
        <v>7.0156876182530574</v>
      </c>
      <c r="R60" s="3">
        <f>Table2[[#This Row],[1-in-X odds, estimating 5x cases infected]]-Table2[[#This Row],[1-in-X odds, estimating 7x cases infected]]</f>
        <v>2.8062750473012237</v>
      </c>
      <c r="S60" s="3">
        <f>(Table2[[#This Row],[1-in-X odds, estimating 5x cases infected]]+Table2[[#This Row],[1-in-X odds, estimating 7x cases infected]])/2</f>
        <v>8.4188251419036693</v>
      </c>
      <c r="V60" s="31"/>
    </row>
    <row r="61" spans="1:22">
      <c r="A61" s="91">
        <v>43969</v>
      </c>
      <c r="B61" s="88">
        <v>9708</v>
      </c>
      <c r="C61" s="71">
        <f>Table2[[#This Row],[cases]]/$B$2</f>
        <v>2.0615229107650228E-2</v>
      </c>
      <c r="D61" s="26">
        <f>(Table2[[#This Row],[cases]]-B60)/B60</f>
        <v>1.2410053185942226E-2</v>
      </c>
      <c r="E61" s="38">
        <f t="shared" ref="E61:E62" si="17">(LN(2)/LN(B61/B60))</f>
        <v>56.199544485007138</v>
      </c>
      <c r="F61" s="81">
        <f>Table2[[#This Row],[cases]]*100/$T$19</f>
        <v>29418.18181818182</v>
      </c>
      <c r="G61" s="35">
        <f>Table2[[#This Row],[cases]]*100/$T$13</f>
        <v>24892.307692307691</v>
      </c>
      <c r="H61" s="35">
        <f>Table2[[#This Row],[cases]]*100/$T$16</f>
        <v>35955.555555555555</v>
      </c>
      <c r="I61" s="35">
        <f>Table2[[#This Row],[infection count, high end of estimate range]]-Table2[[#This Row],[infection count, low end of estimate range]]</f>
        <v>11063.247863247863</v>
      </c>
      <c r="J61" s="35">
        <f>(Table2[[#This Row],[infection count, low end of estimate range]]+Table2[[#This Row],[infection count, high end of estimate range]])/2</f>
        <v>30423.931623931625</v>
      </c>
      <c r="K61" s="26">
        <f>Table2[[#This Row],[estimated infections]]/$T$6</f>
        <v>6.2470391235303728E-2</v>
      </c>
      <c r="L61" s="27">
        <f>Table2[[#This Row],[infection count, low end of estimate range]]/$T$6</f>
        <v>5.2859561814487768E-2</v>
      </c>
      <c r="M61" s="27">
        <f>Table2[[#This Row],[infection count, high end of estimate range]]/$T$6</f>
        <v>7.6352700398704551E-2</v>
      </c>
      <c r="N61" s="15">
        <f>Table2[[#This Row],[infection percentage, high end of estimate range]]-Table2[[#This Row],[infection percentage, low end of estimate range]]</f>
        <v>2.3493138584216783E-2</v>
      </c>
      <c r="O61" s="27">
        <f>(Table2[[#This Row],[infection percentage, low end of estimate range]]+Table2[[#This Row],[infection percentage, high end of estimate range]])/2</f>
        <v>6.460613110659616E-2</v>
      </c>
      <c r="P61" s="3">
        <f>$T$6/(Table2[[#This Row],[cases]]*5)</f>
        <v>9.7015657189946438</v>
      </c>
      <c r="Q61" s="3">
        <f>$T$6/(Table2[[#This Row],[cases]]*7)</f>
        <v>6.9296897992818884</v>
      </c>
      <c r="R61" s="3">
        <f>Table2[[#This Row],[1-in-X odds, estimating 5x cases infected]]-Table2[[#This Row],[1-in-X odds, estimating 7x cases infected]]</f>
        <v>2.7718759197127554</v>
      </c>
      <c r="S61" s="3">
        <f>(Table2[[#This Row],[1-in-X odds, estimating 5x cases infected]]+Table2[[#This Row],[1-in-X odds, estimating 7x cases infected]])/2</f>
        <v>8.3156277591382661</v>
      </c>
      <c r="V61" s="31"/>
    </row>
    <row r="62" spans="1:22">
      <c r="A62" s="91">
        <v>43970</v>
      </c>
      <c r="B62" s="88">
        <v>9752</v>
      </c>
      <c r="C62" s="71">
        <f>Table2[[#This Row],[cases]]/$B$2</f>
        <v>2.0708664427050376E-2</v>
      </c>
      <c r="D62" s="26">
        <f>(Table2[[#This Row],[cases]]-B61)/B61</f>
        <v>4.5323444581788219E-3</v>
      </c>
      <c r="E62" s="38">
        <f t="shared" si="17"/>
        <v>153.27978576692436</v>
      </c>
      <c r="F62" s="81">
        <f>Table2[[#This Row],[cases]]*100/$T$19</f>
        <v>29551.515151515152</v>
      </c>
      <c r="G62" s="35">
        <f>Table2[[#This Row],[cases]]*100/$T$13</f>
        <v>25005.128205128207</v>
      </c>
      <c r="H62" s="35">
        <f>Table2[[#This Row],[cases]]*100/$T$16</f>
        <v>36118.518518518518</v>
      </c>
      <c r="I62" s="35">
        <f>Table2[[#This Row],[infection count, high end of estimate range]]-Table2[[#This Row],[infection count, low end of estimate range]]</f>
        <v>11113.390313390311</v>
      </c>
      <c r="J62" s="35">
        <f>(Table2[[#This Row],[infection count, low end of estimate range]]+Table2[[#This Row],[infection count, high end of estimate range]])/2</f>
        <v>30561.823361823364</v>
      </c>
      <c r="K62" s="26">
        <f>Table2[[#This Row],[estimated infections]]/$T$6</f>
        <v>6.2753528566819317E-2</v>
      </c>
      <c r="L62" s="27">
        <f>Table2[[#This Row],[infection count, low end of estimate range]]/$T$6</f>
        <v>5.3099139556539422E-2</v>
      </c>
      <c r="M62" s="27">
        <f>Table2[[#This Row],[infection count, high end of estimate range]]/$T$6</f>
        <v>7.6698757137223614E-2</v>
      </c>
      <c r="N62" s="15">
        <f>Table2[[#This Row],[infection percentage, high end of estimate range]]-Table2[[#This Row],[infection percentage, low end of estimate range]]</f>
        <v>2.3599617580684192E-2</v>
      </c>
      <c r="O62" s="27">
        <f>(Table2[[#This Row],[infection percentage, low end of estimate range]]+Table2[[#This Row],[infection percentage, high end of estimate range]])/2</f>
        <v>6.4898948346881521E-2</v>
      </c>
      <c r="P62" s="3">
        <f>$T$6/(Table2[[#This Row],[cases]]*5)</f>
        <v>9.6577932731747342</v>
      </c>
      <c r="Q62" s="3">
        <f>$T$6/(Table2[[#This Row],[cases]]*7)</f>
        <v>6.898423766553381</v>
      </c>
      <c r="R62" s="3">
        <f>Table2[[#This Row],[1-in-X odds, estimating 5x cases infected]]-Table2[[#This Row],[1-in-X odds, estimating 7x cases infected]]</f>
        <v>2.7593695066213533</v>
      </c>
      <c r="S62" s="3">
        <f>(Table2[[#This Row],[1-in-X odds, estimating 5x cases infected]]+Table2[[#This Row],[1-in-X odds, estimating 7x cases infected]])/2</f>
        <v>8.2781085198640572</v>
      </c>
      <c r="V62" s="31"/>
    </row>
    <row r="63" spans="1:22">
      <c r="A63" s="91">
        <v>43971</v>
      </c>
      <c r="B63" s="88">
        <v>9801</v>
      </c>
      <c r="C63" s="71">
        <f>Table2[[#This Row],[cases]]/$B$2</f>
        <v>2.0812717396382355E-2</v>
      </c>
      <c r="D63" s="26">
        <f>(Table2[[#This Row],[cases]]-B62)/B62</f>
        <v>5.0246103363412635E-3</v>
      </c>
      <c r="E63" s="38">
        <f t="shared" ref="E63:E66" si="18">(LN(2)/LN(B63/B62))</f>
        <v>138.29671887650707</v>
      </c>
      <c r="F63" s="81">
        <f>Table2[[#This Row],[cases]]*100/$T$19</f>
        <v>29700</v>
      </c>
      <c r="G63" s="35">
        <f>Table2[[#This Row],[cases]]*100/$T$13</f>
        <v>25130.76923076923</v>
      </c>
      <c r="H63" s="35">
        <f>Table2[[#This Row],[cases]]*100/$T$16</f>
        <v>36300</v>
      </c>
      <c r="I63" s="35">
        <f>Table2[[#This Row],[infection count, high end of estimate range]]-Table2[[#This Row],[infection count, low end of estimate range]]</f>
        <v>11169.23076923077</v>
      </c>
      <c r="J63" s="35">
        <f>(Table2[[#This Row],[infection count, low end of estimate range]]+Table2[[#This Row],[infection count, high end of estimate range]])/2</f>
        <v>30715.384615384617</v>
      </c>
      <c r="K63" s="26">
        <f>Table2[[#This Row],[estimated infections]]/$T$6</f>
        <v>6.3068840595098041E-2</v>
      </c>
      <c r="L63" s="27">
        <f>Table2[[#This Row],[infection count, low end of estimate range]]/$T$6</f>
        <v>5.3365942042006037E-2</v>
      </c>
      <c r="M63" s="27">
        <f>Table2[[#This Row],[infection count, high end of estimate range]]/$T$6</f>
        <v>7.7084138505119831E-2</v>
      </c>
      <c r="N63" s="15">
        <f>Table2[[#This Row],[infection percentage, high end of estimate range]]-Table2[[#This Row],[infection percentage, low end of estimate range]]</f>
        <v>2.3718196463113794E-2</v>
      </c>
      <c r="O63" s="27">
        <f>(Table2[[#This Row],[infection percentage, low end of estimate range]]+Table2[[#This Row],[infection percentage, high end of estimate range]])/2</f>
        <v>6.5225040273562934E-2</v>
      </c>
      <c r="P63" s="3">
        <f>$T$6/(Table2[[#This Row],[cases]]*5)</f>
        <v>9.6095092337516572</v>
      </c>
      <c r="Q63" s="3">
        <f>$T$6/(Table2[[#This Row],[cases]]*7)</f>
        <v>6.8639351669654696</v>
      </c>
      <c r="R63" s="3">
        <f>Table2[[#This Row],[1-in-X odds, estimating 5x cases infected]]-Table2[[#This Row],[1-in-X odds, estimating 7x cases infected]]</f>
        <v>2.7455740667861877</v>
      </c>
      <c r="S63" s="3">
        <f>(Table2[[#This Row],[1-in-X odds, estimating 5x cases infected]]+Table2[[#This Row],[1-in-X odds, estimating 7x cases infected]])/2</f>
        <v>8.2367222003585638</v>
      </c>
      <c r="V63" s="31"/>
    </row>
    <row r="64" spans="1:22">
      <c r="A64" s="91">
        <v>43972</v>
      </c>
      <c r="B64" s="88">
        <v>9979</v>
      </c>
      <c r="C64" s="71">
        <f>Table2[[#This Row],[cases]]/$B$2</f>
        <v>2.1190705733955668E-2</v>
      </c>
      <c r="D64" s="26">
        <f>(Table2[[#This Row],[cases]]-B63)/B63</f>
        <v>1.8161412100806039E-2</v>
      </c>
      <c r="E64" s="38">
        <f t="shared" si="18"/>
        <v>38.511463832788742</v>
      </c>
      <c r="F64" s="81">
        <f>Table2[[#This Row],[cases]]*100/$T$19</f>
        <v>30239.39393939394</v>
      </c>
      <c r="G64" s="35">
        <f>Table2[[#This Row],[cases]]*100/$T$13</f>
        <v>25587.179487179488</v>
      </c>
      <c r="H64" s="35">
        <f>Table2[[#This Row],[cases]]*100/$T$16</f>
        <v>36959.259259259263</v>
      </c>
      <c r="I64" s="35">
        <f>Table2[[#This Row],[infection count, high end of estimate range]]-Table2[[#This Row],[infection count, low end of estimate range]]</f>
        <v>11372.079772079775</v>
      </c>
      <c r="J64" s="35">
        <f>(Table2[[#This Row],[infection count, low end of estimate range]]+Table2[[#This Row],[infection count, high end of estimate range]])/2</f>
        <v>31273.219373219377</v>
      </c>
      <c r="K64" s="26">
        <f>Table2[[#This Row],[estimated infections]]/$T$6</f>
        <v>6.4214259799865669E-2</v>
      </c>
      <c r="L64" s="27">
        <f>Table2[[#This Row],[infection count, low end of estimate range]]/$T$6</f>
        <v>5.433514290757864E-2</v>
      </c>
      <c r="M64" s="27">
        <f>Table2[[#This Row],[infection count, high end of estimate range]]/$T$6</f>
        <v>7.8484095310946925E-2</v>
      </c>
      <c r="N64" s="15">
        <f>Table2[[#This Row],[infection percentage, high end of estimate range]]-Table2[[#This Row],[infection percentage, low end of estimate range]]</f>
        <v>2.4148952403368285E-2</v>
      </c>
      <c r="O64" s="27">
        <f>(Table2[[#This Row],[infection percentage, low end of estimate range]]+Table2[[#This Row],[infection percentage, high end of estimate range]])/2</f>
        <v>6.6409619109262782E-2</v>
      </c>
      <c r="P64" s="3">
        <f>$T$6/(Table2[[#This Row],[cases]]*5)</f>
        <v>9.4381000100210439</v>
      </c>
      <c r="Q64" s="3">
        <f>$T$6/(Table2[[#This Row],[cases]]*7)</f>
        <v>6.7415000071578888</v>
      </c>
      <c r="R64" s="3">
        <f>Table2[[#This Row],[1-in-X odds, estimating 5x cases infected]]-Table2[[#This Row],[1-in-X odds, estimating 7x cases infected]]</f>
        <v>2.6966000028631552</v>
      </c>
      <c r="S64" s="3">
        <f>(Table2[[#This Row],[1-in-X odds, estimating 5x cases infected]]+Table2[[#This Row],[1-in-X odds, estimating 7x cases infected]])/2</f>
        <v>8.0898000085894672</v>
      </c>
      <c r="V64" s="31"/>
    </row>
    <row r="65" spans="1:22">
      <c r="A65" s="91">
        <v>43973</v>
      </c>
      <c r="B65" s="88">
        <v>10066</v>
      </c>
      <c r="C65" s="71">
        <f>Table2[[#This Row],[cases]]/$B$2</f>
        <v>2.1375452842769593E-2</v>
      </c>
      <c r="D65" s="26">
        <f>(Table2[[#This Row],[cases]]-B64)/B64</f>
        <v>8.7183084477402539E-3</v>
      </c>
      <c r="E65" s="38">
        <f t="shared" si="18"/>
        <v>79.850850515336333</v>
      </c>
      <c r="F65" s="81">
        <f>Table2[[#This Row],[cases]]*100/$T$19</f>
        <v>30503.030303030304</v>
      </c>
      <c r="G65" s="35">
        <f>Table2[[#This Row],[cases]]*100/$T$13</f>
        <v>25810.25641025641</v>
      </c>
      <c r="H65" s="35">
        <f>Table2[[#This Row],[cases]]*100/$T$16</f>
        <v>37281.481481481482</v>
      </c>
      <c r="I65" s="35">
        <f>Table2[[#This Row],[infection count, high end of estimate range]]-Table2[[#This Row],[infection count, low end of estimate range]]</f>
        <v>11471.225071225072</v>
      </c>
      <c r="J65" s="35">
        <f>(Table2[[#This Row],[infection count, low end of estimate range]]+Table2[[#This Row],[infection count, high end of estimate range]])/2</f>
        <v>31545.868945868948</v>
      </c>
      <c r="K65" s="26">
        <f>Table2[[#This Row],[estimated infections]]/$T$6</f>
        <v>6.4774099523544224E-2</v>
      </c>
      <c r="L65" s="27">
        <f>Table2[[#This Row],[infection count, low end of estimate range]]/$T$6</f>
        <v>5.4808853442998955E-2</v>
      </c>
      <c r="M65" s="27">
        <f>Table2[[#This Row],[infection count, high end of estimate range]]/$T$6</f>
        <v>7.9168343862109608E-2</v>
      </c>
      <c r="N65" s="15">
        <f>Table2[[#This Row],[infection percentage, high end of estimate range]]-Table2[[#This Row],[infection percentage, low end of estimate range]]</f>
        <v>2.4359490419110653E-2</v>
      </c>
      <c r="O65" s="27">
        <f>(Table2[[#This Row],[infection percentage, low end of estimate range]]+Table2[[#This Row],[infection percentage, high end of estimate range]])/2</f>
        <v>6.6988598652554285E-2</v>
      </c>
      <c r="P65" s="3">
        <f>$T$6/(Table2[[#This Row],[cases]]*5)</f>
        <v>9.3565269223127352</v>
      </c>
      <c r="Q65" s="3">
        <f>$T$6/(Table2[[#This Row],[cases]]*7)</f>
        <v>6.6832335159376681</v>
      </c>
      <c r="R65" s="3">
        <f>Table2[[#This Row],[1-in-X odds, estimating 5x cases infected]]-Table2[[#This Row],[1-in-X odds, estimating 7x cases infected]]</f>
        <v>2.6732934063750671</v>
      </c>
      <c r="S65" s="3">
        <f>(Table2[[#This Row],[1-in-X odds, estimating 5x cases infected]]+Table2[[#This Row],[1-in-X odds, estimating 7x cases infected]])/2</f>
        <v>8.0198802191252021</v>
      </c>
      <c r="V65" s="31"/>
    </row>
    <row r="66" spans="1:22">
      <c r="A66" s="91">
        <v>43974</v>
      </c>
      <c r="B66" s="88">
        <v>10154</v>
      </c>
      <c r="C66" s="71">
        <f>Table2[[#This Row],[cases]]/$B$2</f>
        <v>2.1562323481569882E-2</v>
      </c>
      <c r="D66" s="26">
        <f>(Table2[[#This Row],[cases]]-B65)/B65</f>
        <v>8.7423008146234847E-3</v>
      </c>
      <c r="E66" s="38">
        <f t="shared" si="18"/>
        <v>79.632656259409558</v>
      </c>
      <c r="F66" s="81">
        <f>Table2[[#This Row],[cases]]*100/$T$19</f>
        <v>30769.696969696968</v>
      </c>
      <c r="G66" s="35">
        <f>Table2[[#This Row],[cases]]*100/$T$13</f>
        <v>26035.897435897437</v>
      </c>
      <c r="H66" s="35">
        <f>Table2[[#This Row],[cases]]*100/$T$16</f>
        <v>37607.407407407409</v>
      </c>
      <c r="I66" s="35">
        <f>Table2[[#This Row],[infection count, high end of estimate range]]-Table2[[#This Row],[infection count, low end of estimate range]]</f>
        <v>11571.509971509971</v>
      </c>
      <c r="J66" s="35">
        <f>(Table2[[#This Row],[infection count, low end of estimate range]]+Table2[[#This Row],[infection count, high end of estimate range]])/2</f>
        <v>31821.652421652423</v>
      </c>
      <c r="K66" s="26">
        <f>Table2[[#This Row],[estimated infections]]/$T$6</f>
        <v>6.5340374186575401E-2</v>
      </c>
      <c r="L66" s="27">
        <f>Table2[[#This Row],[infection count, low end of estimate range]]/$T$6</f>
        <v>5.528800892710227E-2</v>
      </c>
      <c r="M66" s="27">
        <f>Table2[[#This Row],[infection count, high end of estimate range]]/$T$6</f>
        <v>7.986045733914772E-2</v>
      </c>
      <c r="N66" s="15">
        <f>Table2[[#This Row],[infection percentage, high end of estimate range]]-Table2[[#This Row],[infection percentage, low end of estimate range]]</f>
        <v>2.457244841204545E-2</v>
      </c>
      <c r="O66" s="27">
        <f>(Table2[[#This Row],[infection percentage, low end of estimate range]]+Table2[[#This Row],[infection percentage, high end of estimate range]])/2</f>
        <v>6.7574233133124995E-2</v>
      </c>
      <c r="P66" s="3">
        <f>$T$6/(Table2[[#This Row],[cases]]*5)</f>
        <v>9.2754382509355917</v>
      </c>
      <c r="Q66" s="3">
        <f>$T$6/(Table2[[#This Row],[cases]]*7)</f>
        <v>6.6253130363825656</v>
      </c>
      <c r="R66" s="3">
        <f>Table2[[#This Row],[1-in-X odds, estimating 5x cases infected]]-Table2[[#This Row],[1-in-X odds, estimating 7x cases infected]]</f>
        <v>2.6501252145530261</v>
      </c>
      <c r="S66" s="3">
        <f>(Table2[[#This Row],[1-in-X odds, estimating 5x cases infected]]+Table2[[#This Row],[1-in-X odds, estimating 7x cases infected]])/2</f>
        <v>7.9503756436590791</v>
      </c>
      <c r="V66" s="31"/>
    </row>
    <row r="67" spans="1:22">
      <c r="V67" s="55" t="str">
        <f ca="1">"updated " &amp; TEXT($U6,"MMMM d, yyyy") &amp; ", " &amp; T9</f>
        <v>updated May 23, 2020, evening</v>
      </c>
    </row>
    <row r="68" spans="1:22">
      <c r="U68" s="34" t="s">
        <v>32</v>
      </c>
      <c r="V68" s="36"/>
    </row>
    <row r="69" spans="1:22">
      <c r="U69" s="27">
        <f ca="1">OFFSET(compute!D4,COUNTA(compute!D:D)-1,0)</f>
        <v>8.7423008146234847E-3</v>
      </c>
    </row>
    <row r="70" spans="1:22">
      <c r="V70" s="33" t="s">
        <v>24</v>
      </c>
    </row>
    <row r="71" spans="1:22">
      <c r="V71" s="1" t="str">
        <f ca="1">"There have been " &amp;TEXT( U9,"0") &amp; " confirmed cases of COVID-19 disease in " &amp; B1 &amp; " since the start of the outbreak."</f>
        <v>There have been 10154 confirmed cases of COVID-19 disease in Miami since the start of the outbreak.</v>
      </c>
    </row>
    <row r="73" spans="1:22">
      <c r="V73" s="1" t="str">
        <f ca="1">"Around " &amp;TEXT(ROUND(U12,-3),"#,##0") &amp;" people in " &amp; B1 &amp; " may have already been infected with the SARS-CoV-2 virus."</f>
        <v>Around 31,000 people in Miami may have already been infected with the SARS-CoV-2 virus.</v>
      </c>
    </row>
    <row r="75" spans="1:22">
      <c r="V75" s="1" t="str">
        <f ca="1">"Around " &amp; TEXT(U15,"0.0%") &amp; " of the total population of " &amp; B1 &amp; " may have already been infected with the SARS-CoV-2 virus, based on an estimated population of " &amp; TEXT(T6,"0,000") &amp; "."</f>
        <v>Around 6.5% of the total population of Miami may have already been infected with the SARS-CoV-2 virus, based on an estimated population of 470,914.</v>
      </c>
    </row>
    <row r="77" spans="1:22">
      <c r="V77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8.</v>
      </c>
    </row>
    <row r="79" spans="1:22">
      <c r="V79" s="1" t="str">
        <f ca="1">"doubing in " &amp; TEXT(U21,"0.0") &amp; " days"</f>
        <v>doubing in 79.6 days</v>
      </c>
    </row>
    <row r="81" spans="22:22">
      <c r="V81" s="1" t="str">
        <f ca="1">TEXT(U69, "+0.0%;-0.0%") &amp; " per day"</f>
        <v>+0.9% per day</v>
      </c>
    </row>
    <row r="83" spans="22:22">
      <c r="V83" t="str">
        <f ca="1">"The current rate of increase is " &amp; V81</f>
        <v>The current rate of increase is +0.9%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>
      <c r="A1" s="1" t="s">
        <v>40</v>
      </c>
      <c r="B1" s="1" t="s">
        <v>42</v>
      </c>
    </row>
    <row r="2" spans="1:4" ht="17">
      <c r="A2" s="1" t="s">
        <v>41</v>
      </c>
      <c r="B2" s="57">
        <v>91718</v>
      </c>
    </row>
    <row r="3" spans="1:4">
      <c r="A3" s="1" t="s">
        <v>43</v>
      </c>
      <c r="B3" s="54" t="s">
        <v>34</v>
      </c>
    </row>
    <row r="4" spans="1:4" ht="35" customHeight="1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66"/>
  <sheetViews>
    <sheetView zoomScale="231" workbookViewId="0">
      <selection sqref="A1:A1048576"/>
    </sheetView>
  </sheetViews>
  <sheetFormatPr baseColWidth="10" defaultRowHeight="16"/>
  <cols>
    <col min="1" max="1" width="15.1640625" style="92" customWidth="1"/>
    <col min="2" max="2" width="15" style="33" customWidth="1"/>
  </cols>
  <sheetData>
    <row r="1" spans="1:4">
      <c r="A1" s="89" t="s">
        <v>40</v>
      </c>
      <c r="B1" s="83" t="s">
        <v>42</v>
      </c>
      <c r="C1" s="28"/>
      <c r="D1" s="39"/>
    </row>
    <row r="2" spans="1:4" ht="17">
      <c r="A2" s="89" t="s">
        <v>41</v>
      </c>
      <c r="B2" s="84">
        <v>91718</v>
      </c>
      <c r="C2" s="28"/>
      <c r="D2" s="39"/>
    </row>
    <row r="3" spans="1:4">
      <c r="A3" s="89" t="s">
        <v>43</v>
      </c>
      <c r="B3" s="85" t="s">
        <v>35</v>
      </c>
      <c r="C3" s="28"/>
      <c r="D3" s="39"/>
    </row>
    <row r="4" spans="1:4" ht="52" thickBot="1">
      <c r="A4" s="90" t="s">
        <v>0</v>
      </c>
      <c r="B4" s="5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91">
        <v>43914</v>
      </c>
      <c r="B6" s="86">
        <v>46</v>
      </c>
      <c r="C6" s="26">
        <f>(B6-B5)/B5</f>
        <v>0.39393939393939392</v>
      </c>
      <c r="D6" s="38">
        <f t="shared" si="0"/>
        <v>2.0869514258092652</v>
      </c>
    </row>
    <row r="7" spans="1:4">
      <c r="A7" s="91">
        <v>43915</v>
      </c>
      <c r="B7" s="86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>
      <c r="A8" s="91">
        <v>43916</v>
      </c>
      <c r="B8" s="86">
        <v>76</v>
      </c>
      <c r="C8" s="26">
        <f t="shared" si="1"/>
        <v>0.20634920634920634</v>
      </c>
      <c r="D8" s="38">
        <f t="shared" si="0"/>
        <v>3.6948416950918879</v>
      </c>
    </row>
    <row r="9" spans="1:4">
      <c r="A9" s="91">
        <v>43917</v>
      </c>
      <c r="B9" s="86">
        <v>90</v>
      </c>
      <c r="C9" s="26">
        <f t="shared" si="1"/>
        <v>0.18421052631578946</v>
      </c>
      <c r="D9" s="38">
        <f t="shared" si="0"/>
        <v>4.0996109885980694</v>
      </c>
    </row>
    <row r="10" spans="1:4">
      <c r="A10" s="91">
        <v>43918</v>
      </c>
      <c r="B10" s="86">
        <v>118</v>
      </c>
      <c r="C10" s="26">
        <f t="shared" si="1"/>
        <v>0.31111111111111112</v>
      </c>
      <c r="D10" s="38">
        <f t="shared" si="0"/>
        <v>2.55891942011541</v>
      </c>
    </row>
    <row r="11" spans="1:4">
      <c r="A11" s="91">
        <v>43919</v>
      </c>
      <c r="B11" s="86">
        <v>160</v>
      </c>
      <c r="C11" s="26">
        <f t="shared" si="1"/>
        <v>0.3559322033898305</v>
      </c>
      <c r="D11" s="38">
        <f t="shared" si="0"/>
        <v>2.276426229815518</v>
      </c>
    </row>
    <row r="12" spans="1:4">
      <c r="A12" s="91">
        <v>43920</v>
      </c>
      <c r="B12" s="86">
        <v>197</v>
      </c>
      <c r="C12" s="26">
        <f t="shared" si="1"/>
        <v>0.23125000000000001</v>
      </c>
      <c r="D12" s="38">
        <f t="shared" si="0"/>
        <v>3.3319591826205279</v>
      </c>
    </row>
    <row r="13" spans="1:4">
      <c r="A13" s="91">
        <v>43921</v>
      </c>
      <c r="B13" s="86">
        <v>238</v>
      </c>
      <c r="C13" s="26">
        <f t="shared" si="1"/>
        <v>0.20812182741116753</v>
      </c>
      <c r="D13" s="38">
        <f t="shared" si="0"/>
        <v>3.6661468285944667</v>
      </c>
    </row>
    <row r="14" spans="1:4">
      <c r="A14" s="91">
        <v>43922</v>
      </c>
      <c r="B14" s="86">
        <v>266</v>
      </c>
      <c r="C14" s="26">
        <f t="shared" si="1"/>
        <v>0.11764705882352941</v>
      </c>
      <c r="D14" s="38">
        <f t="shared" si="0"/>
        <v>6.2319013047040608</v>
      </c>
    </row>
    <row r="15" spans="1:4">
      <c r="A15" s="91">
        <v>43923</v>
      </c>
      <c r="B15" s="86">
        <v>294</v>
      </c>
      <c r="C15" s="26">
        <f t="shared" si="1"/>
        <v>0.10526315789473684</v>
      </c>
      <c r="D15" s="38">
        <f t="shared" si="0"/>
        <v>6.9256917232261834</v>
      </c>
    </row>
    <row r="16" spans="1:4">
      <c r="A16" s="91">
        <v>43924</v>
      </c>
      <c r="B16" s="86">
        <v>310</v>
      </c>
      <c r="C16" s="26">
        <f t="shared" si="1"/>
        <v>5.4421768707482991E-2</v>
      </c>
      <c r="D16" s="38">
        <f t="shared" si="0"/>
        <v>13.080092207751859</v>
      </c>
    </row>
    <row r="17" spans="1:4">
      <c r="A17" s="91">
        <v>43925</v>
      </c>
      <c r="B17" s="86">
        <v>347</v>
      </c>
      <c r="C17" s="26">
        <f t="shared" si="1"/>
        <v>0.11935483870967742</v>
      </c>
      <c r="D17" s="38">
        <f t="shared" si="0"/>
        <v>6.1475114816980732</v>
      </c>
    </row>
    <row r="18" spans="1:4">
      <c r="A18" s="91">
        <v>43926</v>
      </c>
      <c r="B18" s="86">
        <v>365</v>
      </c>
      <c r="C18" s="26">
        <f t="shared" si="1"/>
        <v>5.1873198847262249E-2</v>
      </c>
      <c r="D18" s="38">
        <f t="shared" si="0"/>
        <v>13.705989842517504</v>
      </c>
    </row>
    <row r="19" spans="1:4">
      <c r="A19" s="91">
        <v>43927</v>
      </c>
      <c r="B19" s="86">
        <v>396</v>
      </c>
      <c r="C19" s="26">
        <f t="shared" si="1"/>
        <v>8.4931506849315067E-2</v>
      </c>
      <c r="D19" s="38">
        <f t="shared" si="0"/>
        <v>8.5031145747675918</v>
      </c>
    </row>
    <row r="20" spans="1:4">
      <c r="A20" s="91">
        <v>43928</v>
      </c>
      <c r="B20" s="86">
        <v>428</v>
      </c>
      <c r="C20" s="26">
        <f t="shared" si="1"/>
        <v>8.0808080808080815E-2</v>
      </c>
      <c r="D20" s="38">
        <f t="shared" si="0"/>
        <v>8.9197817544539646</v>
      </c>
    </row>
    <row r="21" spans="1:4">
      <c r="A21" s="91">
        <v>43929</v>
      </c>
      <c r="B21" s="86">
        <v>454</v>
      </c>
      <c r="C21" s="26">
        <f t="shared" si="1"/>
        <v>6.0747663551401869E-2</v>
      </c>
      <c r="D21" s="38">
        <f t="shared" si="0"/>
        <v>11.753436288055184</v>
      </c>
    </row>
    <row r="22" spans="1:4">
      <c r="A22" s="91">
        <v>43930</v>
      </c>
      <c r="B22" s="86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>
      <c r="A23" s="91">
        <v>43931</v>
      </c>
      <c r="B23" s="86">
        <v>493</v>
      </c>
      <c r="C23" s="26">
        <f t="shared" si="2"/>
        <v>5.3418803418803416E-2</v>
      </c>
      <c r="D23" s="38">
        <f t="shared" si="3"/>
        <v>13.319282947041303</v>
      </c>
    </row>
    <row r="24" spans="1:4">
      <c r="A24" s="91">
        <v>43932</v>
      </c>
      <c r="B24" s="86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>
      <c r="A25" s="91">
        <v>43933</v>
      </c>
      <c r="B25" s="86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>
      <c r="A26" s="91">
        <v>43934</v>
      </c>
      <c r="B26" s="86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>
      <c r="A27" s="91">
        <v>43935</v>
      </c>
      <c r="B27" s="86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>
      <c r="A28" s="91">
        <v>43936</v>
      </c>
      <c r="B28" s="86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>
      <c r="A29" s="91">
        <v>43937</v>
      </c>
      <c r="B29" s="86">
        <v>587</v>
      </c>
      <c r="C29" s="26">
        <f t="shared" si="12"/>
        <v>6.8610634648370496E-3</v>
      </c>
      <c r="D29" s="38">
        <f t="shared" si="13"/>
        <v>101.37238020000403</v>
      </c>
    </row>
    <row r="30" spans="1:4">
      <c r="A30" s="91">
        <v>43938</v>
      </c>
      <c r="B30" s="86">
        <v>607</v>
      </c>
      <c r="C30" s="26">
        <f t="shared" si="12"/>
        <v>3.4071550255536626E-2</v>
      </c>
      <c r="D30" s="38">
        <f t="shared" si="13"/>
        <v>20.688508110653103</v>
      </c>
    </row>
    <row r="31" spans="1:4">
      <c r="A31" s="91">
        <v>43939</v>
      </c>
      <c r="B31" s="86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>
      <c r="A32" s="91">
        <v>43940</v>
      </c>
      <c r="B32" s="86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>
      <c r="A33" s="91">
        <v>43941</v>
      </c>
      <c r="B33" s="86">
        <v>641</v>
      </c>
      <c r="C33" s="26">
        <f t="shared" si="16"/>
        <v>7.8616352201257862E-3</v>
      </c>
      <c r="D33" s="38">
        <f t="shared" si="17"/>
        <v>88.514442627817402</v>
      </c>
    </row>
    <row r="34" spans="1:4">
      <c r="A34" s="91">
        <v>43942</v>
      </c>
      <c r="B34" s="86">
        <v>651</v>
      </c>
      <c r="C34" s="26">
        <f t="shared" si="16"/>
        <v>1.5600624024960999E-2</v>
      </c>
      <c r="D34" s="38">
        <f t="shared" si="17"/>
        <v>44.776413697177858</v>
      </c>
    </row>
    <row r="35" spans="1:4">
      <c r="A35" s="91">
        <v>43943</v>
      </c>
      <c r="B35" s="86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>
      <c r="A36" s="91">
        <v>43944</v>
      </c>
      <c r="B36" s="86">
        <v>661</v>
      </c>
      <c r="C36" s="26">
        <f t="shared" si="18"/>
        <v>3.0349013657056147E-3</v>
      </c>
      <c r="D36" s="38">
        <f t="shared" si="19"/>
        <v>228.73839454750822</v>
      </c>
    </row>
    <row r="37" spans="1:4">
      <c r="A37" s="91">
        <v>43945</v>
      </c>
      <c r="B37" s="86">
        <v>671</v>
      </c>
      <c r="C37" s="26">
        <f t="shared" si="18"/>
        <v>1.5128593040847202E-2</v>
      </c>
      <c r="D37" s="38">
        <f t="shared" si="19"/>
        <v>46.162734910979644</v>
      </c>
    </row>
    <row r="38" spans="1:4">
      <c r="A38" s="91">
        <v>43946</v>
      </c>
      <c r="B38" s="86">
        <v>674</v>
      </c>
      <c r="C38" s="26">
        <f t="shared" si="18"/>
        <v>4.4709388971684054E-3</v>
      </c>
      <c r="D38" s="38">
        <f t="shared" si="19"/>
        <v>155.38023529964653</v>
      </c>
    </row>
    <row r="39" spans="1:4">
      <c r="A39" s="91">
        <v>43947</v>
      </c>
      <c r="B39" s="86">
        <v>678</v>
      </c>
      <c r="C39" s="26">
        <f t="shared" si="18"/>
        <v>5.9347181008902079E-3</v>
      </c>
      <c r="D39" s="38">
        <f t="shared" si="19"/>
        <v>117.14153172528272</v>
      </c>
    </row>
    <row r="40" spans="1:4">
      <c r="A40" s="91">
        <v>43948</v>
      </c>
      <c r="B40" s="86">
        <v>681</v>
      </c>
      <c r="C40" s="26">
        <f t="shared" si="18"/>
        <v>4.4247787610619468E-3</v>
      </c>
      <c r="D40" s="38">
        <f t="shared" si="19"/>
        <v>156.99758137546218</v>
      </c>
    </row>
    <row r="41" spans="1:4">
      <c r="A41" s="91">
        <v>43949</v>
      </c>
      <c r="B41" s="86">
        <v>690</v>
      </c>
      <c r="C41" s="26">
        <f t="shared" si="18"/>
        <v>1.3215859030837005E-2</v>
      </c>
      <c r="D41" s="38">
        <f t="shared" si="19"/>
        <v>52.793951877215413</v>
      </c>
    </row>
    <row r="42" spans="1:4">
      <c r="A42" s="91">
        <v>43950</v>
      </c>
      <c r="B42" s="86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>
      <c r="A43" s="91">
        <v>43951</v>
      </c>
      <c r="B43" s="86">
        <v>695</v>
      </c>
      <c r="C43" s="26">
        <f t="shared" si="18"/>
        <v>8.708272859216255E-3</v>
      </c>
      <c r="D43" s="38">
        <f t="shared" si="19"/>
        <v>79.942473993182418</v>
      </c>
    </row>
    <row r="44" spans="1:4">
      <c r="A44" s="91">
        <v>43952</v>
      </c>
      <c r="B44" s="86">
        <v>706</v>
      </c>
      <c r="C44" s="26">
        <f t="shared" si="18"/>
        <v>1.5827338129496403E-2</v>
      </c>
      <c r="D44" s="38">
        <f t="shared" si="19"/>
        <v>44.139965665899489</v>
      </c>
    </row>
    <row r="45" spans="1:4">
      <c r="A45" s="91">
        <v>43953</v>
      </c>
      <c r="B45" s="86">
        <v>713</v>
      </c>
      <c r="C45" s="26">
        <f t="shared" si="18"/>
        <v>9.9150141643059488E-3</v>
      </c>
      <c r="D45" s="38">
        <f t="shared" si="19"/>
        <v>70.254847908892572</v>
      </c>
    </row>
    <row r="46" spans="1:4">
      <c r="A46" s="91">
        <v>43954</v>
      </c>
      <c r="B46" s="86">
        <v>717</v>
      </c>
      <c r="C46" s="26">
        <f t="shared" si="18"/>
        <v>5.6100981767180924E-3</v>
      </c>
      <c r="D46" s="38">
        <f t="shared" si="19"/>
        <v>123.89973537887481</v>
      </c>
    </row>
    <row r="47" spans="1:4">
      <c r="A47" s="91">
        <v>43955</v>
      </c>
      <c r="B47" s="86">
        <v>718</v>
      </c>
      <c r="C47" s="26">
        <f t="shared" si="18"/>
        <v>1.3947001394700139E-3</v>
      </c>
      <c r="D47" s="38">
        <f t="shared" si="19"/>
        <v>497.33302154683025</v>
      </c>
    </row>
    <row r="48" spans="1:4">
      <c r="A48" s="91">
        <v>43956</v>
      </c>
      <c r="B48" s="86">
        <v>719</v>
      </c>
      <c r="C48" s="26">
        <f t="shared" si="18"/>
        <v>1.3927576601671309E-3</v>
      </c>
      <c r="D48" s="38">
        <f t="shared" si="19"/>
        <v>498.02616883946456</v>
      </c>
    </row>
    <row r="49" spans="1:4">
      <c r="A49" s="91">
        <v>43957</v>
      </c>
      <c r="B49" s="86">
        <v>720</v>
      </c>
      <c r="C49" s="26">
        <f t="shared" si="18"/>
        <v>1.3908205841446453E-3</v>
      </c>
      <c r="D49" s="38">
        <f t="shared" si="19"/>
        <v>498.71931613175457</v>
      </c>
    </row>
    <row r="50" spans="1:4">
      <c r="A50" s="91">
        <v>43958</v>
      </c>
      <c r="B50" s="86">
        <v>722</v>
      </c>
      <c r="C50" s="26">
        <f t="shared" si="18"/>
        <v>2.7777777777777779E-3</v>
      </c>
      <c r="D50" s="38">
        <f t="shared" si="19"/>
        <v>249.87939836358191</v>
      </c>
    </row>
    <row r="51" spans="1:4">
      <c r="A51" s="91">
        <v>43959</v>
      </c>
      <c r="B51" s="86">
        <v>723</v>
      </c>
      <c r="C51" s="26">
        <f t="shared" si="18"/>
        <v>1.3850415512465374E-3</v>
      </c>
      <c r="D51" s="38">
        <f t="shared" si="19"/>
        <v>500.79875800674318</v>
      </c>
    </row>
    <row r="52" spans="1:4">
      <c r="A52" s="91">
        <v>43960</v>
      </c>
      <c r="B52" s="86">
        <v>725</v>
      </c>
      <c r="C52" s="26">
        <f t="shared" si="18"/>
        <v>2.7662517289073307E-3</v>
      </c>
      <c r="D52" s="38">
        <f t="shared" si="19"/>
        <v>250.91911979835183</v>
      </c>
    </row>
    <row r="53" spans="1:4">
      <c r="A53" s="91">
        <v>43961</v>
      </c>
      <c r="B53" s="86">
        <v>745</v>
      </c>
      <c r="C53" s="26">
        <f t="shared" si="18"/>
        <v>2.7586206896551724E-2</v>
      </c>
      <c r="D53" s="38">
        <f t="shared" si="19"/>
        <v>25.471587045670656</v>
      </c>
    </row>
    <row r="54" spans="1:4">
      <c r="A54" s="91">
        <v>43962</v>
      </c>
      <c r="B54" s="86">
        <v>750</v>
      </c>
      <c r="C54" s="26">
        <f t="shared" si="18"/>
        <v>6.7114093959731542E-3</v>
      </c>
      <c r="D54" s="38">
        <f t="shared" si="19"/>
        <v>103.62511712289192</v>
      </c>
    </row>
    <row r="55" spans="1:4">
      <c r="A55" s="91">
        <v>43963</v>
      </c>
      <c r="B55" s="86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>
      <c r="A56" s="91">
        <v>43964</v>
      </c>
      <c r="B56" s="86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>
      <c r="A57" s="91">
        <v>43965</v>
      </c>
      <c r="B57" s="86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>
      <c r="A58" s="91">
        <v>43966</v>
      </c>
      <c r="B58" s="86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>
      <c r="A59" s="91">
        <v>43967</v>
      </c>
      <c r="B59" s="86">
        <v>791</v>
      </c>
      <c r="C59" s="26">
        <f t="shared" si="26"/>
        <v>5.0825921219822112E-3</v>
      </c>
      <c r="D59" s="38">
        <f t="shared" si="27"/>
        <v>136.72298852710364</v>
      </c>
    </row>
    <row r="60" spans="1:4">
      <c r="A60" s="91">
        <v>43968</v>
      </c>
      <c r="B60" s="86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>
      <c r="A61" s="91">
        <v>43969</v>
      </c>
      <c r="B61" s="86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>
      <c r="A62" s="91">
        <v>43970</v>
      </c>
      <c r="B62" s="86">
        <v>816</v>
      </c>
      <c r="C62" s="26">
        <f t="shared" si="30"/>
        <v>2.4570024570024569E-3</v>
      </c>
      <c r="D62" s="38">
        <f t="shared" si="31"/>
        <v>282.45733433022241</v>
      </c>
    </row>
    <row r="63" spans="1:4">
      <c r="A63" s="91">
        <v>43971</v>
      </c>
      <c r="B63" s="86">
        <v>817</v>
      </c>
      <c r="C63" s="26">
        <f t="shared" ref="C63:C66" si="32">(B63-B62)/B62</f>
        <v>1.2254901960784314E-3</v>
      </c>
      <c r="D63" s="38">
        <f t="shared" ref="D63:D66" si="33">(LN(2)/LN(B63/B62))</f>
        <v>565.95460218344863</v>
      </c>
    </row>
    <row r="64" spans="1:4">
      <c r="A64" s="91">
        <v>43972</v>
      </c>
      <c r="B64" s="86">
        <v>838</v>
      </c>
      <c r="C64" s="26">
        <f t="shared" si="32"/>
        <v>2.5703794369645042E-2</v>
      </c>
      <c r="D64" s="38">
        <f t="shared" si="33"/>
        <v>27.311833681808924</v>
      </c>
    </row>
    <row r="65" spans="1:4">
      <c r="A65" s="91">
        <v>43973</v>
      </c>
      <c r="B65" s="86">
        <v>842</v>
      </c>
      <c r="C65" s="26">
        <f t="shared" si="32"/>
        <v>4.7732696897374704E-3</v>
      </c>
      <c r="D65" s="38">
        <f t="shared" si="33"/>
        <v>145.56063285876471</v>
      </c>
    </row>
    <row r="66" spans="1:4">
      <c r="A66" s="91">
        <v>43974</v>
      </c>
      <c r="B66" s="86">
        <v>846</v>
      </c>
      <c r="C66" s="26">
        <f t="shared" si="32"/>
        <v>4.7505938242280287E-3</v>
      </c>
      <c r="D66" s="38">
        <f t="shared" si="33"/>
        <v>146.2537813429274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44</v>
      </c>
      <c r="C1" s="28"/>
      <c r="D1" s="39"/>
    </row>
    <row r="2" spans="1:4" ht="17">
      <c r="A2" s="1" t="s">
        <v>41</v>
      </c>
      <c r="B2" s="57">
        <v>470914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66"/>
  <sheetViews>
    <sheetView zoomScale="230" zoomScaleNormal="230" workbookViewId="0">
      <selection sqref="A1:B66"/>
    </sheetView>
  </sheetViews>
  <sheetFormatPr baseColWidth="10" defaultRowHeight="16"/>
  <cols>
    <col min="1" max="1" width="20.5" style="92" customWidth="1"/>
    <col min="2" max="2" width="10.83203125" style="33"/>
  </cols>
  <sheetData>
    <row r="1" spans="1:4">
      <c r="A1" s="91" t="s">
        <v>40</v>
      </c>
      <c r="B1" s="86" t="s">
        <v>44</v>
      </c>
      <c r="C1" s="28"/>
      <c r="D1" s="39"/>
    </row>
    <row r="2" spans="1:4" ht="17">
      <c r="A2" s="91" t="s">
        <v>41</v>
      </c>
      <c r="B2" s="84">
        <v>470914</v>
      </c>
      <c r="C2" s="28"/>
      <c r="D2" s="39"/>
    </row>
    <row r="3" spans="1:4">
      <c r="A3" s="91" t="s">
        <v>43</v>
      </c>
      <c r="B3" s="87" t="s">
        <v>35</v>
      </c>
      <c r="C3" s="28"/>
      <c r="D3" s="39"/>
    </row>
    <row r="4" spans="1:4" ht="52" thickBot="1">
      <c r="A4" s="93" t="s">
        <v>0</v>
      </c>
      <c r="B4" s="6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152</v>
      </c>
      <c r="C5" s="26" t="e">
        <f>(Table2[[#This Row],[cases]]-B4)/B4</f>
        <v>#VALUE!</v>
      </c>
      <c r="D5" s="38" t="e">
        <f t="shared" ref="D5:D36" si="0">(LN(2)/LN(B5/B4))</f>
        <v>#VALUE!</v>
      </c>
    </row>
    <row r="6" spans="1:4">
      <c r="A6" s="91">
        <v>43914</v>
      </c>
      <c r="B6" s="86">
        <v>196</v>
      </c>
      <c r="C6" s="26">
        <f t="shared" ref="C6:C37" si="1">(B6-B5)/B5</f>
        <v>0.28947368421052633</v>
      </c>
      <c r="D6" s="38">
        <f t="shared" si="0"/>
        <v>2.7264126877891832</v>
      </c>
    </row>
    <row r="7" spans="1:4">
      <c r="A7" s="91">
        <v>43915</v>
      </c>
      <c r="B7" s="86">
        <v>256</v>
      </c>
      <c r="C7" s="26">
        <f t="shared" si="1"/>
        <v>0.30612244897959184</v>
      </c>
      <c r="D7" s="38">
        <f t="shared" si="0"/>
        <v>2.5954465348422167</v>
      </c>
    </row>
    <row r="8" spans="1:4">
      <c r="A8" s="91">
        <v>43916</v>
      </c>
      <c r="B8" s="86">
        <v>345</v>
      </c>
      <c r="C8" s="26">
        <f t="shared" si="1"/>
        <v>0.34765625</v>
      </c>
      <c r="D8" s="38">
        <f t="shared" si="0"/>
        <v>2.3231364203342348</v>
      </c>
    </row>
    <row r="9" spans="1:4">
      <c r="A9" s="91">
        <v>43917</v>
      </c>
      <c r="B9" s="86">
        <v>464</v>
      </c>
      <c r="C9" s="26">
        <f t="shared" si="1"/>
        <v>0.34492753623188405</v>
      </c>
      <c r="D9" s="38">
        <f t="shared" si="0"/>
        <v>2.3390256608477276</v>
      </c>
    </row>
    <row r="10" spans="1:4">
      <c r="A10" s="91">
        <v>43918</v>
      </c>
      <c r="B10" s="86">
        <v>603</v>
      </c>
      <c r="C10" s="26">
        <f t="shared" si="1"/>
        <v>0.29956896551724138</v>
      </c>
      <c r="D10" s="38">
        <f t="shared" si="0"/>
        <v>2.6452703321760542</v>
      </c>
    </row>
    <row r="11" spans="1:4">
      <c r="A11" s="91">
        <v>43919</v>
      </c>
      <c r="B11" s="86">
        <v>812</v>
      </c>
      <c r="C11" s="26">
        <f t="shared" si="1"/>
        <v>0.34660033167495852</v>
      </c>
      <c r="D11" s="38">
        <f t="shared" si="0"/>
        <v>2.329255523549266</v>
      </c>
    </row>
    <row r="12" spans="1:4">
      <c r="A12" s="91">
        <v>43920</v>
      </c>
      <c r="B12" s="86">
        <v>931</v>
      </c>
      <c r="C12" s="26">
        <f t="shared" si="1"/>
        <v>0.14655172413793102</v>
      </c>
      <c r="D12" s="38">
        <f t="shared" si="0"/>
        <v>5.0683867188519347</v>
      </c>
    </row>
    <row r="13" spans="1:4">
      <c r="A13" s="91">
        <v>43921</v>
      </c>
      <c r="B13" s="88">
        <v>1179</v>
      </c>
      <c r="C13" s="26">
        <f t="shared" si="1"/>
        <v>0.26638023630504831</v>
      </c>
      <c r="D13" s="38">
        <f t="shared" si="0"/>
        <v>2.9350418410450274</v>
      </c>
    </row>
    <row r="14" spans="1:4">
      <c r="A14" s="91">
        <v>43922</v>
      </c>
      <c r="B14" s="88">
        <v>1371</v>
      </c>
      <c r="C14" s="26">
        <f t="shared" si="1"/>
        <v>0.16284987277353691</v>
      </c>
      <c r="D14" s="38">
        <f t="shared" si="0"/>
        <v>4.594218989141579</v>
      </c>
    </row>
    <row r="15" spans="1:4">
      <c r="A15" s="91">
        <v>43923</v>
      </c>
      <c r="B15" s="88">
        <v>1677</v>
      </c>
      <c r="C15" s="26">
        <f t="shared" si="1"/>
        <v>0.22319474835886213</v>
      </c>
      <c r="D15" s="38">
        <f t="shared" si="0"/>
        <v>3.4405155090192001</v>
      </c>
    </row>
    <row r="16" spans="1:4">
      <c r="A16" s="91">
        <v>43924</v>
      </c>
      <c r="B16" s="88">
        <v>1959</v>
      </c>
      <c r="C16" s="26">
        <f t="shared" si="1"/>
        <v>0.16815742397137745</v>
      </c>
      <c r="D16" s="38">
        <f t="shared" si="0"/>
        <v>4.4596129019590443</v>
      </c>
    </row>
    <row r="17" spans="1:4">
      <c r="A17" s="91">
        <v>43925</v>
      </c>
      <c r="B17" s="88">
        <v>2291</v>
      </c>
      <c r="C17" s="26">
        <f t="shared" si="1"/>
        <v>0.16947422154160285</v>
      </c>
      <c r="D17" s="38">
        <f t="shared" si="0"/>
        <v>4.4275202769727011</v>
      </c>
    </row>
    <row r="18" spans="1:4">
      <c r="A18" s="91">
        <v>43926</v>
      </c>
      <c r="B18" s="88">
        <v>2461</v>
      </c>
      <c r="C18" s="26">
        <f t="shared" si="1"/>
        <v>7.4203404626800529E-2</v>
      </c>
      <c r="D18" s="38">
        <f t="shared" si="0"/>
        <v>9.6836169490150699</v>
      </c>
    </row>
    <row r="19" spans="1:4">
      <c r="A19" s="91">
        <v>43927</v>
      </c>
      <c r="B19" s="88">
        <v>2802</v>
      </c>
      <c r="C19" s="26">
        <f t="shared" si="1"/>
        <v>0.13856156034132466</v>
      </c>
      <c r="D19" s="38">
        <f t="shared" si="0"/>
        <v>5.3415294338518668</v>
      </c>
    </row>
    <row r="20" spans="1:4">
      <c r="A20" s="91">
        <v>43928</v>
      </c>
      <c r="B20" s="88">
        <v>3100</v>
      </c>
      <c r="C20" s="26">
        <f t="shared" si="1"/>
        <v>0.10635260528194147</v>
      </c>
      <c r="D20" s="38">
        <f t="shared" si="0"/>
        <v>6.8581809240681908</v>
      </c>
    </row>
    <row r="21" spans="1:4">
      <c r="A21" s="91">
        <v>43929</v>
      </c>
      <c r="B21" s="88">
        <v>3317</v>
      </c>
      <c r="C21" s="26">
        <f t="shared" si="1"/>
        <v>7.0000000000000007E-2</v>
      </c>
      <c r="D21" s="38">
        <f t="shared" si="0"/>
        <v>10.244768351058712</v>
      </c>
    </row>
    <row r="22" spans="1:4">
      <c r="A22" s="91">
        <v>43930</v>
      </c>
      <c r="B22" s="88">
        <v>3587</v>
      </c>
      <c r="C22" s="26">
        <f t="shared" si="1"/>
        <v>8.1398854386493816E-2</v>
      </c>
      <c r="D22" s="38">
        <f t="shared" si="0"/>
        <v>8.857495313952132</v>
      </c>
    </row>
    <row r="23" spans="1:4">
      <c r="A23" s="91">
        <v>43931</v>
      </c>
      <c r="B23" s="88">
        <v>3816</v>
      </c>
      <c r="C23" s="26">
        <f t="shared" si="1"/>
        <v>6.3841650404237518E-2</v>
      </c>
      <c r="D23" s="38">
        <f t="shared" si="0"/>
        <v>11.20028704389693</v>
      </c>
    </row>
    <row r="24" spans="1:4">
      <c r="A24" s="91">
        <v>43932</v>
      </c>
      <c r="B24" s="88">
        <v>4091</v>
      </c>
      <c r="C24" s="26">
        <f t="shared" si="1"/>
        <v>7.20649895178197E-2</v>
      </c>
      <c r="D24" s="38">
        <f t="shared" si="0"/>
        <v>9.96091676104197</v>
      </c>
    </row>
    <row r="25" spans="1:4">
      <c r="A25" s="91">
        <v>43933</v>
      </c>
      <c r="B25" s="88">
        <v>4273</v>
      </c>
      <c r="C25" s="26">
        <f t="shared" si="1"/>
        <v>4.4487900268882913E-2</v>
      </c>
      <c r="D25" s="38">
        <f t="shared" si="0"/>
        <v>15.924637026490627</v>
      </c>
    </row>
    <row r="26" spans="1:4">
      <c r="A26" s="91">
        <v>43934</v>
      </c>
      <c r="B26" s="88">
        <v>4487</v>
      </c>
      <c r="C26" s="26">
        <f t="shared" si="1"/>
        <v>5.0081909665340513E-2</v>
      </c>
      <c r="D26" s="38">
        <f t="shared" si="0"/>
        <v>14.184021538998522</v>
      </c>
    </row>
    <row r="27" spans="1:4">
      <c r="A27" s="91">
        <v>43935</v>
      </c>
      <c r="B27" s="88">
        <v>4648</v>
      </c>
      <c r="C27" s="26">
        <f t="shared" si="1"/>
        <v>3.5881435257410298E-2</v>
      </c>
      <c r="D27" s="38">
        <f t="shared" si="0"/>
        <v>19.662247910950395</v>
      </c>
    </row>
    <row r="28" spans="1:4">
      <c r="A28" s="91">
        <v>43936</v>
      </c>
      <c r="B28" s="88">
        <v>4857</v>
      </c>
      <c r="C28" s="26">
        <f t="shared" si="1"/>
        <v>4.4965576592082619E-2</v>
      </c>
      <c r="D28" s="38">
        <f t="shared" si="0"/>
        <v>15.759095716636351</v>
      </c>
    </row>
    <row r="29" spans="1:4">
      <c r="A29" s="91">
        <v>43937</v>
      </c>
      <c r="B29" s="88">
        <v>5018</v>
      </c>
      <c r="C29" s="26">
        <f t="shared" si="1"/>
        <v>3.3148033765698991E-2</v>
      </c>
      <c r="D29" s="38">
        <f t="shared" si="0"/>
        <v>21.255347458768309</v>
      </c>
    </row>
    <row r="30" spans="1:4">
      <c r="A30" s="91">
        <v>43938</v>
      </c>
      <c r="B30" s="88">
        <v>5325</v>
      </c>
      <c r="C30" s="26">
        <f t="shared" si="1"/>
        <v>6.1179752889597448E-2</v>
      </c>
      <c r="D30" s="38">
        <f t="shared" si="0"/>
        <v>11.672826375517154</v>
      </c>
    </row>
    <row r="31" spans="1:4">
      <c r="A31" s="91">
        <v>43939</v>
      </c>
      <c r="B31" s="88">
        <v>5473</v>
      </c>
      <c r="C31" s="26">
        <f t="shared" si="1"/>
        <v>2.7793427230046949E-2</v>
      </c>
      <c r="D31" s="38">
        <f t="shared" si="0"/>
        <v>25.284238323265988</v>
      </c>
    </row>
    <row r="32" spans="1:4">
      <c r="A32" s="91">
        <v>43940</v>
      </c>
      <c r="B32" s="88">
        <v>5645</v>
      </c>
      <c r="C32" s="26">
        <f t="shared" si="1"/>
        <v>3.1427005298739263E-2</v>
      </c>
      <c r="D32" s="38">
        <f t="shared" si="0"/>
        <v>22.400568352945822</v>
      </c>
    </row>
    <row r="33" spans="1:4">
      <c r="A33" s="91">
        <v>43941</v>
      </c>
      <c r="B33" s="88">
        <v>5852</v>
      </c>
      <c r="C33" s="26">
        <f t="shared" si="1"/>
        <v>3.6669619131975202E-2</v>
      </c>
      <c r="D33" s="38">
        <f t="shared" si="0"/>
        <v>19.246985379249875</v>
      </c>
    </row>
    <row r="34" spans="1:4">
      <c r="A34" s="91">
        <v>43942</v>
      </c>
      <c r="B34" s="88">
        <v>6064</v>
      </c>
      <c r="C34" s="26">
        <f t="shared" si="1"/>
        <v>3.6226930963773066E-2</v>
      </c>
      <c r="D34" s="38">
        <f t="shared" si="0"/>
        <v>19.477995929350573</v>
      </c>
    </row>
    <row r="35" spans="1:4">
      <c r="A35" s="91">
        <v>43943</v>
      </c>
      <c r="B35" s="88">
        <v>6227</v>
      </c>
      <c r="C35" s="26">
        <f t="shared" si="1"/>
        <v>2.6879947229551452E-2</v>
      </c>
      <c r="D35" s="38">
        <f t="shared" si="0"/>
        <v>26.131817554080403</v>
      </c>
    </row>
    <row r="36" spans="1:4">
      <c r="A36" s="91">
        <v>43944</v>
      </c>
      <c r="B36" s="88">
        <v>6413</v>
      </c>
      <c r="C36" s="26">
        <f t="shared" si="1"/>
        <v>2.9869921310422355E-2</v>
      </c>
      <c r="D36" s="38">
        <f t="shared" si="0"/>
        <v>23.55039768449053</v>
      </c>
    </row>
    <row r="37" spans="1:4">
      <c r="A37" s="91">
        <v>43945</v>
      </c>
      <c r="B37" s="88">
        <v>6658</v>
      </c>
      <c r="C37" s="26">
        <f t="shared" si="1"/>
        <v>3.8203648838297209E-2</v>
      </c>
      <c r="D37" s="38">
        <f t="shared" ref="D37:D60" si="2">(LN(2)/LN(B37/B36))</f>
        <v>18.487889118218384</v>
      </c>
    </row>
    <row r="38" spans="1:4">
      <c r="A38" s="91">
        <v>43946</v>
      </c>
      <c r="B38" s="88">
        <v>6710</v>
      </c>
      <c r="C38" s="26">
        <f t="shared" ref="C38:C69" si="3">(B38-B37)/B37</f>
        <v>7.8101531991589066E-3</v>
      </c>
      <c r="D38" s="38">
        <f t="shared" si="2"/>
        <v>89.095622829796753</v>
      </c>
    </row>
    <row r="39" spans="1:4">
      <c r="A39" s="91">
        <v>43947</v>
      </c>
      <c r="B39" s="88">
        <v>7001</v>
      </c>
      <c r="C39" s="26">
        <f t="shared" si="3"/>
        <v>4.3368107302533529E-2</v>
      </c>
      <c r="D39" s="38">
        <f t="shared" si="2"/>
        <v>16.326999709277924</v>
      </c>
    </row>
    <row r="40" spans="1:4">
      <c r="A40" s="91">
        <v>43948</v>
      </c>
      <c r="B40" s="88">
        <v>7159</v>
      </c>
      <c r="C40" s="26">
        <f t="shared" si="3"/>
        <v>2.2568204542208255E-2</v>
      </c>
      <c r="D40" s="38">
        <f t="shared" si="2"/>
        <v>31.058723813341835</v>
      </c>
    </row>
    <row r="41" spans="1:4">
      <c r="A41" s="91">
        <v>43949</v>
      </c>
      <c r="B41" s="88">
        <v>7364</v>
      </c>
      <c r="C41" s="26">
        <f t="shared" si="3"/>
        <v>2.8635284257577873E-2</v>
      </c>
      <c r="D41" s="38">
        <f t="shared" si="2"/>
        <v>24.550994839858753</v>
      </c>
    </row>
    <row r="42" spans="1:4">
      <c r="A42" s="91">
        <v>43950</v>
      </c>
      <c r="B42" s="88">
        <v>7418</v>
      </c>
      <c r="C42" s="26">
        <f t="shared" si="3"/>
        <v>7.3329712112982079E-3</v>
      </c>
      <c r="D42" s="38">
        <f t="shared" si="2"/>
        <v>94.870889301226129</v>
      </c>
    </row>
    <row r="43" spans="1:4">
      <c r="A43" s="91">
        <v>43951</v>
      </c>
      <c r="B43" s="88">
        <v>7490</v>
      </c>
      <c r="C43" s="26">
        <f t="shared" si="3"/>
        <v>9.7061202480452947E-3</v>
      </c>
      <c r="D43" s="38">
        <f t="shared" si="2"/>
        <v>71.759429333057724</v>
      </c>
    </row>
    <row r="44" spans="1:4">
      <c r="A44" s="91">
        <v>43952</v>
      </c>
      <c r="B44" s="88">
        <v>7685</v>
      </c>
      <c r="C44" s="26">
        <f t="shared" si="3"/>
        <v>2.6034712950600801E-2</v>
      </c>
      <c r="D44" s="38">
        <f t="shared" si="2"/>
        <v>26.969049960532978</v>
      </c>
    </row>
    <row r="45" spans="1:4">
      <c r="A45" s="91">
        <v>43953</v>
      </c>
      <c r="B45" s="88">
        <v>7836</v>
      </c>
      <c r="C45" s="26">
        <f t="shared" si="3"/>
        <v>1.9648666232921275E-2</v>
      </c>
      <c r="D45" s="38">
        <f t="shared" si="2"/>
        <v>35.622509801798749</v>
      </c>
    </row>
    <row r="46" spans="1:4">
      <c r="A46" s="91">
        <v>43954</v>
      </c>
      <c r="B46" s="88">
        <v>7928</v>
      </c>
      <c r="C46" s="26">
        <f t="shared" si="3"/>
        <v>1.1740684022460439E-2</v>
      </c>
      <c r="D46" s="38">
        <f t="shared" si="2"/>
        <v>59.383957056845482</v>
      </c>
    </row>
    <row r="47" spans="1:4">
      <c r="A47" s="91">
        <v>43955</v>
      </c>
      <c r="B47" s="88">
        <v>8166</v>
      </c>
      <c r="C47" s="26">
        <f t="shared" si="3"/>
        <v>3.0020181634712411E-2</v>
      </c>
      <c r="D47" s="38">
        <f t="shared" si="2"/>
        <v>23.434238408786449</v>
      </c>
    </row>
    <row r="48" spans="1:4">
      <c r="A48" s="91">
        <v>43956</v>
      </c>
      <c r="B48" s="88">
        <v>8275</v>
      </c>
      <c r="C48" s="26">
        <f t="shared" si="3"/>
        <v>1.3348028410482488E-2</v>
      </c>
      <c r="D48" s="38">
        <f t="shared" si="2"/>
        <v>52.274613886566158</v>
      </c>
    </row>
    <row r="49" spans="1:4">
      <c r="A49" s="91">
        <v>43957</v>
      </c>
      <c r="B49" s="88">
        <v>8386</v>
      </c>
      <c r="C49" s="26">
        <f t="shared" si="3"/>
        <v>1.3413897280966768E-2</v>
      </c>
      <c r="D49" s="38">
        <f t="shared" si="2"/>
        <v>52.019614008401071</v>
      </c>
    </row>
    <row r="50" spans="1:4">
      <c r="A50" s="91">
        <v>43958</v>
      </c>
      <c r="B50" s="88">
        <v>8532</v>
      </c>
      <c r="C50" s="26">
        <f t="shared" si="3"/>
        <v>1.7409968995945622E-2</v>
      </c>
      <c r="D50" s="38">
        <f t="shared" si="2"/>
        <v>40.158811241103884</v>
      </c>
    </row>
    <row r="51" spans="1:4">
      <c r="A51" s="91">
        <v>43959</v>
      </c>
      <c r="B51" s="88">
        <v>8594</v>
      </c>
      <c r="C51" s="26">
        <f t="shared" si="3"/>
        <v>7.266760431317393E-3</v>
      </c>
      <c r="D51" s="38">
        <f t="shared" si="2"/>
        <v>95.732151243481965</v>
      </c>
    </row>
    <row r="52" spans="1:4">
      <c r="A52" s="91">
        <v>43960</v>
      </c>
      <c r="B52" s="88">
        <v>8715</v>
      </c>
      <c r="C52" s="26">
        <f t="shared" si="3"/>
        <v>1.407959041191529E-2</v>
      </c>
      <c r="D52" s="38">
        <f t="shared" si="2"/>
        <v>49.576401282989799</v>
      </c>
    </row>
    <row r="53" spans="1:4">
      <c r="A53" s="91">
        <v>43961</v>
      </c>
      <c r="B53" s="88">
        <v>8823</v>
      </c>
      <c r="C53" s="26">
        <f t="shared" si="3"/>
        <v>1.2392426850258176E-2</v>
      </c>
      <c r="D53" s="38">
        <f t="shared" si="2"/>
        <v>56.278988829986361</v>
      </c>
    </row>
    <row r="54" spans="1:4">
      <c r="A54" s="91">
        <v>43962</v>
      </c>
      <c r="B54" s="88">
        <v>8873</v>
      </c>
      <c r="C54" s="26">
        <f t="shared" si="3"/>
        <v>5.6670066870678909E-3</v>
      </c>
      <c r="D54" s="38">
        <f t="shared" si="2"/>
        <v>122.65899865694688</v>
      </c>
    </row>
    <row r="55" spans="1:4">
      <c r="A55" s="91">
        <v>43963</v>
      </c>
      <c r="B55" s="88">
        <v>9015</v>
      </c>
      <c r="C55" s="26">
        <f t="shared" si="3"/>
        <v>1.6003606446523159E-2</v>
      </c>
      <c r="D55" s="38">
        <f t="shared" si="2"/>
        <v>43.657592657146672</v>
      </c>
    </row>
    <row r="56" spans="1:4">
      <c r="A56" s="91">
        <v>43964</v>
      </c>
      <c r="B56" s="88">
        <v>9071</v>
      </c>
      <c r="C56" s="26">
        <f t="shared" si="3"/>
        <v>6.2118691070438157E-3</v>
      </c>
      <c r="D56" s="38">
        <f t="shared" si="2"/>
        <v>111.93053433065666</v>
      </c>
    </row>
    <row r="57" spans="1:4">
      <c r="A57" s="91">
        <v>43965</v>
      </c>
      <c r="B57" s="88">
        <v>9151</v>
      </c>
      <c r="C57" s="26">
        <f t="shared" si="3"/>
        <v>8.8193142983133063E-3</v>
      </c>
      <c r="D57" s="38">
        <f t="shared" si="2"/>
        <v>78.94029233636499</v>
      </c>
    </row>
    <row r="58" spans="1:4">
      <c r="A58" s="91">
        <v>43966</v>
      </c>
      <c r="B58" s="88">
        <v>9277</v>
      </c>
      <c r="C58" s="26">
        <f t="shared" si="3"/>
        <v>1.3768986995956725E-2</v>
      </c>
      <c r="D58" s="38">
        <f t="shared" si="2"/>
        <v>50.686972970738736</v>
      </c>
    </row>
    <row r="59" spans="1:4">
      <c r="A59" s="91">
        <v>43967</v>
      </c>
      <c r="B59" s="88">
        <v>9444</v>
      </c>
      <c r="C59" s="26">
        <f t="shared" si="3"/>
        <v>1.8001509108548024E-2</v>
      </c>
      <c r="D59" s="38">
        <f t="shared" si="2"/>
        <v>38.850491503432927</v>
      </c>
    </row>
    <row r="60" spans="1:4">
      <c r="A60" s="91">
        <v>43968</v>
      </c>
      <c r="B60" s="88">
        <v>9589</v>
      </c>
      <c r="C60" s="26">
        <f t="shared" si="3"/>
        <v>1.5353663701821263E-2</v>
      </c>
      <c r="D60" s="38">
        <f t="shared" si="2"/>
        <v>45.491086389368192</v>
      </c>
    </row>
    <row r="61" spans="1:4">
      <c r="A61" s="91">
        <v>43969</v>
      </c>
      <c r="B61" s="88">
        <v>9708</v>
      </c>
      <c r="C61" s="26">
        <f t="shared" ref="C61:C62" si="4">(B61-B60)/B60</f>
        <v>1.2410053185942226E-2</v>
      </c>
      <c r="D61" s="38">
        <f t="shared" ref="D61:D62" si="5">(LN(2)/LN(B61/B60))</f>
        <v>56.199544485007138</v>
      </c>
    </row>
    <row r="62" spans="1:4">
      <c r="A62" s="91">
        <v>43970</v>
      </c>
      <c r="B62" s="88">
        <v>9752</v>
      </c>
      <c r="C62" s="26">
        <f t="shared" si="4"/>
        <v>4.5323444581788219E-3</v>
      </c>
      <c r="D62" s="38">
        <f t="shared" si="5"/>
        <v>153.27978576692436</v>
      </c>
    </row>
    <row r="63" spans="1:4">
      <c r="A63" s="91">
        <v>43971</v>
      </c>
      <c r="B63" s="88">
        <v>9801</v>
      </c>
      <c r="C63" s="26">
        <f t="shared" ref="C63:C66" si="6">(B63-B62)/B62</f>
        <v>5.0246103363412635E-3</v>
      </c>
      <c r="D63" s="38">
        <f t="shared" ref="D63:D66" si="7">(LN(2)/LN(B63/B62))</f>
        <v>138.29671887650707</v>
      </c>
    </row>
    <row r="64" spans="1:4">
      <c r="A64" s="91">
        <v>43972</v>
      </c>
      <c r="B64" s="88">
        <v>9979</v>
      </c>
      <c r="C64" s="26">
        <f t="shared" si="6"/>
        <v>1.8161412100806039E-2</v>
      </c>
      <c r="D64" s="38">
        <f t="shared" si="7"/>
        <v>38.511463832788742</v>
      </c>
    </row>
    <row r="65" spans="1:4">
      <c r="A65" s="91">
        <v>43973</v>
      </c>
      <c r="B65" s="88">
        <v>10066</v>
      </c>
      <c r="C65" s="26">
        <f t="shared" si="6"/>
        <v>8.7183084477402539E-3</v>
      </c>
      <c r="D65" s="38">
        <f t="shared" si="7"/>
        <v>79.850850515336333</v>
      </c>
    </row>
    <row r="66" spans="1:4">
      <c r="A66" s="91">
        <v>43974</v>
      </c>
      <c r="B66" s="88">
        <v>10154</v>
      </c>
      <c r="C66" s="26">
        <f t="shared" si="6"/>
        <v>8.7423008146234847E-3</v>
      </c>
      <c r="D66" s="38">
        <f t="shared" si="7"/>
        <v>79.632656259409558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/>
  <cols>
    <col min="4" max="4" width="12.1640625" customWidth="1"/>
  </cols>
  <sheetData>
    <row r="1" spans="1:4">
      <c r="A1" s="9" t="s">
        <v>40</v>
      </c>
      <c r="B1" s="9" t="s">
        <v>45</v>
      </c>
      <c r="C1" s="28"/>
      <c r="D1" s="39"/>
    </row>
    <row r="2" spans="1:4" ht="17">
      <c r="A2" s="9" t="s">
        <v>41</v>
      </c>
      <c r="B2" s="58">
        <v>82826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/>
  <sheetData>
    <row r="1" spans="1:8">
      <c r="A1" s="9" t="s">
        <v>40</v>
      </c>
      <c r="B1" s="9" t="s">
        <v>45</v>
      </c>
      <c r="C1" s="28"/>
      <c r="D1" s="39"/>
    </row>
    <row r="2" spans="1:8" ht="17">
      <c r="A2" s="9" t="s">
        <v>41</v>
      </c>
      <c r="B2" s="58">
        <v>82826</v>
      </c>
      <c r="C2" s="28"/>
      <c r="D2" s="39"/>
    </row>
    <row r="3" spans="1:8">
      <c r="A3" s="9" t="s">
        <v>43</v>
      </c>
      <c r="B3" s="12" t="s">
        <v>35</v>
      </c>
      <c r="C3" s="28"/>
      <c r="D3" s="39"/>
    </row>
    <row r="4" spans="1:8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8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35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35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67" t="s">
        <v>49</v>
      </c>
      <c r="C1" s="28"/>
      <c r="D1" s="39"/>
    </row>
    <row r="2" spans="1:4">
      <c r="A2" s="1" t="s">
        <v>41</v>
      </c>
      <c r="B2" s="69">
        <v>2231647</v>
      </c>
      <c r="C2" s="28"/>
      <c r="D2" s="39"/>
    </row>
    <row r="3" spans="1:4">
      <c r="A3" s="1" t="s">
        <v>43</v>
      </c>
      <c r="B3" s="68" t="s">
        <v>50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56"/>
    </row>
    <row r="23" spans="2:2">
      <c r="B23" s="56"/>
    </row>
    <row r="24" spans="2:2">
      <c r="B24" s="56"/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35"/>
    </row>
    <row r="30" spans="2:2">
      <c r="B30" s="56"/>
    </row>
    <row r="31" spans="2: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2020-05-25T03:00:41Z</dcterms:modified>
</cp:coreProperties>
</file>