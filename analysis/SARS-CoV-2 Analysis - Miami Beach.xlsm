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projects/BeachAnalytics/analysis/"/>
    </mc:Choice>
  </mc:AlternateContent>
  <xr:revisionPtr revIDLastSave="0" documentId="13_ncr:1_{D5E30FD6-38BC-6D4C-9376-6EEED41C70D9}" xr6:coauthVersionLast="45" xr6:coauthVersionMax="45" xr10:uidLastSave="{00000000-0000-0000-0000-000000000000}"/>
  <bookViews>
    <workbookView xWindow="0" yWindow="460" windowWidth="28800" windowHeight="17540" activeTab="4" xr2:uid="{5746141D-E7E8-714E-A98D-1CE69C8603B7}"/>
  </bookViews>
  <sheets>
    <sheet name="% Increase" sheetId="17" r:id="rId1"/>
    <sheet name="Doubling Time" sheetId="8" r:id="rId2"/>
    <sheet name="Number of Infections" sheetId="3" r:id="rId3"/>
    <sheet name="Infection Percentage" sheetId="24" r:id="rId4"/>
    <sheet name="Infection Odds" sheetId="2" r:id="rId5"/>
    <sheet name="Case Percentage" sheetId="23" r:id="rId6"/>
    <sheet name="Infection Projection" sheetId="4" r:id="rId7"/>
    <sheet name="Two-Weeks" sheetId="5" r:id="rId8"/>
    <sheet name="dashboard" sheetId="6" r:id="rId9"/>
    <sheet name="compute" sheetId="1" r:id="rId10"/>
    <sheet name="Miami Beach morning" sheetId="9" state="hidden" r:id="rId11"/>
    <sheet name="Miami Beach evening" sheetId="10" r:id="rId12"/>
    <sheet name="Miami morning" sheetId="11" state="hidden" r:id="rId13"/>
    <sheet name="Miami evening" sheetId="12" r:id="rId14"/>
    <sheet name="Melbourne morning" sheetId="13" r:id="rId15"/>
    <sheet name="Melbourne evening" sheetId="14" r:id="rId16"/>
    <sheet name="Dade morning" sheetId="18" r:id="rId17"/>
    <sheet name="Dade evening" sheetId="19" r:id="rId18"/>
    <sheet name="Florida morning" sheetId="15" r:id="rId19"/>
    <sheet name="Florida evening" sheetId="16" r:id="rId20"/>
    <sheet name="Clark (NV) daily" sheetId="20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4" i="1" l="1"/>
  <c r="D74" i="1"/>
  <c r="E74" i="1"/>
  <c r="F74" i="1"/>
  <c r="G74" i="1"/>
  <c r="H74" i="1"/>
  <c r="I74" i="1"/>
  <c r="J74" i="1"/>
  <c r="C74" i="10"/>
  <c r="D74" i="10"/>
  <c r="C74" i="12"/>
  <c r="D74" i="12"/>
  <c r="C68" i="1"/>
  <c r="D68" i="1"/>
  <c r="E68" i="1"/>
  <c r="F68" i="1"/>
  <c r="G68" i="1"/>
  <c r="H68" i="1"/>
  <c r="I68" i="1" s="1"/>
  <c r="C69" i="1"/>
  <c r="D69" i="1"/>
  <c r="E69" i="1"/>
  <c r="F69" i="1"/>
  <c r="G69" i="1"/>
  <c r="H69" i="1"/>
  <c r="C70" i="1"/>
  <c r="D70" i="1"/>
  <c r="E70" i="1"/>
  <c r="F70" i="1"/>
  <c r="G70" i="1"/>
  <c r="H70" i="1"/>
  <c r="C71" i="1"/>
  <c r="D71" i="1"/>
  <c r="E71" i="1"/>
  <c r="F71" i="1"/>
  <c r="G71" i="1"/>
  <c r="H71" i="1"/>
  <c r="C72" i="1"/>
  <c r="D72" i="1"/>
  <c r="E72" i="1"/>
  <c r="F72" i="1"/>
  <c r="G72" i="1"/>
  <c r="H72" i="1"/>
  <c r="C73" i="1"/>
  <c r="D73" i="1"/>
  <c r="E73" i="1"/>
  <c r="F73" i="1"/>
  <c r="G73" i="1"/>
  <c r="H73" i="1"/>
  <c r="C72" i="12"/>
  <c r="D72" i="12"/>
  <c r="C73" i="12"/>
  <c r="D73" i="12"/>
  <c r="C72" i="10"/>
  <c r="D72" i="10"/>
  <c r="C73" i="10"/>
  <c r="D73" i="10"/>
  <c r="C70" i="10"/>
  <c r="D70" i="10"/>
  <c r="C71" i="10"/>
  <c r="D71" i="10"/>
  <c r="C70" i="12"/>
  <c r="D70" i="12"/>
  <c r="C71" i="12"/>
  <c r="D71" i="12"/>
  <c r="I73" i="1" l="1"/>
  <c r="I71" i="1"/>
  <c r="I69" i="1"/>
  <c r="I72" i="1"/>
  <c r="J70" i="1"/>
  <c r="J73" i="1"/>
  <c r="I70" i="1"/>
  <c r="J71" i="1"/>
  <c r="J69" i="1"/>
  <c r="J72" i="1"/>
  <c r="J68" i="1"/>
  <c r="C69" i="12"/>
  <c r="D69" i="12"/>
  <c r="C69" i="10"/>
  <c r="D69" i="10"/>
  <c r="C68" i="12" l="1"/>
  <c r="D68" i="12"/>
  <c r="C68" i="10"/>
  <c r="D68" i="10"/>
  <c r="M8" i="5" l="1"/>
  <c r="M7" i="5"/>
  <c r="C67" i="1"/>
  <c r="D67" i="1"/>
  <c r="E67" i="1"/>
  <c r="F67" i="1"/>
  <c r="G67" i="1"/>
  <c r="H67" i="1"/>
  <c r="C67" i="12"/>
  <c r="D67" i="12"/>
  <c r="C67" i="10"/>
  <c r="D67" i="10"/>
  <c r="I67" i="1" l="1"/>
  <c r="J67" i="1"/>
  <c r="C63" i="1"/>
  <c r="D63" i="1"/>
  <c r="E63" i="1"/>
  <c r="F63" i="1"/>
  <c r="G63" i="1"/>
  <c r="H63" i="1"/>
  <c r="C64" i="1"/>
  <c r="D64" i="1"/>
  <c r="E64" i="1"/>
  <c r="F64" i="1"/>
  <c r="G64" i="1"/>
  <c r="H64" i="1"/>
  <c r="C65" i="1"/>
  <c r="D65" i="1"/>
  <c r="E65" i="1"/>
  <c r="F65" i="1"/>
  <c r="G65" i="1"/>
  <c r="H65" i="1"/>
  <c r="C66" i="1"/>
  <c r="D66" i="1"/>
  <c r="E66" i="1"/>
  <c r="F66" i="1"/>
  <c r="G66" i="1"/>
  <c r="H66" i="1"/>
  <c r="C63" i="12"/>
  <c r="D63" i="12"/>
  <c r="C64" i="12"/>
  <c r="D64" i="12"/>
  <c r="C65" i="12"/>
  <c r="D65" i="12"/>
  <c r="C66" i="12"/>
  <c r="D66" i="12"/>
  <c r="C63" i="10"/>
  <c r="D63" i="10"/>
  <c r="C64" i="10"/>
  <c r="D64" i="10"/>
  <c r="C65" i="10"/>
  <c r="D65" i="10"/>
  <c r="C66" i="10"/>
  <c r="D66" i="10"/>
  <c r="J66" i="1" l="1"/>
  <c r="I63" i="1"/>
  <c r="J65" i="1"/>
  <c r="J63" i="1"/>
  <c r="I66" i="1"/>
  <c r="J64" i="1"/>
  <c r="I65" i="1"/>
  <c r="I64" i="1"/>
  <c r="C61" i="12"/>
  <c r="D61" i="12"/>
  <c r="C62" i="12"/>
  <c r="D62" i="12"/>
  <c r="C61" i="1"/>
  <c r="D61" i="1"/>
  <c r="E61" i="1"/>
  <c r="F61" i="1"/>
  <c r="G61" i="1"/>
  <c r="H61" i="1"/>
  <c r="C62" i="1"/>
  <c r="D62" i="1"/>
  <c r="E62" i="1"/>
  <c r="F62" i="1"/>
  <c r="G62" i="1"/>
  <c r="H62" i="1"/>
  <c r="C61" i="10"/>
  <c r="D61" i="10"/>
  <c r="C62" i="10"/>
  <c r="D62" i="10"/>
  <c r="I62" i="1" l="1"/>
  <c r="J61" i="1"/>
  <c r="J62" i="1"/>
  <c r="I61" i="1"/>
  <c r="C58" i="1"/>
  <c r="D58" i="1"/>
  <c r="E58" i="1"/>
  <c r="F58" i="1"/>
  <c r="G58" i="1"/>
  <c r="H58" i="1"/>
  <c r="C59" i="1"/>
  <c r="D59" i="1"/>
  <c r="E59" i="1"/>
  <c r="F59" i="1"/>
  <c r="G59" i="1"/>
  <c r="H59" i="1"/>
  <c r="C60" i="1"/>
  <c r="D60" i="1"/>
  <c r="E60" i="1"/>
  <c r="F60" i="1"/>
  <c r="G60" i="1"/>
  <c r="H60" i="1"/>
  <c r="C58" i="12"/>
  <c r="D58" i="12"/>
  <c r="C59" i="12"/>
  <c r="D59" i="12"/>
  <c r="C60" i="12"/>
  <c r="D60" i="12"/>
  <c r="C60" i="10"/>
  <c r="D60" i="10"/>
  <c r="C58" i="10"/>
  <c r="D58" i="10"/>
  <c r="C59" i="10"/>
  <c r="D59" i="10"/>
  <c r="I58" i="1" l="1"/>
  <c r="J59" i="1"/>
  <c r="I60" i="1"/>
  <c r="J58" i="1"/>
  <c r="I59" i="1"/>
  <c r="J60" i="1"/>
  <c r="C57" i="12"/>
  <c r="D57" i="12"/>
  <c r="C57" i="1"/>
  <c r="D57" i="1"/>
  <c r="E57" i="1"/>
  <c r="F57" i="1"/>
  <c r="G57" i="1"/>
  <c r="H57" i="1"/>
  <c r="C57" i="10"/>
  <c r="D57" i="10"/>
  <c r="J57" i="1" l="1"/>
  <c r="I57" i="1"/>
  <c r="C56" i="1"/>
  <c r="D56" i="1"/>
  <c r="E56" i="1"/>
  <c r="F56" i="1"/>
  <c r="G56" i="1"/>
  <c r="H56" i="1"/>
  <c r="C56" i="12"/>
  <c r="D56" i="12"/>
  <c r="C56" i="10"/>
  <c r="D56" i="10"/>
  <c r="C53" i="12"/>
  <c r="D53" i="12"/>
  <c r="C54" i="12"/>
  <c r="D54" i="12"/>
  <c r="C55" i="12"/>
  <c r="D55" i="12"/>
  <c r="C49" i="12"/>
  <c r="D49" i="12"/>
  <c r="C50" i="12"/>
  <c r="D50" i="12"/>
  <c r="C51" i="12"/>
  <c r="D51" i="12"/>
  <c r="C52" i="12"/>
  <c r="D52" i="12"/>
  <c r="C44" i="12"/>
  <c r="D44" i="12"/>
  <c r="C45" i="12"/>
  <c r="D45" i="12"/>
  <c r="C46" i="12"/>
  <c r="D46" i="12"/>
  <c r="C47" i="12"/>
  <c r="D47" i="12"/>
  <c r="C48" i="12"/>
  <c r="D48" i="12"/>
  <c r="C39" i="12"/>
  <c r="D39" i="12"/>
  <c r="C40" i="12"/>
  <c r="D40" i="12"/>
  <c r="C41" i="12"/>
  <c r="D41" i="12"/>
  <c r="C42" i="12"/>
  <c r="D42" i="12"/>
  <c r="C43" i="12"/>
  <c r="D43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55" i="1"/>
  <c r="D55" i="1"/>
  <c r="E55" i="1"/>
  <c r="F55" i="1"/>
  <c r="G55" i="1"/>
  <c r="H55" i="1"/>
  <c r="C55" i="10"/>
  <c r="D55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I56" i="1" l="1"/>
  <c r="J56" i="1"/>
  <c r="I55" i="1"/>
  <c r="J55" i="1"/>
  <c r="C44" i="1"/>
  <c r="D44" i="1"/>
  <c r="E44" i="1"/>
  <c r="F44" i="1"/>
  <c r="G44" i="1"/>
  <c r="H44" i="1"/>
  <c r="C45" i="1"/>
  <c r="D45" i="1"/>
  <c r="E45" i="1"/>
  <c r="F45" i="1"/>
  <c r="G45" i="1"/>
  <c r="H45" i="1"/>
  <c r="C46" i="1"/>
  <c r="D46" i="1"/>
  <c r="E46" i="1"/>
  <c r="F46" i="1"/>
  <c r="G46" i="1"/>
  <c r="H46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C54" i="1"/>
  <c r="D54" i="1"/>
  <c r="E54" i="1"/>
  <c r="F54" i="1"/>
  <c r="G54" i="1"/>
  <c r="H54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2" i="1"/>
  <c r="D42" i="1"/>
  <c r="E42" i="1"/>
  <c r="F42" i="1"/>
  <c r="G42" i="1"/>
  <c r="H42" i="1"/>
  <c r="C43" i="1"/>
  <c r="D43" i="1"/>
  <c r="E43" i="1"/>
  <c r="F43" i="1"/>
  <c r="G43" i="1"/>
  <c r="H43" i="1"/>
  <c r="I41" i="1" l="1"/>
  <c r="I39" i="1"/>
  <c r="I37" i="1"/>
  <c r="I35" i="1"/>
  <c r="I52" i="1"/>
  <c r="I48" i="1"/>
  <c r="I44" i="1"/>
  <c r="I54" i="1"/>
  <c r="I49" i="1"/>
  <c r="I47" i="1"/>
  <c r="I50" i="1"/>
  <c r="I45" i="1"/>
  <c r="I53" i="1"/>
  <c r="I51" i="1"/>
  <c r="J54" i="1"/>
  <c r="J46" i="1"/>
  <c r="J50" i="1"/>
  <c r="J53" i="1"/>
  <c r="J49" i="1"/>
  <c r="J45" i="1"/>
  <c r="J51" i="1"/>
  <c r="J47" i="1"/>
  <c r="J52" i="1"/>
  <c r="J48" i="1"/>
  <c r="I46" i="1"/>
  <c r="J44" i="1"/>
  <c r="I40" i="1"/>
  <c r="I38" i="1"/>
  <c r="I36" i="1"/>
  <c r="I42" i="1"/>
  <c r="J36" i="1"/>
  <c r="J40" i="1"/>
  <c r="J38" i="1"/>
  <c r="I43" i="1"/>
  <c r="J41" i="1"/>
  <c r="J39" i="1"/>
  <c r="J37" i="1"/>
  <c r="J35" i="1"/>
  <c r="J43" i="1"/>
  <c r="J42" i="1"/>
  <c r="C32" i="10"/>
  <c r="D32" i="10"/>
  <c r="C33" i="10"/>
  <c r="D33" i="10"/>
  <c r="C34" i="10"/>
  <c r="D34" i="10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J33" i="1" l="1"/>
  <c r="I34" i="1"/>
  <c r="I32" i="1"/>
  <c r="J34" i="1"/>
  <c r="I33" i="1"/>
  <c r="J32" i="1"/>
  <c r="C31" i="1"/>
  <c r="D31" i="1"/>
  <c r="E31" i="1"/>
  <c r="F31" i="1"/>
  <c r="G31" i="1"/>
  <c r="H31" i="1"/>
  <c r="C31" i="10"/>
  <c r="D31" i="10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29" i="16"/>
  <c r="D29" i="16"/>
  <c r="C30" i="16"/>
  <c r="D30" i="16"/>
  <c r="C28" i="10"/>
  <c r="D28" i="10"/>
  <c r="C29" i="10"/>
  <c r="D29" i="10"/>
  <c r="C30" i="10"/>
  <c r="D30" i="10"/>
  <c r="D29" i="1"/>
  <c r="E29" i="1"/>
  <c r="F29" i="1"/>
  <c r="G29" i="1"/>
  <c r="H29" i="1"/>
  <c r="D30" i="1"/>
  <c r="E30" i="1"/>
  <c r="F30" i="1"/>
  <c r="G30" i="1"/>
  <c r="H30" i="1"/>
  <c r="C29" i="12"/>
  <c r="D29" i="12"/>
  <c r="C30" i="12"/>
  <c r="D30" i="12"/>
  <c r="I31" i="1" l="1"/>
  <c r="J31" i="1"/>
  <c r="I29" i="1"/>
  <c r="I30" i="1"/>
  <c r="J29" i="1"/>
  <c r="J30" i="1"/>
  <c r="D28" i="1"/>
  <c r="E28" i="1"/>
  <c r="F28" i="1"/>
  <c r="G28" i="1"/>
  <c r="H28" i="1"/>
  <c r="C28" i="12"/>
  <c r="D28" i="12"/>
  <c r="C28" i="16"/>
  <c r="D28" i="16"/>
  <c r="C27" i="10"/>
  <c r="D27" i="10"/>
  <c r="C27" i="12"/>
  <c r="D27" i="12"/>
  <c r="C27" i="16"/>
  <c r="D27" i="16"/>
  <c r="D27" i="1"/>
  <c r="E27" i="1"/>
  <c r="F27" i="1"/>
  <c r="G27" i="1"/>
  <c r="H27" i="1"/>
  <c r="C27" i="9"/>
  <c r="D27" i="9"/>
  <c r="C26" i="9"/>
  <c r="D26" i="9"/>
  <c r="C26" i="11"/>
  <c r="D26" i="11"/>
  <c r="C27" i="11"/>
  <c r="D27" i="11"/>
  <c r="C27" i="15"/>
  <c r="D27" i="15"/>
  <c r="C26" i="15"/>
  <c r="D26" i="15"/>
  <c r="C26" i="10"/>
  <c r="D26" i="10"/>
  <c r="D26" i="1"/>
  <c r="E26" i="1"/>
  <c r="F26" i="1"/>
  <c r="G26" i="1"/>
  <c r="H26" i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I28" i="1" l="1"/>
  <c r="J28" i="1"/>
  <c r="I26" i="1"/>
  <c r="I27" i="1"/>
  <c r="J27" i="1"/>
  <c r="J26" i="1"/>
  <c r="U12" i="1"/>
  <c r="V81" i="1" s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D24" i="1"/>
  <c r="E24" i="1"/>
  <c r="G24" i="1"/>
  <c r="H24" i="1"/>
  <c r="C24" i="9"/>
  <c r="D24" i="9"/>
  <c r="C24" i="11"/>
  <c r="D24" i="11"/>
  <c r="C24" i="15"/>
  <c r="D24" i="15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U6" i="1"/>
  <c r="V75" i="1" s="1"/>
  <c r="U9" i="1"/>
  <c r="C6" i="6" s="1"/>
  <c r="X6" i="1"/>
  <c r="T9" i="1"/>
  <c r="T6" i="1"/>
  <c r="K74" i="1" l="1"/>
  <c r="L74" i="1"/>
  <c r="P74" i="1"/>
  <c r="M74" i="1"/>
  <c r="N74" i="1" s="1"/>
  <c r="Q74" i="1"/>
  <c r="K68" i="1"/>
  <c r="M70" i="1"/>
  <c r="Q70" i="1"/>
  <c r="L71" i="1"/>
  <c r="P71" i="1"/>
  <c r="K72" i="1"/>
  <c r="L72" i="1"/>
  <c r="M68" i="1"/>
  <c r="P69" i="1"/>
  <c r="M72" i="1"/>
  <c r="P73" i="1"/>
  <c r="L68" i="1"/>
  <c r="P68" i="1"/>
  <c r="K69" i="1"/>
  <c r="M71" i="1"/>
  <c r="Q71" i="1"/>
  <c r="M69" i="1"/>
  <c r="Q69" i="1"/>
  <c r="L70" i="1"/>
  <c r="P70" i="1"/>
  <c r="K71" i="1"/>
  <c r="M73" i="1"/>
  <c r="Q73" i="1"/>
  <c r="P72" i="1"/>
  <c r="K73" i="1"/>
  <c r="Q68" i="1"/>
  <c r="L69" i="1"/>
  <c r="K70" i="1"/>
  <c r="Q72" i="1"/>
  <c r="L73" i="1"/>
  <c r="O73" i="1" s="1"/>
  <c r="L67" i="1"/>
  <c r="P67" i="1"/>
  <c r="M67" i="1"/>
  <c r="Q67" i="1"/>
  <c r="K67" i="1"/>
  <c r="M63" i="1"/>
  <c r="Q63" i="1"/>
  <c r="L64" i="1"/>
  <c r="P64" i="1"/>
  <c r="K65" i="1"/>
  <c r="M64" i="1"/>
  <c r="Q64" i="1"/>
  <c r="L65" i="1"/>
  <c r="P65" i="1"/>
  <c r="K66" i="1"/>
  <c r="K63" i="1"/>
  <c r="M65" i="1"/>
  <c r="N65" i="1" s="1"/>
  <c r="Q65" i="1"/>
  <c r="L66" i="1"/>
  <c r="P66" i="1"/>
  <c r="L63" i="1"/>
  <c r="P63" i="1"/>
  <c r="K64" i="1"/>
  <c r="M66" i="1"/>
  <c r="Q66" i="1"/>
  <c r="K61" i="1"/>
  <c r="P61" i="1"/>
  <c r="K62" i="1"/>
  <c r="P62" i="1"/>
  <c r="M62" i="1"/>
  <c r="L61" i="1"/>
  <c r="M61" i="1"/>
  <c r="Q61" i="1"/>
  <c r="L62" i="1"/>
  <c r="O62" i="1" s="1"/>
  <c r="Q62" i="1"/>
  <c r="K58" i="1"/>
  <c r="L58" i="1"/>
  <c r="P58" i="1"/>
  <c r="K59" i="1"/>
  <c r="M58" i="1"/>
  <c r="Q58" i="1"/>
  <c r="L59" i="1"/>
  <c r="P59" i="1"/>
  <c r="K60" i="1"/>
  <c r="M59" i="1"/>
  <c r="Q59" i="1"/>
  <c r="L60" i="1"/>
  <c r="P60" i="1"/>
  <c r="M60" i="1"/>
  <c r="Q60" i="1"/>
  <c r="K57" i="1"/>
  <c r="L57" i="1"/>
  <c r="P57" i="1"/>
  <c r="Q57" i="1"/>
  <c r="M57" i="1"/>
  <c r="K56" i="1"/>
  <c r="L56" i="1"/>
  <c r="M56" i="1"/>
  <c r="P56" i="1"/>
  <c r="Q56" i="1"/>
  <c r="K55" i="1"/>
  <c r="L55" i="1"/>
  <c r="M55" i="1"/>
  <c r="Q55" i="1"/>
  <c r="P55" i="1"/>
  <c r="K44" i="1"/>
  <c r="M46" i="1"/>
  <c r="Q46" i="1"/>
  <c r="L47" i="1"/>
  <c r="P47" i="1"/>
  <c r="K48" i="1"/>
  <c r="M50" i="1"/>
  <c r="Q50" i="1"/>
  <c r="L51" i="1"/>
  <c r="P51" i="1"/>
  <c r="K52" i="1"/>
  <c r="M54" i="1"/>
  <c r="Q54" i="1"/>
  <c r="M44" i="1"/>
  <c r="P45" i="1"/>
  <c r="M48" i="1"/>
  <c r="P49" i="1"/>
  <c r="Q52" i="1"/>
  <c r="P53" i="1"/>
  <c r="M45" i="1"/>
  <c r="L46" i="1"/>
  <c r="K47" i="1"/>
  <c r="Q49" i="1"/>
  <c r="L50" i="1"/>
  <c r="K51" i="1"/>
  <c r="M53" i="1"/>
  <c r="P54" i="1"/>
  <c r="L44" i="1"/>
  <c r="P44" i="1"/>
  <c r="K45" i="1"/>
  <c r="M47" i="1"/>
  <c r="Q47" i="1"/>
  <c r="L48" i="1"/>
  <c r="P48" i="1"/>
  <c r="K49" i="1"/>
  <c r="M51" i="1"/>
  <c r="Q51" i="1"/>
  <c r="L52" i="1"/>
  <c r="P52" i="1"/>
  <c r="K53" i="1"/>
  <c r="Q44" i="1"/>
  <c r="L45" i="1"/>
  <c r="K46" i="1"/>
  <c r="Q48" i="1"/>
  <c r="L49" i="1"/>
  <c r="K50" i="1"/>
  <c r="M52" i="1"/>
  <c r="L53" i="1"/>
  <c r="K54" i="1"/>
  <c r="Q45" i="1"/>
  <c r="P46" i="1"/>
  <c r="M49" i="1"/>
  <c r="P50" i="1"/>
  <c r="Q53" i="1"/>
  <c r="L54" i="1"/>
  <c r="K35" i="1"/>
  <c r="M37" i="1"/>
  <c r="Q37" i="1"/>
  <c r="L38" i="1"/>
  <c r="P38" i="1"/>
  <c r="K39" i="1"/>
  <c r="Q41" i="1"/>
  <c r="P42" i="1"/>
  <c r="Q38" i="1"/>
  <c r="P39" i="1"/>
  <c r="M42" i="1"/>
  <c r="Q42" i="1"/>
  <c r="P43" i="1"/>
  <c r="L35" i="1"/>
  <c r="M35" i="1"/>
  <c r="Q35" i="1"/>
  <c r="L36" i="1"/>
  <c r="P36" i="1"/>
  <c r="K37" i="1"/>
  <c r="M39" i="1"/>
  <c r="Q39" i="1"/>
  <c r="L40" i="1"/>
  <c r="P40" i="1"/>
  <c r="K41" i="1"/>
  <c r="M43" i="1"/>
  <c r="Q43" i="1"/>
  <c r="M36" i="1"/>
  <c r="L37" i="1"/>
  <c r="P37" i="1"/>
  <c r="K38" i="1"/>
  <c r="M40" i="1"/>
  <c r="Q40" i="1"/>
  <c r="L41" i="1"/>
  <c r="P41" i="1"/>
  <c r="K42" i="1"/>
  <c r="M41" i="1"/>
  <c r="L42" i="1"/>
  <c r="K43" i="1"/>
  <c r="P35" i="1"/>
  <c r="K36" i="1"/>
  <c r="M38" i="1"/>
  <c r="L39" i="1"/>
  <c r="K40" i="1"/>
  <c r="L43" i="1"/>
  <c r="Q36" i="1"/>
  <c r="L32" i="1"/>
  <c r="P32" i="1"/>
  <c r="K33" i="1"/>
  <c r="Q33" i="1"/>
  <c r="L34" i="1"/>
  <c r="K32" i="1"/>
  <c r="M34" i="1"/>
  <c r="Q34" i="1"/>
  <c r="M32" i="1"/>
  <c r="N32" i="1" s="1"/>
  <c r="Q32" i="1"/>
  <c r="L33" i="1"/>
  <c r="P33" i="1"/>
  <c r="K34" i="1"/>
  <c r="P34" i="1"/>
  <c r="M33" i="1"/>
  <c r="K31" i="1"/>
  <c r="P31" i="1"/>
  <c r="L31" i="1"/>
  <c r="M31" i="1"/>
  <c r="Q31" i="1"/>
  <c r="K29" i="1"/>
  <c r="L29" i="1"/>
  <c r="P29" i="1"/>
  <c r="K30" i="1"/>
  <c r="Q29" i="1"/>
  <c r="L30" i="1"/>
  <c r="P30" i="1"/>
  <c r="M30" i="1"/>
  <c r="M29" i="1"/>
  <c r="Q30" i="1"/>
  <c r="K16" i="1"/>
  <c r="K19" i="1"/>
  <c r="K15" i="1"/>
  <c r="K12" i="1"/>
  <c r="K14" i="1"/>
  <c r="K27" i="1"/>
  <c r="K21" i="1"/>
  <c r="K5" i="1"/>
  <c r="K24" i="1"/>
  <c r="K11" i="1"/>
  <c r="K23" i="1"/>
  <c r="K10" i="1"/>
  <c r="K20" i="1"/>
  <c r="K17" i="1"/>
  <c r="K28" i="1"/>
  <c r="K7" i="1"/>
  <c r="K22" i="1"/>
  <c r="K6" i="1"/>
  <c r="K8" i="1"/>
  <c r="K13" i="1"/>
  <c r="K18" i="1"/>
  <c r="K26" i="1"/>
  <c r="K25" i="1"/>
  <c r="K9" i="1"/>
  <c r="L8" i="1"/>
  <c r="L28" i="1"/>
  <c r="M28" i="1"/>
  <c r="P28" i="1"/>
  <c r="Q28" i="1"/>
  <c r="L27" i="1"/>
  <c r="M27" i="1"/>
  <c r="Q27" i="1"/>
  <c r="P27" i="1"/>
  <c r="L26" i="1"/>
  <c r="P26" i="1"/>
  <c r="M26" i="1"/>
  <c r="Q26" i="1"/>
  <c r="M25" i="1"/>
  <c r="L25" i="1"/>
  <c r="Q25" i="1"/>
  <c r="P25" i="1"/>
  <c r="M24" i="1"/>
  <c r="Q24" i="1"/>
  <c r="L24" i="1"/>
  <c r="P24" i="1"/>
  <c r="L23" i="1"/>
  <c r="Q23" i="1"/>
  <c r="M23" i="1"/>
  <c r="P23" i="1"/>
  <c r="L16" i="1"/>
  <c r="P16" i="1"/>
  <c r="L17" i="1"/>
  <c r="P18" i="1"/>
  <c r="M19" i="1"/>
  <c r="L20" i="1"/>
  <c r="Q20" i="1"/>
  <c r="P21" i="1"/>
  <c r="M22" i="1"/>
  <c r="M18" i="1"/>
  <c r="Q19" i="1"/>
  <c r="L21" i="1"/>
  <c r="P20" i="1"/>
  <c r="L22" i="1"/>
  <c r="M16" i="1"/>
  <c r="Q16" i="1"/>
  <c r="M17" i="1"/>
  <c r="L18" i="1"/>
  <c r="Q18" i="1"/>
  <c r="P19" i="1"/>
  <c r="M20" i="1"/>
  <c r="Q21" i="1"/>
  <c r="P17" i="1"/>
  <c r="P22" i="1"/>
  <c r="Q17" i="1"/>
  <c r="L19" i="1"/>
  <c r="M21" i="1"/>
  <c r="Q22" i="1"/>
  <c r="V79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R74" i="1" l="1"/>
  <c r="S74" i="1"/>
  <c r="O74" i="1"/>
  <c r="O68" i="1"/>
  <c r="O69" i="1"/>
  <c r="N71" i="1"/>
  <c r="N72" i="1"/>
  <c r="O70" i="1"/>
  <c r="R72" i="1"/>
  <c r="S72" i="1"/>
  <c r="R70" i="1"/>
  <c r="S70" i="1"/>
  <c r="N68" i="1"/>
  <c r="O71" i="1"/>
  <c r="R73" i="1"/>
  <c r="S73" i="1"/>
  <c r="O72" i="1"/>
  <c r="N73" i="1"/>
  <c r="N70" i="1"/>
  <c r="N69" i="1"/>
  <c r="R68" i="1"/>
  <c r="S68" i="1"/>
  <c r="R69" i="1"/>
  <c r="S69" i="1"/>
  <c r="R71" i="1"/>
  <c r="S71" i="1"/>
  <c r="N67" i="1"/>
  <c r="N33" i="1"/>
  <c r="R67" i="1"/>
  <c r="S67" i="1"/>
  <c r="O67" i="1"/>
  <c r="O63" i="1"/>
  <c r="O66" i="1"/>
  <c r="N64" i="1"/>
  <c r="O65" i="1"/>
  <c r="R64" i="1"/>
  <c r="S64" i="1"/>
  <c r="N66" i="1"/>
  <c r="S66" i="1"/>
  <c r="R66" i="1"/>
  <c r="O64" i="1"/>
  <c r="R63" i="1"/>
  <c r="S63" i="1"/>
  <c r="S65" i="1"/>
  <c r="R65" i="1"/>
  <c r="N63" i="1"/>
  <c r="N61" i="1"/>
  <c r="R62" i="1"/>
  <c r="S62" i="1"/>
  <c r="O61" i="1"/>
  <c r="R61" i="1"/>
  <c r="S61" i="1"/>
  <c r="N62" i="1"/>
  <c r="O58" i="1"/>
  <c r="O59" i="1"/>
  <c r="N60" i="1"/>
  <c r="O60" i="1"/>
  <c r="R59" i="1"/>
  <c r="S59" i="1"/>
  <c r="S58" i="1"/>
  <c r="R58" i="1"/>
  <c r="N59" i="1"/>
  <c r="S60" i="1"/>
  <c r="R60" i="1"/>
  <c r="N58" i="1"/>
  <c r="O57" i="1"/>
  <c r="N56" i="1"/>
  <c r="S57" i="1"/>
  <c r="R57" i="1"/>
  <c r="N57" i="1"/>
  <c r="S56" i="1"/>
  <c r="R56" i="1"/>
  <c r="O56" i="1"/>
  <c r="N34" i="1"/>
  <c r="O37" i="1"/>
  <c r="O55" i="1"/>
  <c r="N40" i="1"/>
  <c r="N35" i="1"/>
  <c r="N46" i="1"/>
  <c r="N55" i="1"/>
  <c r="R55" i="1"/>
  <c r="S55" i="1"/>
  <c r="O52" i="1"/>
  <c r="N49" i="1"/>
  <c r="N51" i="1"/>
  <c r="O50" i="1"/>
  <c r="N48" i="1"/>
  <c r="O53" i="1"/>
  <c r="O44" i="1"/>
  <c r="N45" i="1"/>
  <c r="N54" i="1"/>
  <c r="O47" i="1"/>
  <c r="N52" i="1"/>
  <c r="N31" i="1"/>
  <c r="O54" i="1"/>
  <c r="R46" i="1"/>
  <c r="S46" i="1"/>
  <c r="R52" i="1"/>
  <c r="S52" i="1"/>
  <c r="N47" i="1"/>
  <c r="R54" i="1"/>
  <c r="S54" i="1"/>
  <c r="R53" i="1"/>
  <c r="S53" i="1"/>
  <c r="R45" i="1"/>
  <c r="S45" i="1"/>
  <c r="N50" i="1"/>
  <c r="O45" i="1"/>
  <c r="S48" i="1"/>
  <c r="R48" i="1"/>
  <c r="N53" i="1"/>
  <c r="N44" i="1"/>
  <c r="R51" i="1"/>
  <c r="S51" i="1"/>
  <c r="R50" i="1"/>
  <c r="S50" i="1"/>
  <c r="O49" i="1"/>
  <c r="O48" i="1"/>
  <c r="R44" i="1"/>
  <c r="S44" i="1"/>
  <c r="O46" i="1"/>
  <c r="R49" i="1"/>
  <c r="S49" i="1"/>
  <c r="O51" i="1"/>
  <c r="R47" i="1"/>
  <c r="S47" i="1"/>
  <c r="O43" i="1"/>
  <c r="N41" i="1"/>
  <c r="N39" i="1"/>
  <c r="O38" i="1"/>
  <c r="N36" i="1"/>
  <c r="N42" i="1"/>
  <c r="R42" i="1"/>
  <c r="S42" i="1"/>
  <c r="R40" i="1"/>
  <c r="S40" i="1"/>
  <c r="O39" i="1"/>
  <c r="R41" i="1"/>
  <c r="S41" i="1"/>
  <c r="O40" i="1"/>
  <c r="R36" i="1"/>
  <c r="S36" i="1"/>
  <c r="O35" i="1"/>
  <c r="R39" i="1"/>
  <c r="S39" i="1"/>
  <c r="N37" i="1"/>
  <c r="R35" i="1"/>
  <c r="S35" i="1"/>
  <c r="N38" i="1"/>
  <c r="O42" i="1"/>
  <c r="O41" i="1"/>
  <c r="R37" i="1"/>
  <c r="S37" i="1"/>
  <c r="N43" i="1"/>
  <c r="O36" i="1"/>
  <c r="R43" i="1"/>
  <c r="S43" i="1"/>
  <c r="R38" i="1"/>
  <c r="S38" i="1"/>
  <c r="R33" i="1"/>
  <c r="S33" i="1"/>
  <c r="O33" i="1"/>
  <c r="R34" i="1"/>
  <c r="S34" i="1"/>
  <c r="R32" i="1"/>
  <c r="S32" i="1"/>
  <c r="O34" i="1"/>
  <c r="O32" i="1"/>
  <c r="O31" i="1"/>
  <c r="R31" i="1"/>
  <c r="S31" i="1"/>
  <c r="N30" i="1"/>
  <c r="S22" i="1"/>
  <c r="U15" i="1"/>
  <c r="N29" i="1"/>
  <c r="R30" i="1"/>
  <c r="S30" i="1"/>
  <c r="R29" i="1"/>
  <c r="S29" i="1"/>
  <c r="O30" i="1"/>
  <c r="O29" i="1"/>
  <c r="N28" i="1"/>
  <c r="R28" i="1"/>
  <c r="S28" i="1"/>
  <c r="O28" i="1"/>
  <c r="O27" i="1"/>
  <c r="R27" i="1"/>
  <c r="S27" i="1"/>
  <c r="N27" i="1"/>
  <c r="N26" i="1"/>
  <c r="R26" i="1"/>
  <c r="S26" i="1"/>
  <c r="O26" i="1"/>
  <c r="N25" i="1"/>
  <c r="R25" i="1"/>
  <c r="S25" i="1"/>
  <c r="O24" i="1"/>
  <c r="O25" i="1"/>
  <c r="R24" i="1"/>
  <c r="S24" i="1"/>
  <c r="N24" i="1"/>
  <c r="O21" i="1"/>
  <c r="S23" i="1"/>
  <c r="R22" i="1"/>
  <c r="R18" i="1"/>
  <c r="O23" i="1"/>
  <c r="N16" i="1"/>
  <c r="N23" i="1"/>
  <c r="O19" i="1"/>
  <c r="R23" i="1"/>
  <c r="S20" i="1"/>
  <c r="O17" i="1"/>
  <c r="S19" i="1"/>
  <c r="R19" i="1"/>
  <c r="N21" i="1"/>
  <c r="R17" i="1"/>
  <c r="S17" i="1"/>
  <c r="S18" i="1"/>
  <c r="O18" i="1"/>
  <c r="N18" i="1"/>
  <c r="R16" i="1"/>
  <c r="S16" i="1"/>
  <c r="S21" i="1"/>
  <c r="R21" i="1"/>
  <c r="O20" i="1"/>
  <c r="N20" i="1"/>
  <c r="N17" i="1"/>
  <c r="R20" i="1"/>
  <c r="O22" i="1"/>
  <c r="N22" i="1"/>
  <c r="N19" i="1"/>
  <c r="O16" i="1"/>
  <c r="U21" i="1"/>
  <c r="V87" i="1" s="1"/>
  <c r="C8" i="6" s="1"/>
  <c r="U77" i="1"/>
  <c r="V89" i="1" s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M5" i="1"/>
  <c r="M6" i="1"/>
  <c r="M7" i="1"/>
  <c r="M8" i="1"/>
  <c r="M9" i="1"/>
  <c r="M10" i="1"/>
  <c r="M11" i="1"/>
  <c r="M12" i="1"/>
  <c r="M13" i="1"/>
  <c r="M14" i="1"/>
  <c r="M15" i="1"/>
  <c r="L5" i="1"/>
  <c r="L6" i="1"/>
  <c r="L7" i="1"/>
  <c r="L9" i="1"/>
  <c r="L10" i="1"/>
  <c r="J11" i="1"/>
  <c r="L12" i="1"/>
  <c r="L13" i="1"/>
  <c r="L14" i="1"/>
  <c r="J15" i="1"/>
  <c r="O12" i="1" l="1"/>
  <c r="O8" i="1"/>
  <c r="O7" i="1"/>
  <c r="G8" i="6"/>
  <c r="V91" i="1"/>
  <c r="O9" i="1"/>
  <c r="R10" i="1"/>
  <c r="S12" i="1"/>
  <c r="R9" i="1"/>
  <c r="S11" i="1"/>
  <c r="R5" i="1"/>
  <c r="S7" i="1"/>
  <c r="S9" i="1"/>
  <c r="R11" i="1"/>
  <c r="S13" i="1"/>
  <c r="S15" i="1"/>
  <c r="R15" i="1"/>
  <c r="S5" i="1"/>
  <c r="R7" i="1"/>
  <c r="R13" i="1"/>
  <c r="S10" i="1"/>
  <c r="R12" i="1"/>
  <c r="S14" i="1"/>
  <c r="O5" i="1"/>
  <c r="R14" i="1"/>
  <c r="N13" i="1"/>
  <c r="O13" i="1"/>
  <c r="N9" i="1"/>
  <c r="N12" i="1"/>
  <c r="N8" i="1"/>
  <c r="O14" i="1"/>
  <c r="O10" i="1"/>
  <c r="O6" i="1"/>
  <c r="N7" i="1"/>
  <c r="L15" i="1"/>
  <c r="O15" i="1" s="1"/>
  <c r="L11" i="1"/>
  <c r="O11" i="1" s="1"/>
  <c r="N14" i="1"/>
  <c r="N10" i="1"/>
  <c r="N6" i="1"/>
  <c r="N5" i="1"/>
  <c r="S6" i="1"/>
  <c r="J14" i="1"/>
  <c r="J10" i="1"/>
  <c r="J6" i="1"/>
  <c r="I13" i="1"/>
  <c r="I9" i="1"/>
  <c r="J5" i="1"/>
  <c r="R6" i="1"/>
  <c r="S8" i="1"/>
  <c r="R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V83" i="1" l="1"/>
  <c r="U18" i="1"/>
  <c r="V85" i="1" s="1"/>
  <c r="N11" i="1"/>
  <c r="N15" i="1"/>
  <c r="C14" i="6" l="1"/>
  <c r="G6" i="6"/>
  <c r="G14" i="6"/>
</calcChain>
</file>

<file path=xl/sharedStrings.xml><?xml version="1.0" encoding="utf-8"?>
<sst xmlns="http://schemas.openxmlformats.org/spreadsheetml/2006/main" count="165" uniqueCount="65">
  <si>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</si>
  <si>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</si>
  <si>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</si>
  <si>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</si>
  <si>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</si>
  <si>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</si>
  <si>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</si>
  <si>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</si>
  <si>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</si>
  <si>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</si>
  <si>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</si>
  <si>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</si>
  <si>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</si>
  <si>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</si>
  <si>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</si>
  <si>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</si>
  <si>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</si>
  <si>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</si>
  <si>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</si>
  <si>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</si>
  <si>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</si>
  <si>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</si>
  <si>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</si>
  <si>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</si>
  <si>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</si>
  <si>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</si>
  <si>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</si>
  <si>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</si>
  <si>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</si>
  <si>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</si>
  <si>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</si>
  <si>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</si>
  <si>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</si>
  <si>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</si>
  <si>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</si>
  <si>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</si>
  <si>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</si>
  <si>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</si>
  <si>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</si>
  <si>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</si>
  <si>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</si>
  <si>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</si>
  <si>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</si>
  <si>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</si>
  <si>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</si>
  <si>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</si>
  <si>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</si>
  <si>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</si>
  <si>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</si>
  <si>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</si>
  <si>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</si>
  <si>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</si>
  <si>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</si>
  <si>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</si>
  <si>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</si>
  <si>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</si>
  <si>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</si>
  <si>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</si>
  <si>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</si>
  <si>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</si>
  <si>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</si>
  <si>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</si>
  <si>
    <t>estimated infections as percentage</t>
  </si>
  <si>
    <t>May 12 - 18</t>
  </si>
  <si>
    <t>May 19 - 25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</si>
</sst>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[$-409]mmmm\ d\,\ yyyy;@"/>
    <numFmt numFmtId="166" formatCode="0.0"/>
    <numFmt numFmtId="167" formatCode="[$-409]d\-mmm;@"/>
  </numFmts>
  <fonts count="23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  <font>
      <b/>
      <sz val="60"/>
      <color theme="0"/>
      <name val="Helvetica"/>
      <family val="2"/>
    </font>
    <font>
      <sz val="12"/>
      <color theme="3"/>
      <name val="Helvetica"/>
      <family val="2"/>
    </font>
    <font>
      <b/>
      <sz val="13"/>
      <color rgb="FF000000"/>
      <name val="Arial"/>
      <family val="2"/>
    </font>
    <font>
      <sz val="12"/>
      <color rgb="FF242852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9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  <xf numFmtId="3" fontId="19" fillId="3" borderId="0" xfId="0" applyNumberFormat="1" applyFont="1" applyFill="1" applyAlignment="1">
      <alignment horizontal="center" vertical="center"/>
    </xf>
    <xf numFmtId="0" fontId="9" fillId="0" borderId="0" xfId="0" applyFont="1"/>
    <xf numFmtId="3" fontId="21" fillId="0" borderId="0" xfId="0" applyNumberFormat="1" applyFont="1"/>
    <xf numFmtId="1" fontId="9" fillId="0" borderId="0" xfId="0" applyNumberFormat="1" applyFont="1" applyBorder="1"/>
    <xf numFmtId="0" fontId="5" fillId="0" borderId="0" xfId="0" applyFont="1"/>
    <xf numFmtId="1" fontId="5" fillId="0" borderId="0" xfId="0" applyNumberFormat="1" applyFont="1"/>
    <xf numFmtId="3" fontId="5" fillId="0" borderId="0" xfId="0" applyNumberFormat="1" applyFont="1"/>
    <xf numFmtId="167" fontId="2" fillId="0" borderId="0" xfId="0" applyNumberFormat="1" applyFont="1"/>
    <xf numFmtId="167" fontId="20" fillId="6" borderId="2" xfId="1" applyNumberFormat="1" applyFont="1" applyFill="1" applyBorder="1" applyAlignment="1">
      <alignment horizontal="right" vertical="top"/>
    </xf>
    <xf numFmtId="167" fontId="6" fillId="0" borderId="0" xfId="0" applyNumberFormat="1" applyFont="1"/>
    <xf numFmtId="167" fontId="0" fillId="0" borderId="0" xfId="0" applyNumberFormat="1" applyFont="1"/>
    <xf numFmtId="167" fontId="22" fillId="7" borderId="5" xfId="0" applyNumberFormat="1" applyFont="1" applyFill="1" applyBorder="1" applyAlignment="1">
      <alignment horizontal="right" vertical="top"/>
    </xf>
  </cellXfs>
  <cellStyles count="3">
    <cellStyle name="Heading 3" xfId="1" builtinId="18"/>
    <cellStyle name="Normal" xfId="0" builtinId="0"/>
    <cellStyle name="Percent" xfId="2" builtinId="5"/>
  </cellStyles>
  <dxfs count="2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7" formatCode="[$-409]d\-m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  <color rgb="FFCCCDFF"/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2783931669558"/>
          <c:y val="0.14237288135593221"/>
          <c:w val="0.87066675563859597"/>
          <c:h val="0.74125423728813555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cat>
            <c:numRef>
              <c:f>compute!$A$6:$A$10056</c:f>
              <c:numCache>
                <c:formatCode>[$-409]d\-mmm;@</c:formatCode>
                <c:ptCount val="10051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  <c:pt idx="57">
                  <c:v>43971</c:v>
                </c:pt>
                <c:pt idx="58">
                  <c:v>43972</c:v>
                </c:pt>
                <c:pt idx="59">
                  <c:v>43973</c:v>
                </c:pt>
                <c:pt idx="60">
                  <c:v>43974</c:v>
                </c:pt>
                <c:pt idx="61">
                  <c:v>43976</c:v>
                </c:pt>
                <c:pt idx="62">
                  <c:v>43977</c:v>
                </c:pt>
                <c:pt idx="63">
                  <c:v>43978</c:v>
                </c:pt>
                <c:pt idx="64">
                  <c:v>43979</c:v>
                </c:pt>
                <c:pt idx="65">
                  <c:v>43980</c:v>
                </c:pt>
                <c:pt idx="66">
                  <c:v>43981</c:v>
                </c:pt>
                <c:pt idx="67">
                  <c:v>43982</c:v>
                </c:pt>
                <c:pt idx="68">
                  <c:v>43983</c:v>
                </c:pt>
              </c:numCache>
            </c:numRef>
          </c:cat>
          <c:val>
            <c:numRef>
              <c:f>compute!$D$6:$D$10056</c:f>
              <c:numCache>
                <c:formatCode>0.0%</c:formatCode>
                <c:ptCount val="10051"/>
                <c:pt idx="0">
                  <c:v>0.28947368421052633</c:v>
                </c:pt>
                <c:pt idx="1">
                  <c:v>0.30612244897959184</c:v>
                </c:pt>
                <c:pt idx="2">
                  <c:v>0.34765625</c:v>
                </c:pt>
                <c:pt idx="3">
                  <c:v>0.34492753623188405</c:v>
                </c:pt>
                <c:pt idx="4">
                  <c:v>0.29956896551724138</c:v>
                </c:pt>
                <c:pt idx="5">
                  <c:v>0.34660033167495852</c:v>
                </c:pt>
                <c:pt idx="6">
                  <c:v>0.14655172413793102</c:v>
                </c:pt>
                <c:pt idx="7">
                  <c:v>0.26638023630504831</c:v>
                </c:pt>
                <c:pt idx="8">
                  <c:v>0.16284987277353691</c:v>
                </c:pt>
                <c:pt idx="9">
                  <c:v>0.22319474835886213</c:v>
                </c:pt>
                <c:pt idx="10">
                  <c:v>0.16815742397137745</c:v>
                </c:pt>
                <c:pt idx="11">
                  <c:v>0.16947422154160285</c:v>
                </c:pt>
                <c:pt idx="12">
                  <c:v>7.4203404626800529E-2</c:v>
                </c:pt>
                <c:pt idx="13">
                  <c:v>0.13856156034132466</c:v>
                </c:pt>
                <c:pt idx="14">
                  <c:v>0.10635260528194147</c:v>
                </c:pt>
                <c:pt idx="15">
                  <c:v>7.0000000000000007E-2</c:v>
                </c:pt>
                <c:pt idx="16">
                  <c:v>8.1398854386493816E-2</c:v>
                </c:pt>
                <c:pt idx="17">
                  <c:v>6.3841650404237518E-2</c:v>
                </c:pt>
                <c:pt idx="18">
                  <c:v>7.20649895178197E-2</c:v>
                </c:pt>
                <c:pt idx="19">
                  <c:v>4.4487900268882913E-2</c:v>
                </c:pt>
                <c:pt idx="20">
                  <c:v>5.0081909665340513E-2</c:v>
                </c:pt>
                <c:pt idx="21">
                  <c:v>3.5881435257410298E-2</c:v>
                </c:pt>
                <c:pt idx="22">
                  <c:v>4.4965576592082619E-2</c:v>
                </c:pt>
                <c:pt idx="23">
                  <c:v>3.3148033765698991E-2</c:v>
                </c:pt>
                <c:pt idx="24">
                  <c:v>6.1179752889597448E-2</c:v>
                </c:pt>
                <c:pt idx="25">
                  <c:v>2.7793427230046949E-2</c:v>
                </c:pt>
                <c:pt idx="26">
                  <c:v>3.1427005298739263E-2</c:v>
                </c:pt>
                <c:pt idx="27">
                  <c:v>3.6669619131975202E-2</c:v>
                </c:pt>
                <c:pt idx="28">
                  <c:v>3.6226930963773066E-2</c:v>
                </c:pt>
                <c:pt idx="29">
                  <c:v>2.6879947229551452E-2</c:v>
                </c:pt>
                <c:pt idx="30">
                  <c:v>2.9869921310422355E-2</c:v>
                </c:pt>
                <c:pt idx="31">
                  <c:v>3.8203648838297209E-2</c:v>
                </c:pt>
                <c:pt idx="32">
                  <c:v>7.8101531991589066E-3</c:v>
                </c:pt>
                <c:pt idx="33">
                  <c:v>4.3368107302533529E-2</c:v>
                </c:pt>
                <c:pt idx="34">
                  <c:v>2.2568204542208255E-2</c:v>
                </c:pt>
                <c:pt idx="35">
                  <c:v>2.8635284257577873E-2</c:v>
                </c:pt>
                <c:pt idx="36">
                  <c:v>7.3329712112982079E-3</c:v>
                </c:pt>
                <c:pt idx="37">
                  <c:v>9.7061202480452947E-3</c:v>
                </c:pt>
                <c:pt idx="38">
                  <c:v>2.6034712950600801E-2</c:v>
                </c:pt>
                <c:pt idx="39">
                  <c:v>1.9648666232921275E-2</c:v>
                </c:pt>
                <c:pt idx="40">
                  <c:v>1.1740684022460439E-2</c:v>
                </c:pt>
                <c:pt idx="41">
                  <c:v>3.0020181634712411E-2</c:v>
                </c:pt>
                <c:pt idx="42">
                  <c:v>1.3348028410482488E-2</c:v>
                </c:pt>
                <c:pt idx="43">
                  <c:v>1.3413897280966768E-2</c:v>
                </c:pt>
                <c:pt idx="44">
                  <c:v>1.7409968995945622E-2</c:v>
                </c:pt>
                <c:pt idx="45">
                  <c:v>7.266760431317393E-3</c:v>
                </c:pt>
                <c:pt idx="46">
                  <c:v>1.407959041191529E-2</c:v>
                </c:pt>
                <c:pt idx="47">
                  <c:v>1.2392426850258176E-2</c:v>
                </c:pt>
                <c:pt idx="48">
                  <c:v>5.6670066870678909E-3</c:v>
                </c:pt>
                <c:pt idx="49">
                  <c:v>1.6003606446523159E-2</c:v>
                </c:pt>
                <c:pt idx="50">
                  <c:v>6.2118691070438157E-3</c:v>
                </c:pt>
                <c:pt idx="51">
                  <c:v>8.8193142983133063E-3</c:v>
                </c:pt>
                <c:pt idx="52">
                  <c:v>1.3768986995956725E-2</c:v>
                </c:pt>
                <c:pt idx="53">
                  <c:v>1.8001509108548024E-2</c:v>
                </c:pt>
                <c:pt idx="54">
                  <c:v>1.5353663701821263E-2</c:v>
                </c:pt>
                <c:pt idx="55">
                  <c:v>1.2410053185942226E-2</c:v>
                </c:pt>
                <c:pt idx="56">
                  <c:v>4.5323444581788219E-3</c:v>
                </c:pt>
                <c:pt idx="57">
                  <c:v>5.0246103363412635E-3</c:v>
                </c:pt>
                <c:pt idx="58">
                  <c:v>1.8161412100806039E-2</c:v>
                </c:pt>
                <c:pt idx="59">
                  <c:v>8.7183084477402539E-3</c:v>
                </c:pt>
                <c:pt idx="60">
                  <c:v>8.7423008146234847E-3</c:v>
                </c:pt>
                <c:pt idx="61">
                  <c:v>1.9795154618869409E-2</c:v>
                </c:pt>
                <c:pt idx="62">
                  <c:v>6.6634476098503138E-3</c:v>
                </c:pt>
                <c:pt idx="63">
                  <c:v>4.7006907137375287E-3</c:v>
                </c:pt>
                <c:pt idx="64">
                  <c:v>1.0598682325981094E-2</c:v>
                </c:pt>
                <c:pt idx="65">
                  <c:v>1.1810279667422525E-2</c:v>
                </c:pt>
                <c:pt idx="66">
                  <c:v>9.6180782519376222E-3</c:v>
                </c:pt>
                <c:pt idx="67">
                  <c:v>1.1376248612652608E-2</c:v>
                </c:pt>
                <c:pt idx="68">
                  <c:v>8.6877000457247378E-3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82"/>
          <c:min val="43941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3"/>
        <c:majorTimeUnit val="days"/>
      </c:dateAx>
      <c:valAx>
        <c:axId val="1207600816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717603096223138E-2"/>
          <c:y val="0.14237288135593221"/>
          <c:w val="0.85880234885893503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forward val="1"/>
            <c:dispRSqr val="0"/>
            <c:dispEq val="0"/>
          </c:trendline>
          <c:cat>
            <c:numRef>
              <c:f>compute!$A$6:$A$10056</c:f>
              <c:numCache>
                <c:formatCode>[$-409]d\-mmm;@</c:formatCode>
                <c:ptCount val="10051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  <c:pt idx="57">
                  <c:v>43971</c:v>
                </c:pt>
                <c:pt idx="58">
                  <c:v>43972</c:v>
                </c:pt>
                <c:pt idx="59">
                  <c:v>43973</c:v>
                </c:pt>
                <c:pt idx="60">
                  <c:v>43974</c:v>
                </c:pt>
                <c:pt idx="61">
                  <c:v>43976</c:v>
                </c:pt>
                <c:pt idx="62">
                  <c:v>43977</c:v>
                </c:pt>
                <c:pt idx="63">
                  <c:v>43978</c:v>
                </c:pt>
                <c:pt idx="64">
                  <c:v>43979</c:v>
                </c:pt>
                <c:pt idx="65">
                  <c:v>43980</c:v>
                </c:pt>
                <c:pt idx="66">
                  <c:v>43981</c:v>
                </c:pt>
                <c:pt idx="67">
                  <c:v>43982</c:v>
                </c:pt>
                <c:pt idx="68">
                  <c:v>43983</c:v>
                </c:pt>
              </c:numCache>
            </c:numRef>
          </c:cat>
          <c:val>
            <c:numRef>
              <c:f>compute!$E$6:$E$10056</c:f>
              <c:numCache>
                <c:formatCode>0.0</c:formatCode>
                <c:ptCount val="10051"/>
                <c:pt idx="0">
                  <c:v>2.7264126877891832</c:v>
                </c:pt>
                <c:pt idx="1">
                  <c:v>2.5954465348422167</c:v>
                </c:pt>
                <c:pt idx="2">
                  <c:v>2.3231364203342348</c:v>
                </c:pt>
                <c:pt idx="3">
                  <c:v>2.3390256608477276</c:v>
                </c:pt>
                <c:pt idx="4">
                  <c:v>2.6452703321760542</c:v>
                </c:pt>
                <c:pt idx="5">
                  <c:v>2.329255523549266</c:v>
                </c:pt>
                <c:pt idx="6">
                  <c:v>5.0683867188519347</c:v>
                </c:pt>
                <c:pt idx="7">
                  <c:v>2.9350418410450274</c:v>
                </c:pt>
                <c:pt idx="8">
                  <c:v>4.594218989141579</c:v>
                </c:pt>
                <c:pt idx="9">
                  <c:v>3.4405155090192001</c:v>
                </c:pt>
                <c:pt idx="10">
                  <c:v>4.4596129019590443</c:v>
                </c:pt>
                <c:pt idx="11">
                  <c:v>4.4275202769727011</c:v>
                </c:pt>
                <c:pt idx="12">
                  <c:v>9.6836169490150699</c:v>
                </c:pt>
                <c:pt idx="13">
                  <c:v>5.3415294338518668</c:v>
                </c:pt>
                <c:pt idx="14">
                  <c:v>6.8581809240681908</c:v>
                </c:pt>
                <c:pt idx="15">
                  <c:v>10.244768351058712</c:v>
                </c:pt>
                <c:pt idx="16">
                  <c:v>8.857495313952132</c:v>
                </c:pt>
                <c:pt idx="17">
                  <c:v>11.20028704389693</c:v>
                </c:pt>
                <c:pt idx="18">
                  <c:v>9.96091676104197</c:v>
                </c:pt>
                <c:pt idx="19">
                  <c:v>15.924637026490627</c:v>
                </c:pt>
                <c:pt idx="20">
                  <c:v>14.184021538998522</c:v>
                </c:pt>
                <c:pt idx="21">
                  <c:v>19.662247910950395</c:v>
                </c:pt>
                <c:pt idx="22">
                  <c:v>15.759095716636351</c:v>
                </c:pt>
                <c:pt idx="23">
                  <c:v>21.255347458768309</c:v>
                </c:pt>
                <c:pt idx="24">
                  <c:v>11.672826375517154</c:v>
                </c:pt>
                <c:pt idx="25">
                  <c:v>25.284238323265988</c:v>
                </c:pt>
                <c:pt idx="26">
                  <c:v>22.400568352945822</c:v>
                </c:pt>
                <c:pt idx="27">
                  <c:v>19.246985379249875</c:v>
                </c:pt>
                <c:pt idx="28">
                  <c:v>19.477995929350573</c:v>
                </c:pt>
                <c:pt idx="29">
                  <c:v>26.131817554080403</c:v>
                </c:pt>
                <c:pt idx="30">
                  <c:v>23.55039768449053</c:v>
                </c:pt>
                <c:pt idx="31">
                  <c:v>18.487889118218384</c:v>
                </c:pt>
                <c:pt idx="32">
                  <c:v>89.095622829796753</c:v>
                </c:pt>
                <c:pt idx="33">
                  <c:v>16.326999709277924</c:v>
                </c:pt>
                <c:pt idx="34">
                  <c:v>31.058723813341835</c:v>
                </c:pt>
                <c:pt idx="35">
                  <c:v>24.550994839858753</c:v>
                </c:pt>
                <c:pt idx="36">
                  <c:v>94.870889301226129</c:v>
                </c:pt>
                <c:pt idx="37">
                  <c:v>71.759429333057724</c:v>
                </c:pt>
                <c:pt idx="38">
                  <c:v>26.969049960532978</c:v>
                </c:pt>
                <c:pt idx="39">
                  <c:v>35.622509801798749</c:v>
                </c:pt>
                <c:pt idx="40">
                  <c:v>59.383957056845482</c:v>
                </c:pt>
                <c:pt idx="41">
                  <c:v>23.434238408786449</c:v>
                </c:pt>
                <c:pt idx="42">
                  <c:v>52.274613886566158</c:v>
                </c:pt>
                <c:pt idx="43">
                  <c:v>52.019614008401071</c:v>
                </c:pt>
                <c:pt idx="44">
                  <c:v>40.158811241103884</c:v>
                </c:pt>
                <c:pt idx="45">
                  <c:v>95.732151243481965</c:v>
                </c:pt>
                <c:pt idx="46">
                  <c:v>49.576401282989799</c:v>
                </c:pt>
                <c:pt idx="47">
                  <c:v>56.278988829986361</c:v>
                </c:pt>
                <c:pt idx="48">
                  <c:v>122.65899865694688</c:v>
                </c:pt>
                <c:pt idx="49">
                  <c:v>43.657592657146672</c:v>
                </c:pt>
                <c:pt idx="50">
                  <c:v>111.93053433065666</c:v>
                </c:pt>
                <c:pt idx="51">
                  <c:v>78.94029233636499</c:v>
                </c:pt>
                <c:pt idx="52">
                  <c:v>50.686972970738736</c:v>
                </c:pt>
                <c:pt idx="53">
                  <c:v>38.850491503432927</c:v>
                </c:pt>
                <c:pt idx="54">
                  <c:v>45.491086389368192</c:v>
                </c:pt>
                <c:pt idx="55">
                  <c:v>56.199544485007138</c:v>
                </c:pt>
                <c:pt idx="56">
                  <c:v>153.27978576692436</c:v>
                </c:pt>
                <c:pt idx="57">
                  <c:v>138.29671887650707</c:v>
                </c:pt>
                <c:pt idx="58">
                  <c:v>38.511463832788742</c:v>
                </c:pt>
                <c:pt idx="59">
                  <c:v>79.850850515336333</c:v>
                </c:pt>
                <c:pt idx="60">
                  <c:v>79.632656259409558</c:v>
                </c:pt>
                <c:pt idx="61">
                  <c:v>35.361443699717519</c:v>
                </c:pt>
                <c:pt idx="62">
                  <c:v>104.36849511198632</c:v>
                </c:pt>
                <c:pt idx="63">
                  <c:v>147.80275597252478</c:v>
                </c:pt>
                <c:pt idx="64">
                  <c:v>65.745337780254687</c:v>
                </c:pt>
                <c:pt idx="65">
                  <c:v>59.036053472684877</c:v>
                </c:pt>
                <c:pt idx="66">
                  <c:v>72.413138709251555</c:v>
                </c:pt>
                <c:pt idx="67">
                  <c:v>61.275247957545041</c:v>
                </c:pt>
                <c:pt idx="68">
                  <c:v>80.130962562467488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7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05685306285867"/>
          <c:y val="0.14576271186440679"/>
          <c:w val="0.81829387428266398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compute!$A$5:$A$10056</c:f>
              <c:numCache>
                <c:formatCode>[$-409]d\-mmm;@</c:formatCode>
                <c:ptCount val="1005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</c:numCache>
            </c:numRef>
          </c:cat>
          <c:val>
            <c:numRef>
              <c:f>compute!$G$5:$G$10056</c:f>
              <c:numCache>
                <c:formatCode>#,##0</c:formatCode>
                <c:ptCount val="10052"/>
                <c:pt idx="0">
                  <c:v>389.74358974358972</c:v>
                </c:pt>
                <c:pt idx="1">
                  <c:v>502.56410256410254</c:v>
                </c:pt>
                <c:pt idx="2">
                  <c:v>656.41025641025647</c:v>
                </c:pt>
                <c:pt idx="3">
                  <c:v>884.61538461538464</c:v>
                </c:pt>
                <c:pt idx="4">
                  <c:v>1189.7435897435898</c:v>
                </c:pt>
                <c:pt idx="5">
                  <c:v>1546.1538461538462</c:v>
                </c:pt>
                <c:pt idx="6">
                  <c:v>2082.0512820512822</c:v>
                </c:pt>
                <c:pt idx="7">
                  <c:v>2387.1794871794873</c:v>
                </c:pt>
                <c:pt idx="8">
                  <c:v>3023.0769230769229</c:v>
                </c:pt>
                <c:pt idx="9">
                  <c:v>3515.3846153846152</c:v>
                </c:pt>
                <c:pt idx="10">
                  <c:v>4300</c:v>
                </c:pt>
                <c:pt idx="11">
                  <c:v>5023.0769230769229</c:v>
                </c:pt>
                <c:pt idx="12">
                  <c:v>5874.3589743589746</c:v>
                </c:pt>
                <c:pt idx="13">
                  <c:v>6310.2564102564102</c:v>
                </c:pt>
                <c:pt idx="14">
                  <c:v>7184.6153846153848</c:v>
                </c:pt>
                <c:pt idx="15">
                  <c:v>7948.7179487179483</c:v>
                </c:pt>
                <c:pt idx="16">
                  <c:v>8505.1282051282051</c:v>
                </c:pt>
                <c:pt idx="17">
                  <c:v>9197.4358974358965</c:v>
                </c:pt>
                <c:pt idx="18">
                  <c:v>9784.6153846153848</c:v>
                </c:pt>
                <c:pt idx="19">
                  <c:v>10489.74358974359</c:v>
                </c:pt>
                <c:pt idx="20">
                  <c:v>10956.410256410256</c:v>
                </c:pt>
                <c:pt idx="21">
                  <c:v>11505.128205128205</c:v>
                </c:pt>
                <c:pt idx="22">
                  <c:v>11917.948717948719</c:v>
                </c:pt>
                <c:pt idx="23">
                  <c:v>12453.846153846154</c:v>
                </c:pt>
                <c:pt idx="24">
                  <c:v>12866.666666666666</c:v>
                </c:pt>
                <c:pt idx="25">
                  <c:v>13653.846153846154</c:v>
                </c:pt>
                <c:pt idx="26">
                  <c:v>14033.333333333334</c:v>
                </c:pt>
                <c:pt idx="27">
                  <c:v>14474.358974358975</c:v>
                </c:pt>
                <c:pt idx="28">
                  <c:v>15005.128205128205</c:v>
                </c:pt>
                <c:pt idx="29">
                  <c:v>15548.717948717949</c:v>
                </c:pt>
                <c:pt idx="30">
                  <c:v>15966.666666666666</c:v>
                </c:pt>
                <c:pt idx="31">
                  <c:v>16443.589743589742</c:v>
                </c:pt>
                <c:pt idx="32">
                  <c:v>17071.794871794871</c:v>
                </c:pt>
                <c:pt idx="33">
                  <c:v>17205.128205128207</c:v>
                </c:pt>
                <c:pt idx="34">
                  <c:v>17951.282051282051</c:v>
                </c:pt>
                <c:pt idx="35">
                  <c:v>18356.410256410258</c:v>
                </c:pt>
                <c:pt idx="36">
                  <c:v>18882.051282051281</c:v>
                </c:pt>
                <c:pt idx="37">
                  <c:v>19020.51282051282</c:v>
                </c:pt>
                <c:pt idx="38">
                  <c:v>19205.128205128207</c:v>
                </c:pt>
                <c:pt idx="39">
                  <c:v>19705.128205128207</c:v>
                </c:pt>
                <c:pt idx="40">
                  <c:v>20092.307692307691</c:v>
                </c:pt>
                <c:pt idx="41">
                  <c:v>20328.205128205129</c:v>
                </c:pt>
                <c:pt idx="42">
                  <c:v>20938.461538461539</c:v>
                </c:pt>
                <c:pt idx="43">
                  <c:v>21217.948717948719</c:v>
                </c:pt>
                <c:pt idx="44">
                  <c:v>21502.564102564102</c:v>
                </c:pt>
                <c:pt idx="45">
                  <c:v>21876.923076923078</c:v>
                </c:pt>
                <c:pt idx="46">
                  <c:v>22035.897435897437</c:v>
                </c:pt>
                <c:pt idx="47">
                  <c:v>22346.153846153848</c:v>
                </c:pt>
                <c:pt idx="48">
                  <c:v>22623.076923076922</c:v>
                </c:pt>
                <c:pt idx="49">
                  <c:v>22751.282051282051</c:v>
                </c:pt>
                <c:pt idx="50">
                  <c:v>23115.384615384617</c:v>
                </c:pt>
                <c:pt idx="51">
                  <c:v>23258.974358974359</c:v>
                </c:pt>
                <c:pt idx="52">
                  <c:v>23464.102564102563</c:v>
                </c:pt>
                <c:pt idx="53">
                  <c:v>23787.179487179488</c:v>
                </c:pt>
                <c:pt idx="54">
                  <c:v>24215.384615384617</c:v>
                </c:pt>
                <c:pt idx="55">
                  <c:v>24587.179487179488</c:v>
                </c:pt>
                <c:pt idx="56">
                  <c:v>24892.307692307691</c:v>
                </c:pt>
                <c:pt idx="57">
                  <c:v>25005.128205128207</c:v>
                </c:pt>
                <c:pt idx="58">
                  <c:v>25130.76923076923</c:v>
                </c:pt>
                <c:pt idx="59">
                  <c:v>25587.179487179488</c:v>
                </c:pt>
                <c:pt idx="60">
                  <c:v>25810.25641025641</c:v>
                </c:pt>
                <c:pt idx="61">
                  <c:v>26035.897435897437</c:v>
                </c:pt>
                <c:pt idx="62">
                  <c:v>26551.282051282051</c:v>
                </c:pt>
                <c:pt idx="63">
                  <c:v>26728.205128205129</c:v>
                </c:pt>
                <c:pt idx="64">
                  <c:v>26853.846153846152</c:v>
                </c:pt>
                <c:pt idx="65">
                  <c:v>27138.461538461539</c:v>
                </c:pt>
                <c:pt idx="66">
                  <c:v>27458.974358974359</c:v>
                </c:pt>
                <c:pt idx="67">
                  <c:v>27723.076923076922</c:v>
                </c:pt>
                <c:pt idx="68">
                  <c:v>28038.461538461539</c:v>
                </c:pt>
                <c:pt idx="69">
                  <c:v>28282.051282051281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compute!$A$5:$A$10056</c:f>
              <c:numCache>
                <c:formatCode>[$-409]d\-mmm;@</c:formatCode>
                <c:ptCount val="1005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</c:numCache>
            </c:numRef>
          </c:cat>
          <c:val>
            <c:numRef>
              <c:f>compute!$I$5:$I$10056</c:f>
              <c:numCache>
                <c:formatCode>#,##0</c:formatCode>
                <c:ptCount val="10052"/>
                <c:pt idx="0">
                  <c:v>173.21937321937321</c:v>
                </c:pt>
                <c:pt idx="1">
                  <c:v>223.36182336182344</c:v>
                </c:pt>
                <c:pt idx="2">
                  <c:v>291.73789173789169</c:v>
                </c:pt>
                <c:pt idx="3">
                  <c:v>393.16239316239319</c:v>
                </c:pt>
                <c:pt idx="4">
                  <c:v>528.77492877492864</c:v>
                </c:pt>
                <c:pt idx="5">
                  <c:v>687.1794871794873</c:v>
                </c:pt>
                <c:pt idx="6">
                  <c:v>925.35612535612518</c:v>
                </c:pt>
                <c:pt idx="7">
                  <c:v>1060.968660968661</c:v>
                </c:pt>
                <c:pt idx="8">
                  <c:v>1343.5897435897441</c:v>
                </c:pt>
                <c:pt idx="9">
                  <c:v>1562.3931623931621</c:v>
                </c:pt>
                <c:pt idx="10">
                  <c:v>1911.1111111111113</c:v>
                </c:pt>
                <c:pt idx="11">
                  <c:v>2232.4786324786328</c:v>
                </c:pt>
                <c:pt idx="12">
                  <c:v>2610.8262108262097</c:v>
                </c:pt>
                <c:pt idx="13">
                  <c:v>2804.5584045584055</c:v>
                </c:pt>
                <c:pt idx="14">
                  <c:v>3193.1623931623926</c:v>
                </c:pt>
                <c:pt idx="15">
                  <c:v>3532.7635327635335</c:v>
                </c:pt>
                <c:pt idx="16">
                  <c:v>3780.0569800569792</c:v>
                </c:pt>
                <c:pt idx="17">
                  <c:v>4087.7492877492878</c:v>
                </c:pt>
                <c:pt idx="18">
                  <c:v>4348.7179487179492</c:v>
                </c:pt>
                <c:pt idx="19">
                  <c:v>4662.1082621082624</c:v>
                </c:pt>
                <c:pt idx="20">
                  <c:v>4869.5156695156693</c:v>
                </c:pt>
                <c:pt idx="21">
                  <c:v>5113.3903133903132</c:v>
                </c:pt>
                <c:pt idx="22">
                  <c:v>5296.8660968660952</c:v>
                </c:pt>
                <c:pt idx="23">
                  <c:v>5535.0427350427362</c:v>
                </c:pt>
                <c:pt idx="24">
                  <c:v>5718.5185185185201</c:v>
                </c:pt>
                <c:pt idx="25">
                  <c:v>6068.3760683760684</c:v>
                </c:pt>
                <c:pt idx="26">
                  <c:v>6237.0370370370347</c:v>
                </c:pt>
                <c:pt idx="27">
                  <c:v>6433.0484330484342</c:v>
                </c:pt>
                <c:pt idx="28">
                  <c:v>6668.9458689458679</c:v>
                </c:pt>
                <c:pt idx="29">
                  <c:v>6910.5413105413099</c:v>
                </c:pt>
                <c:pt idx="30">
                  <c:v>7096.2962962962974</c:v>
                </c:pt>
                <c:pt idx="31">
                  <c:v>7308.2621082621081</c:v>
                </c:pt>
                <c:pt idx="32">
                  <c:v>7587.464387464388</c:v>
                </c:pt>
                <c:pt idx="33">
                  <c:v>7646.7236467236435</c:v>
                </c:pt>
                <c:pt idx="34">
                  <c:v>7978.3475783475806</c:v>
                </c:pt>
                <c:pt idx="35">
                  <c:v>8158.4045584045562</c:v>
                </c:pt>
                <c:pt idx="36">
                  <c:v>8392.0227920227917</c:v>
                </c:pt>
                <c:pt idx="37">
                  <c:v>8453.5612535612527</c:v>
                </c:pt>
                <c:pt idx="38">
                  <c:v>8535.612535612534</c:v>
                </c:pt>
                <c:pt idx="39">
                  <c:v>8757.8347578347566</c:v>
                </c:pt>
                <c:pt idx="40">
                  <c:v>8929.9145299145312</c:v>
                </c:pt>
                <c:pt idx="41">
                  <c:v>9034.7578347578346</c:v>
                </c:pt>
                <c:pt idx="42">
                  <c:v>9305.9829059829062</c:v>
                </c:pt>
                <c:pt idx="43">
                  <c:v>9430.1994301994309</c:v>
                </c:pt>
                <c:pt idx="44">
                  <c:v>9556.6951566951575</c:v>
                </c:pt>
                <c:pt idx="45">
                  <c:v>9723.076923076922</c:v>
                </c:pt>
                <c:pt idx="46">
                  <c:v>9793.732193732194</c:v>
                </c:pt>
                <c:pt idx="47">
                  <c:v>9931.6239316239298</c:v>
                </c:pt>
                <c:pt idx="48">
                  <c:v>10054.700854700855</c:v>
                </c:pt>
                <c:pt idx="49">
                  <c:v>10111.680911680913</c:v>
                </c:pt>
                <c:pt idx="50">
                  <c:v>10273.504273504273</c:v>
                </c:pt>
                <c:pt idx="51">
                  <c:v>10337.32193732194</c:v>
                </c:pt>
                <c:pt idx="52">
                  <c:v>10428.490028490029</c:v>
                </c:pt>
                <c:pt idx="53">
                  <c:v>10572.079772079775</c:v>
                </c:pt>
                <c:pt idx="54">
                  <c:v>10762.393162393164</c:v>
                </c:pt>
                <c:pt idx="55">
                  <c:v>10927.635327635329</c:v>
                </c:pt>
                <c:pt idx="56">
                  <c:v>11063.247863247863</c:v>
                </c:pt>
                <c:pt idx="57">
                  <c:v>11113.390313390311</c:v>
                </c:pt>
                <c:pt idx="58">
                  <c:v>11169.23076923077</c:v>
                </c:pt>
                <c:pt idx="59">
                  <c:v>11372.079772079775</c:v>
                </c:pt>
                <c:pt idx="60">
                  <c:v>11471.225071225072</c:v>
                </c:pt>
                <c:pt idx="61">
                  <c:v>11571.509971509971</c:v>
                </c:pt>
                <c:pt idx="62">
                  <c:v>11800.569800569803</c:v>
                </c:pt>
                <c:pt idx="63">
                  <c:v>11879.20227920228</c:v>
                </c:pt>
                <c:pt idx="64">
                  <c:v>11935.042735042738</c:v>
                </c:pt>
                <c:pt idx="65">
                  <c:v>12061.538461538461</c:v>
                </c:pt>
                <c:pt idx="66">
                  <c:v>12203.988603988604</c:v>
                </c:pt>
                <c:pt idx="67">
                  <c:v>12321.367521367523</c:v>
                </c:pt>
                <c:pt idx="68">
                  <c:v>12461.538461538461</c:v>
                </c:pt>
                <c:pt idx="69">
                  <c:v>12569.800569800573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compute!$A$5:$A$10056</c:f>
              <c:numCache>
                <c:formatCode>[$-409]d\-mmm;@</c:formatCode>
                <c:ptCount val="1005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</c:numCache>
            </c:numRef>
          </c:cat>
          <c:val>
            <c:numRef>
              <c:f>compute!$F$5:$F$10056</c:f>
              <c:numCache>
                <c:formatCode>#,##0</c:formatCode>
                <c:ptCount val="10052"/>
                <c:pt idx="0">
                  <c:v>460.60606060606062</c:v>
                </c:pt>
                <c:pt idx="1">
                  <c:v>593.93939393939399</c:v>
                </c:pt>
                <c:pt idx="2">
                  <c:v>775.75757575757575</c:v>
                </c:pt>
                <c:pt idx="3">
                  <c:v>1045.4545454545455</c:v>
                </c:pt>
                <c:pt idx="4">
                  <c:v>1406.060606060606</c:v>
                </c:pt>
                <c:pt idx="5">
                  <c:v>1827.2727272727273</c:v>
                </c:pt>
                <c:pt idx="6">
                  <c:v>2460.6060606060605</c:v>
                </c:pt>
                <c:pt idx="7">
                  <c:v>2821.212121212121</c:v>
                </c:pt>
                <c:pt idx="8">
                  <c:v>3572.7272727272725</c:v>
                </c:pt>
                <c:pt idx="9">
                  <c:v>4154.545454545455</c:v>
                </c:pt>
                <c:pt idx="10">
                  <c:v>5081.818181818182</c:v>
                </c:pt>
                <c:pt idx="11">
                  <c:v>5936.363636363636</c:v>
                </c:pt>
                <c:pt idx="12">
                  <c:v>6942.424242424242</c:v>
                </c:pt>
                <c:pt idx="13">
                  <c:v>7457.575757575758</c:v>
                </c:pt>
                <c:pt idx="14">
                  <c:v>8490.9090909090901</c:v>
                </c:pt>
                <c:pt idx="15">
                  <c:v>9393.939393939394</c:v>
                </c:pt>
                <c:pt idx="16">
                  <c:v>10051.515151515152</c:v>
                </c:pt>
                <c:pt idx="17">
                  <c:v>10869.69696969697</c:v>
                </c:pt>
                <c:pt idx="18">
                  <c:v>11563.636363636364</c:v>
                </c:pt>
                <c:pt idx="19">
                  <c:v>12396.969696969696</c:v>
                </c:pt>
                <c:pt idx="20">
                  <c:v>12948.484848484848</c:v>
                </c:pt>
                <c:pt idx="21">
                  <c:v>13596.969696969696</c:v>
                </c:pt>
                <c:pt idx="22">
                  <c:v>14084.848484848484</c:v>
                </c:pt>
                <c:pt idx="23">
                  <c:v>14718.181818181818</c:v>
                </c:pt>
                <c:pt idx="24">
                  <c:v>15206.060606060606</c:v>
                </c:pt>
                <c:pt idx="25">
                  <c:v>16136.363636363636</c:v>
                </c:pt>
                <c:pt idx="26">
                  <c:v>16584.848484848484</c:v>
                </c:pt>
                <c:pt idx="27">
                  <c:v>17106.060606060608</c:v>
                </c:pt>
                <c:pt idx="28">
                  <c:v>17733.333333333332</c:v>
                </c:pt>
                <c:pt idx="29">
                  <c:v>18375.757575757576</c:v>
                </c:pt>
                <c:pt idx="30">
                  <c:v>18869.696969696968</c:v>
                </c:pt>
                <c:pt idx="31">
                  <c:v>19433.333333333332</c:v>
                </c:pt>
                <c:pt idx="32">
                  <c:v>20175.757575757576</c:v>
                </c:pt>
                <c:pt idx="33">
                  <c:v>20333.333333333332</c:v>
                </c:pt>
                <c:pt idx="34">
                  <c:v>21215.151515151516</c:v>
                </c:pt>
                <c:pt idx="35">
                  <c:v>21693.939393939392</c:v>
                </c:pt>
                <c:pt idx="36">
                  <c:v>22315.151515151516</c:v>
                </c:pt>
                <c:pt idx="37">
                  <c:v>22478.78787878788</c:v>
                </c:pt>
                <c:pt idx="38">
                  <c:v>22696.969696969696</c:v>
                </c:pt>
                <c:pt idx="39">
                  <c:v>23287.878787878788</c:v>
                </c:pt>
                <c:pt idx="40">
                  <c:v>23745.454545454544</c:v>
                </c:pt>
                <c:pt idx="41">
                  <c:v>24024.242424242424</c:v>
                </c:pt>
                <c:pt idx="42">
                  <c:v>24745.454545454544</c:v>
                </c:pt>
                <c:pt idx="43">
                  <c:v>25075.757575757576</c:v>
                </c:pt>
                <c:pt idx="44">
                  <c:v>25412.121212121212</c:v>
                </c:pt>
                <c:pt idx="45">
                  <c:v>25854.545454545456</c:v>
                </c:pt>
                <c:pt idx="46">
                  <c:v>26042.424242424244</c:v>
                </c:pt>
                <c:pt idx="47">
                  <c:v>26409.090909090908</c:v>
                </c:pt>
                <c:pt idx="48">
                  <c:v>26736.363636363636</c:v>
                </c:pt>
                <c:pt idx="49">
                  <c:v>26887.878787878788</c:v>
                </c:pt>
                <c:pt idx="50">
                  <c:v>27318.18181818182</c:v>
                </c:pt>
                <c:pt idx="51">
                  <c:v>27487.878787878788</c:v>
                </c:pt>
                <c:pt idx="52">
                  <c:v>27730.303030303032</c:v>
                </c:pt>
                <c:pt idx="53">
                  <c:v>28112.121212121212</c:v>
                </c:pt>
                <c:pt idx="54">
                  <c:v>28618.18181818182</c:v>
                </c:pt>
                <c:pt idx="55">
                  <c:v>29057.575757575756</c:v>
                </c:pt>
                <c:pt idx="56">
                  <c:v>29418.18181818182</c:v>
                </c:pt>
                <c:pt idx="57">
                  <c:v>29551.515151515152</c:v>
                </c:pt>
                <c:pt idx="58">
                  <c:v>29700</c:v>
                </c:pt>
                <c:pt idx="59">
                  <c:v>30239.39393939394</c:v>
                </c:pt>
                <c:pt idx="60">
                  <c:v>30503.030303030304</c:v>
                </c:pt>
                <c:pt idx="61">
                  <c:v>30769.696969696968</c:v>
                </c:pt>
                <c:pt idx="62">
                  <c:v>31378.78787878788</c:v>
                </c:pt>
                <c:pt idx="63">
                  <c:v>31587.878787878788</c:v>
                </c:pt>
                <c:pt idx="64">
                  <c:v>31736.363636363636</c:v>
                </c:pt>
                <c:pt idx="65">
                  <c:v>32072.727272727272</c:v>
                </c:pt>
                <c:pt idx="66">
                  <c:v>32451.515151515152</c:v>
                </c:pt>
                <c:pt idx="67">
                  <c:v>32763.636363636364</c:v>
                </c:pt>
                <c:pt idx="68">
                  <c:v>33136.36363636364</c:v>
                </c:pt>
                <c:pt idx="69">
                  <c:v>33424.242424242424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7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79407446950486"/>
          <c:y val="0.14745762711864407"/>
          <c:w val="0.83563272387561727"/>
          <c:h val="0.73277966101694914"/>
        </c:manualLayout>
      </c:layout>
      <c:areaChart>
        <c:grouping val="stacked"/>
        <c:varyColors val="0"/>
        <c:ser>
          <c:idx val="3"/>
          <c:order val="0"/>
          <c:tx>
            <c:strRef>
              <c:f>compute!$L$4</c:f>
              <c:strCache>
                <c:ptCount val="1"/>
                <c:pt idx="0">
                  <c:v>infection percentage, low end of estimate range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compute!$A$5:$A$74</c:f>
              <c:numCache>
                <c:formatCode>[$-409]d\-mmm;@</c:formatCode>
                <c:ptCount val="70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</c:numCache>
            </c:numRef>
          </c:cat>
          <c:val>
            <c:numRef>
              <c:f>compute!$L$5:$L$74</c:f>
              <c:numCache>
                <c:formatCode>0.0%</c:formatCode>
                <c:ptCount val="70"/>
                <c:pt idx="0">
                  <c:v>8.2763219981480632E-4</c:v>
                </c:pt>
                <c:pt idx="1">
                  <c:v>1.0672099418664609E-3</c:v>
                </c:pt>
                <c:pt idx="2">
                  <c:v>1.3939068628459898E-3</c:v>
                </c:pt>
                <c:pt idx="3">
                  <c:v>1.878507295632291E-3</c:v>
                </c:pt>
                <c:pt idx="4">
                  <c:v>2.5264561889083567E-3</c:v>
                </c:pt>
                <c:pt idx="5">
                  <c:v>3.2833040558442649E-3</c:v>
                </c:pt>
                <c:pt idx="6">
                  <c:v>4.421298330589624E-3</c:v>
                </c:pt>
                <c:pt idx="7">
                  <c:v>5.0692472238656897E-3</c:v>
                </c:pt>
                <c:pt idx="8">
                  <c:v>6.4195944972477411E-3</c:v>
                </c:pt>
                <c:pt idx="9">
                  <c:v>7.465024644382234E-3</c:v>
                </c:pt>
                <c:pt idx="10">
                  <c:v>9.1311789413778318E-3</c:v>
                </c:pt>
                <c:pt idx="11">
                  <c:v>1.0666654469981615E-2</c:v>
                </c:pt>
                <c:pt idx="12">
                  <c:v>1.2474377432735011E-2</c:v>
                </c:pt>
                <c:pt idx="13">
                  <c:v>1.3400018708843674E-2</c:v>
                </c:pt>
                <c:pt idx="14">
                  <c:v>1.5256746209743998E-2</c:v>
                </c:pt>
                <c:pt idx="15">
                  <c:v>1.6879340917275654E-2</c:v>
                </c:pt>
                <c:pt idx="16">
                  <c:v>1.8060894781484954E-2</c:v>
                </c:pt>
                <c:pt idx="17">
                  <c:v>1.9531030925892832E-2</c:v>
                </c:pt>
                <c:pt idx="18">
                  <c:v>2.0777924174298034E-2</c:v>
                </c:pt>
                <c:pt idx="19">
                  <c:v>2.2275285062120877E-2</c:v>
                </c:pt>
                <c:pt idx="20">
                  <c:v>2.3266265722425444E-2</c:v>
                </c:pt>
                <c:pt idx="21">
                  <c:v>2.4431484740585766E-2</c:v>
                </c:pt>
                <c:pt idx="22">
                  <c:v>2.5308121478547503E-2</c:v>
                </c:pt>
                <c:pt idx="23">
                  <c:v>2.6446115753292861E-2</c:v>
                </c:pt>
                <c:pt idx="24">
                  <c:v>2.7322752491254595E-2</c:v>
                </c:pt>
                <c:pt idx="25">
                  <c:v>2.8994351736933186E-2</c:v>
                </c:pt>
                <c:pt idx="26">
                  <c:v>2.9800204142016024E-2</c:v>
                </c:pt>
                <c:pt idx="27">
                  <c:v>3.0736735315490673E-2</c:v>
                </c:pt>
                <c:pt idx="28">
                  <c:v>3.1863839692870044E-2</c:v>
                </c:pt>
                <c:pt idx="29">
                  <c:v>3.3018168813664379E-2</c:v>
                </c:pt>
                <c:pt idx="30">
                  <c:v>3.39056954489921E-2</c:v>
                </c:pt>
                <c:pt idx="31">
                  <c:v>3.4918455904028638E-2</c:v>
                </c:pt>
                <c:pt idx="32">
                  <c:v>3.6252468331361719E-2</c:v>
                </c:pt>
                <c:pt idx="33">
                  <c:v>3.6535605662877314E-2</c:v>
                </c:pt>
                <c:pt idx="34">
                  <c:v>3.8120085729628023E-2</c:v>
                </c:pt>
                <c:pt idx="35">
                  <c:v>3.8980387621540789E-2</c:v>
                </c:pt>
                <c:pt idx="36">
                  <c:v>4.009660210155417E-2</c:v>
                </c:pt>
                <c:pt idx="37">
                  <c:v>4.0390629330435752E-2</c:v>
                </c:pt>
                <c:pt idx="38">
                  <c:v>4.0782665635611184E-2</c:v>
                </c:pt>
                <c:pt idx="39">
                  <c:v>4.1844430628794657E-2</c:v>
                </c:pt>
                <c:pt idx="40">
                  <c:v>4.2666617879926462E-2</c:v>
                </c:pt>
                <c:pt idx="41">
                  <c:v>4.3167553158761744E-2</c:v>
                </c:pt>
                <c:pt idx="42">
                  <c:v>4.4463450945313877E-2</c:v>
                </c:pt>
                <c:pt idx="43">
                  <c:v>4.5056950351760022E-2</c:v>
                </c:pt>
                <c:pt idx="44">
                  <c:v>4.5661339655572147E-2</c:v>
                </c:pt>
                <c:pt idx="45">
                  <c:v>4.6456302163289005E-2</c:v>
                </c:pt>
                <c:pt idx="46">
                  <c:v>4.6793888981634515E-2</c:v>
                </c:pt>
                <c:pt idx="47">
                  <c:v>4.7452727772276569E-2</c:v>
                </c:pt>
                <c:pt idx="48">
                  <c:v>4.8040782230039714E-2</c:v>
                </c:pt>
                <c:pt idx="49">
                  <c:v>4.8313029664189322E-2</c:v>
                </c:pt>
                <c:pt idx="50">
                  <c:v>4.9086212377174213E-2</c:v>
                </c:pt>
                <c:pt idx="51">
                  <c:v>4.9391129503421768E-2</c:v>
                </c:pt>
                <c:pt idx="52">
                  <c:v>4.9826725398061135E-2</c:v>
                </c:pt>
                <c:pt idx="53">
                  <c:v>5.0512788932118156E-2</c:v>
                </c:pt>
                <c:pt idx="54">
                  <c:v>5.1422095362177844E-2</c:v>
                </c:pt>
                <c:pt idx="55">
                  <c:v>5.2211612921211702E-2</c:v>
                </c:pt>
                <c:pt idx="56">
                  <c:v>5.2859561814487768E-2</c:v>
                </c:pt>
                <c:pt idx="57">
                  <c:v>5.3099139556539422E-2</c:v>
                </c:pt>
                <c:pt idx="58">
                  <c:v>5.3365942042006037E-2</c:v>
                </c:pt>
                <c:pt idx="59">
                  <c:v>5.433514290757864E-2</c:v>
                </c:pt>
                <c:pt idx="60">
                  <c:v>5.4808853442998955E-2</c:v>
                </c:pt>
                <c:pt idx="61">
                  <c:v>5.528800892710227E-2</c:v>
                </c:pt>
                <c:pt idx="62">
                  <c:v>5.6382443612383683E-2</c:v>
                </c:pt>
                <c:pt idx="63">
                  <c:v>5.6758145071510148E-2</c:v>
                </c:pt>
                <c:pt idx="64">
                  <c:v>5.7024947556976756E-2</c:v>
                </c:pt>
                <c:pt idx="65">
                  <c:v>5.7629336860788888E-2</c:v>
                </c:pt>
                <c:pt idx="66">
                  <c:v>5.8309955446162909E-2</c:v>
                </c:pt>
                <c:pt idx="67">
                  <c:v>5.8870785160511092E-2</c:v>
                </c:pt>
                <c:pt idx="68">
                  <c:v>5.9540513848519133E-2</c:v>
                </c:pt>
                <c:pt idx="69">
                  <c:v>6.0057783973403382E-2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3-FA4F-BBF1-ECA24AC691AD}"/>
            </c:ext>
          </c:extLst>
        </c:ser>
        <c:ser>
          <c:idx val="1"/>
          <c:order val="1"/>
          <c:tx>
            <c:strRef>
              <c:f>compute!$N$4</c:f>
              <c:strCache>
                <c:ptCount val="1"/>
                <c:pt idx="0">
                  <c:v>infection percentage difference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cat>
            <c:numRef>
              <c:f>compute!$A$5:$A$74</c:f>
              <c:numCache>
                <c:formatCode>[$-409]d\-mmm;@</c:formatCode>
                <c:ptCount val="70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</c:numCache>
            </c:numRef>
          </c:cat>
          <c:val>
            <c:numRef>
              <c:f>compute!$N$5:$N$74</c:f>
              <c:numCache>
                <c:formatCode>0.00%</c:formatCode>
                <c:ptCount val="70"/>
                <c:pt idx="0">
                  <c:v>3.6783653325102512E-4</c:v>
                </c:pt>
                <c:pt idx="1">
                  <c:v>4.7431552971842722E-4</c:v>
                </c:pt>
                <c:pt idx="2">
                  <c:v>6.1951416126488409E-4</c:v>
                </c:pt>
                <c:pt idx="3">
                  <c:v>8.3489213139212922E-4</c:v>
                </c:pt>
                <c:pt idx="4">
                  <c:v>1.1228694172926027E-3</c:v>
                </c:pt>
                <c:pt idx="5">
                  <c:v>1.4592462470418956E-3</c:v>
                </c:pt>
                <c:pt idx="6">
                  <c:v>1.9650214802620549E-3</c:v>
                </c:pt>
                <c:pt idx="7">
                  <c:v>2.2529987661625284E-3</c:v>
                </c:pt>
                <c:pt idx="8">
                  <c:v>2.8531531098878868E-3</c:v>
                </c:pt>
                <c:pt idx="9">
                  <c:v>3.3177887308365479E-3</c:v>
                </c:pt>
                <c:pt idx="10">
                  <c:v>4.0583017517234806E-3</c:v>
                </c:pt>
                <c:pt idx="11">
                  <c:v>4.740735319991831E-3</c:v>
                </c:pt>
                <c:pt idx="12">
                  <c:v>5.5441677478822223E-3</c:v>
                </c:pt>
                <c:pt idx="13">
                  <c:v>5.9555638705971921E-3</c:v>
                </c:pt>
                <c:pt idx="14">
                  <c:v>6.7807760932195524E-3</c:v>
                </c:pt>
                <c:pt idx="15">
                  <c:v>7.5019292965669629E-3</c:v>
                </c:pt>
                <c:pt idx="16">
                  <c:v>8.0270643473266436E-3</c:v>
                </c:pt>
                <c:pt idx="17">
                  <c:v>8.6804581892857002E-3</c:v>
                </c:pt>
                <c:pt idx="18">
                  <c:v>9.2346329663546833E-3</c:v>
                </c:pt>
                <c:pt idx="19">
                  <c:v>9.9001266942759444E-3</c:v>
                </c:pt>
                <c:pt idx="20">
                  <c:v>1.0340562543300198E-2</c:v>
                </c:pt>
                <c:pt idx="21">
                  <c:v>1.0858437662482564E-2</c:v>
                </c:pt>
                <c:pt idx="22">
                  <c:v>1.1248053990465551E-2</c:v>
                </c:pt>
                <c:pt idx="23">
                  <c:v>1.175382922368572E-2</c:v>
                </c:pt>
                <c:pt idx="24">
                  <c:v>1.214344555166871E-2</c:v>
                </c:pt>
                <c:pt idx="25">
                  <c:v>1.2886378549748081E-2</c:v>
                </c:pt>
                <c:pt idx="26">
                  <c:v>1.3244535174229338E-2</c:v>
                </c:pt>
                <c:pt idx="27">
                  <c:v>1.3660771251329192E-2</c:v>
                </c:pt>
                <c:pt idx="28">
                  <c:v>1.4161706530164464E-2</c:v>
                </c:pt>
                <c:pt idx="29">
                  <c:v>1.4674741694961947E-2</c:v>
                </c:pt>
                <c:pt idx="30">
                  <c:v>1.5069197977329828E-2</c:v>
                </c:pt>
                <c:pt idx="31">
                  <c:v>1.5519313735123844E-2</c:v>
                </c:pt>
                <c:pt idx="32">
                  <c:v>1.6112208147271871E-2</c:v>
                </c:pt>
                <c:pt idx="33">
                  <c:v>1.6238046961278799E-2</c:v>
                </c:pt>
                <c:pt idx="34">
                  <c:v>1.6942260324279125E-2</c:v>
                </c:pt>
                <c:pt idx="35">
                  <c:v>1.7324616720684784E-2</c:v>
                </c:pt>
                <c:pt idx="36">
                  <c:v>1.782071204513519E-2</c:v>
                </c:pt>
                <c:pt idx="37">
                  <c:v>1.7951390813526993E-2</c:v>
                </c:pt>
                <c:pt idx="38">
                  <c:v>1.8125629171382746E-2</c:v>
                </c:pt>
                <c:pt idx="39">
                  <c:v>1.8597524723908729E-2</c:v>
                </c:pt>
                <c:pt idx="40">
                  <c:v>1.8962941279967324E-2</c:v>
                </c:pt>
                <c:pt idx="41">
                  <c:v>1.9185579181671887E-2</c:v>
                </c:pt>
                <c:pt idx="42">
                  <c:v>1.9761533753472831E-2</c:v>
                </c:pt>
                <c:pt idx="43">
                  <c:v>2.00253112674489E-2</c:v>
                </c:pt>
                <c:pt idx="44">
                  <c:v>2.0293928735809846E-2</c:v>
                </c:pt>
                <c:pt idx="45">
                  <c:v>2.0647245405906213E-2</c:v>
                </c:pt>
                <c:pt idx="46">
                  <c:v>2.079728399183757E-2</c:v>
                </c:pt>
                <c:pt idx="47">
                  <c:v>2.1090101232122911E-2</c:v>
                </c:pt>
                <c:pt idx="48">
                  <c:v>2.1351458768906539E-2</c:v>
                </c:pt>
                <c:pt idx="49">
                  <c:v>2.1472457628528591E-2</c:v>
                </c:pt>
                <c:pt idx="50">
                  <c:v>2.1816094389855198E-2</c:v>
                </c:pt>
                <c:pt idx="51">
                  <c:v>2.1951613112631899E-2</c:v>
                </c:pt>
                <c:pt idx="52">
                  <c:v>2.2145211288027176E-2</c:v>
                </c:pt>
                <c:pt idx="53">
                  <c:v>2.2450128414274732E-2</c:v>
                </c:pt>
                <c:pt idx="54">
                  <c:v>2.2854264605412372E-2</c:v>
                </c:pt>
                <c:pt idx="55">
                  <c:v>2.3205161298316311E-2</c:v>
                </c:pt>
                <c:pt idx="56">
                  <c:v>2.3493138584216783E-2</c:v>
                </c:pt>
                <c:pt idx="57">
                  <c:v>2.3599617580684192E-2</c:v>
                </c:pt>
                <c:pt idx="58">
                  <c:v>2.3718196463113794E-2</c:v>
                </c:pt>
                <c:pt idx="59">
                  <c:v>2.4148952403368285E-2</c:v>
                </c:pt>
                <c:pt idx="60">
                  <c:v>2.4359490419110653E-2</c:v>
                </c:pt>
                <c:pt idx="61">
                  <c:v>2.457244841204545E-2</c:v>
                </c:pt>
                <c:pt idx="62">
                  <c:v>2.505886382772609E-2</c:v>
                </c:pt>
                <c:pt idx="63">
                  <c:v>2.5225842254004503E-2</c:v>
                </c:pt>
                <c:pt idx="64">
                  <c:v>2.5344421136434127E-2</c:v>
                </c:pt>
                <c:pt idx="65">
                  <c:v>2.5613038604795066E-2</c:v>
                </c:pt>
                <c:pt idx="66">
                  <c:v>2.591553575385018E-2</c:v>
                </c:pt>
                <c:pt idx="67">
                  <c:v>2.61647934046716E-2</c:v>
                </c:pt>
                <c:pt idx="68">
                  <c:v>2.6462450599341839E-2</c:v>
                </c:pt>
                <c:pt idx="69">
                  <c:v>2.669234843262374E-2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cat>
            <c:numRef>
              <c:f>compute!$A$5:$A$74</c:f>
              <c:numCache>
                <c:formatCode>[$-409]d\-mmm;@</c:formatCode>
                <c:ptCount val="70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</c:numCache>
            </c:numRef>
          </c:cat>
          <c:val>
            <c:numRef>
              <c:f>compute!$K$5:$K$74</c:f>
              <c:numCache>
                <c:formatCode>0.0%</c:formatCode>
                <c:ptCount val="70"/>
                <c:pt idx="0">
                  <c:v>9.7811078159931665E-4</c:v>
                </c:pt>
                <c:pt idx="1">
                  <c:v>1.2612481131149085E-3</c:v>
                </c:pt>
                <c:pt idx="2">
                  <c:v>1.6473444742725334E-3</c:v>
                </c:pt>
                <c:pt idx="3">
                  <c:v>2.220054076656344E-3</c:v>
                </c:pt>
                <c:pt idx="4">
                  <c:v>2.9858118596189664E-3</c:v>
                </c:pt>
                <c:pt idx="5">
                  <c:v>3.8802684296341313E-3</c:v>
                </c:pt>
                <c:pt idx="6">
                  <c:v>5.2251707543331917E-3</c:v>
                </c:pt>
                <c:pt idx="7">
                  <c:v>5.9909285372958141E-3</c:v>
                </c:pt>
                <c:pt idx="8">
                  <c:v>7.5867934967473304E-3</c:v>
                </c:pt>
                <c:pt idx="9">
                  <c:v>8.8223018524517319E-3</c:v>
                </c:pt>
                <c:pt idx="10">
                  <c:v>1.079139329435562E-2</c:v>
                </c:pt>
                <c:pt idx="11">
                  <c:v>1.2606046191796455E-2</c:v>
                </c:pt>
                <c:pt idx="12">
                  <c:v>1.4742446056868646E-2</c:v>
                </c:pt>
                <c:pt idx="13">
                  <c:v>1.5836385746815253E-2</c:v>
                </c:pt>
                <c:pt idx="14">
                  <c:v>1.8030700066061087E-2</c:v>
                </c:pt>
                <c:pt idx="15">
                  <c:v>1.9948311993143959E-2</c:v>
                </c:pt>
                <c:pt idx="16">
                  <c:v>2.1344693832664036E-2</c:v>
                </c:pt>
                <c:pt idx="17">
                  <c:v>2.3082127457873348E-2</c:v>
                </c:pt>
                <c:pt idx="18">
                  <c:v>2.455572856962495E-2</c:v>
                </c:pt>
                <c:pt idx="19">
                  <c:v>2.6325336891597394E-2</c:v>
                </c:pt>
                <c:pt idx="20">
                  <c:v>2.7496495853775525E-2</c:v>
                </c:pt>
                <c:pt idx="21">
                  <c:v>2.8873572875237719E-2</c:v>
                </c:pt>
                <c:pt idx="22">
                  <c:v>2.9909598111010682E-2</c:v>
                </c:pt>
                <c:pt idx="23">
                  <c:v>3.1254500435709744E-2</c:v>
                </c:pt>
                <c:pt idx="24">
                  <c:v>3.2290525671482703E-2</c:v>
                </c:pt>
                <c:pt idx="25">
                  <c:v>3.4266052052739221E-2</c:v>
                </c:pt>
                <c:pt idx="26">
                  <c:v>3.5218423076928025E-2</c:v>
                </c:pt>
                <c:pt idx="27">
                  <c:v>3.6325232645579887E-2</c:v>
                </c:pt>
                <c:pt idx="28">
                  <c:v>3.7657265091573688E-2</c:v>
                </c:pt>
                <c:pt idx="29">
                  <c:v>3.9021472234330633E-2</c:v>
                </c:pt>
                <c:pt idx="30">
                  <c:v>4.0070367348808845E-2</c:v>
                </c:pt>
                <c:pt idx="31">
                  <c:v>4.1267266068397486E-2</c:v>
                </c:pt>
                <c:pt idx="32">
                  <c:v>4.2843826209791123E-2</c:v>
                </c:pt>
                <c:pt idx="33">
                  <c:v>4.3178443056127724E-2</c:v>
                </c:pt>
                <c:pt idx="34">
                  <c:v>4.505101040774221E-2</c:v>
                </c:pt>
                <c:pt idx="35">
                  <c:v>4.6067730825457287E-2</c:v>
                </c:pt>
                <c:pt idx="36">
                  <c:v>4.7386893392745842E-2</c:v>
                </c:pt>
                <c:pt idx="37">
                  <c:v>4.7734380117787703E-2</c:v>
                </c:pt>
                <c:pt idx="38">
                  <c:v>4.8197695751176849E-2</c:v>
                </c:pt>
                <c:pt idx="39">
                  <c:v>4.9452508924939138E-2</c:v>
                </c:pt>
                <c:pt idx="40">
                  <c:v>5.0424184767185819E-2</c:v>
                </c:pt>
                <c:pt idx="41">
                  <c:v>5.1016199187627516E-2</c:v>
                </c:pt>
                <c:pt idx="42">
                  <c:v>5.2547714753552757E-2</c:v>
                </c:pt>
                <c:pt idx="43">
                  <c:v>5.3249123142989116E-2</c:v>
                </c:pt>
                <c:pt idx="44">
                  <c:v>5.3963401411130721E-2</c:v>
                </c:pt>
                <c:pt idx="45">
                  <c:v>5.4902902556614279E-2</c:v>
                </c:pt>
                <c:pt idx="46">
                  <c:v>5.5301868796477159E-2</c:v>
                </c:pt>
                <c:pt idx="47">
                  <c:v>5.6080496458145029E-2</c:v>
                </c:pt>
                <c:pt idx="48">
                  <c:v>5.6775469908228758E-2</c:v>
                </c:pt>
                <c:pt idx="49">
                  <c:v>5.7097216875860113E-2</c:v>
                </c:pt>
                <c:pt idx="50">
                  <c:v>5.8010978263933158E-2</c:v>
                </c:pt>
                <c:pt idx="51">
                  <c:v>5.8371334867680272E-2</c:v>
                </c:pt>
                <c:pt idx="52">
                  <c:v>5.8886130015890444E-2</c:v>
                </c:pt>
                <c:pt idx="53">
                  <c:v>5.969693237432145E-2</c:v>
                </c:pt>
                <c:pt idx="54">
                  <c:v>6.0771567246210176E-2</c:v>
                </c:pt>
                <c:pt idx="55">
                  <c:v>6.1704633452341097E-2</c:v>
                </c:pt>
                <c:pt idx="56">
                  <c:v>6.2470391235303728E-2</c:v>
                </c:pt>
                <c:pt idx="57">
                  <c:v>6.2753528566819317E-2</c:v>
                </c:pt>
                <c:pt idx="58">
                  <c:v>6.3068840595098041E-2</c:v>
                </c:pt>
                <c:pt idx="59">
                  <c:v>6.4214259799865669E-2</c:v>
                </c:pt>
                <c:pt idx="60">
                  <c:v>6.4774099523544224E-2</c:v>
                </c:pt>
                <c:pt idx="61">
                  <c:v>6.5340374186575401E-2</c:v>
                </c:pt>
                <c:pt idx="62">
                  <c:v>6.6633796996453457E-2</c:v>
                </c:pt>
                <c:pt idx="63">
                  <c:v>6.7077807811784712E-2</c:v>
                </c:pt>
                <c:pt idx="64">
                  <c:v>6.7393119840063437E-2</c:v>
                </c:pt>
                <c:pt idx="65">
                  <c:v>6.8107398108205042E-2</c:v>
                </c:pt>
                <c:pt idx="66">
                  <c:v>6.8911765527283439E-2</c:v>
                </c:pt>
                <c:pt idx="67">
                  <c:v>6.9574564280604032E-2</c:v>
                </c:pt>
                <c:pt idx="68">
                  <c:v>7.0366061820977169E-2</c:v>
                </c:pt>
                <c:pt idx="69">
                  <c:v>7.0977381059476735E-2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7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6207631738340396"/>
          <c:h val="0.74633898305084734"/>
        </c:manualLayout>
      </c:layout>
      <c:areaChart>
        <c:grouping val="stacked"/>
        <c:varyColors val="0"/>
        <c:ser>
          <c:idx val="3"/>
          <c:order val="0"/>
          <c:tx>
            <c:strRef>
              <c:f>compute!$Q$4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compute!$A$5:$A$10056</c:f>
              <c:numCache>
                <c:formatCode>[$-409]d\-mmm;@</c:formatCode>
                <c:ptCount val="1005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</c:numCache>
            </c:numRef>
          </c:cat>
          <c:val>
            <c:numRef>
              <c:f>compute!$Q$5:$Q$10056</c:f>
              <c:numCache>
                <c:formatCode>0</c:formatCode>
                <c:ptCount val="10052"/>
                <c:pt idx="0">
                  <c:v>442.58834586466168</c:v>
                </c:pt>
                <c:pt idx="1">
                  <c:v>343.23177842565599</c:v>
                </c:pt>
                <c:pt idx="2">
                  <c:v>262.78683035714283</c:v>
                </c:pt>
                <c:pt idx="3">
                  <c:v>194.99544513457556</c:v>
                </c:pt>
                <c:pt idx="4">
                  <c:v>144.98583743842366</c:v>
                </c:pt>
                <c:pt idx="5">
                  <c:v>111.56455816157309</c:v>
                </c:pt>
                <c:pt idx="6">
                  <c:v>82.849049964813517</c:v>
                </c:pt>
                <c:pt idx="7">
                  <c:v>72.259321773822307</c:v>
                </c:pt>
                <c:pt idx="8">
                  <c:v>57.059735853628986</c:v>
                </c:pt>
                <c:pt idx="9">
                  <c:v>49.068875690319892</c:v>
                </c:pt>
                <c:pt idx="10">
                  <c:v>40.115342022318764</c:v>
                </c:pt>
                <c:pt idx="11">
                  <c:v>34.340698607161087</c:v>
                </c:pt>
                <c:pt idx="12">
                  <c:v>29.364220240693395</c:v>
                </c:pt>
                <c:pt idx="13">
                  <c:v>27.335810065594707</c:v>
                </c:pt>
                <c:pt idx="14">
                  <c:v>24.009075150402772</c:v>
                </c:pt>
                <c:pt idx="15">
                  <c:v>21.701105990783411</c:v>
                </c:pt>
                <c:pt idx="16">
                  <c:v>20.281407468021879</c:v>
                </c:pt>
                <c:pt idx="17">
                  <c:v>18.754789119439245</c:v>
                </c:pt>
                <c:pt idx="18">
                  <c:v>17.629305181191974</c:v>
                </c:pt>
                <c:pt idx="19">
                  <c:v>16.444250445228203</c:v>
                </c:pt>
                <c:pt idx="20">
                  <c:v>15.743840058841229</c:v>
                </c:pt>
                <c:pt idx="21">
                  <c:v>14.992963800184661</c:v>
                </c:pt>
                <c:pt idx="22">
                  <c:v>14.473629210720432</c:v>
                </c:pt>
                <c:pt idx="23">
                  <c:v>13.850819141739462</c:v>
                </c:pt>
                <c:pt idx="24">
                  <c:v>13.40642259295109</c:v>
                </c:pt>
                <c:pt idx="25">
                  <c:v>12.633507712944333</c:v>
                </c:pt>
                <c:pt idx="26">
                  <c:v>12.29187439638746</c:v>
                </c:pt>
                <c:pt idx="27">
                  <c:v>11.91734784259142</c:v>
                </c:pt>
                <c:pt idx="28">
                  <c:v>11.495801191289914</c:v>
                </c:pt>
                <c:pt idx="29">
                  <c:v>11.093903128533736</c:v>
                </c:pt>
                <c:pt idx="30">
                  <c:v>10.803505471563927</c:v>
                </c:pt>
                <c:pt idx="31">
                  <c:v>10.490165066494397</c:v>
                </c:pt>
                <c:pt idx="32">
                  <c:v>10.104149680298674</c:v>
                </c:pt>
                <c:pt idx="33">
                  <c:v>10.025846284862679</c:v>
                </c:pt>
                <c:pt idx="34">
                  <c:v>9.6091170649090945</c:v>
                </c:pt>
                <c:pt idx="35">
                  <c:v>9.3970426835352097</c:v>
                </c:pt>
                <c:pt idx="36">
                  <c:v>9.13544657406689</c:v>
                </c:pt>
                <c:pt idx="37">
                  <c:v>9.0689442668412745</c:v>
                </c:pt>
                <c:pt idx="38">
                  <c:v>8.9817661644096898</c:v>
                </c:pt>
                <c:pt idx="39">
                  <c:v>8.7538618830746344</c:v>
                </c:pt>
                <c:pt idx="40">
                  <c:v>8.5851746517902718</c:v>
                </c:pt>
                <c:pt idx="41">
                  <c:v>8.4855485080005764</c:v>
                </c:pt>
                <c:pt idx="42">
                  <c:v>8.2382351912109435</c:v>
                </c:pt>
                <c:pt idx="43">
                  <c:v>8.1297194648252056</c:v>
                </c:pt>
                <c:pt idx="44">
                  <c:v>8.0221116827365329</c:v>
                </c:pt>
                <c:pt idx="45">
                  <c:v>7.8848369164824863</c:v>
                </c:pt>
                <c:pt idx="46">
                  <c:v>7.8279530569500313</c:v>
                </c:pt>
                <c:pt idx="47">
                  <c:v>7.7192689123842309</c:v>
                </c:pt>
                <c:pt idx="48">
                  <c:v>7.6247793915253963</c:v>
                </c:pt>
                <c:pt idx="49">
                  <c:v>7.5818132053903495</c:v>
                </c:pt>
                <c:pt idx="50">
                  <c:v>7.462388083353142</c:v>
                </c:pt>
                <c:pt idx="51">
                  <c:v>7.416318881206986</c:v>
                </c:pt>
                <c:pt idx="52">
                  <c:v>7.351483834709712</c:v>
                </c:pt>
                <c:pt idx="53">
                  <c:v>7.2516361508492588</c:v>
                </c:pt>
                <c:pt idx="54">
                  <c:v>7.1234041265807466</c:v>
                </c:pt>
                <c:pt idx="55">
                  <c:v>7.0156876182530574</c:v>
                </c:pt>
                <c:pt idx="56">
                  <c:v>6.9296897992818884</c:v>
                </c:pt>
                <c:pt idx="57">
                  <c:v>6.898423766553381</c:v>
                </c:pt>
                <c:pt idx="58">
                  <c:v>6.8639351669654696</c:v>
                </c:pt>
                <c:pt idx="59">
                  <c:v>6.7415000071578888</c:v>
                </c:pt>
                <c:pt idx="60">
                  <c:v>6.6832335159376681</c:v>
                </c:pt>
                <c:pt idx="61">
                  <c:v>6.6253130363825656</c:v>
                </c:pt>
                <c:pt idx="62">
                  <c:v>6.4967096640684279</c:v>
                </c:pt>
                <c:pt idx="63">
                  <c:v>6.4537057340203923</c:v>
                </c:pt>
                <c:pt idx="64">
                  <c:v>6.4235107964698344</c:v>
                </c:pt>
                <c:pt idx="65">
                  <c:v>6.3561440449195548</c:v>
                </c:pt>
                <c:pt idx="66">
                  <c:v>6.2819524298654006</c:v>
                </c:pt>
                <c:pt idx="67">
                  <c:v>6.222107711008932</c:v>
                </c:pt>
                <c:pt idx="68">
                  <c:v>6.1521196681690506</c:v>
                </c:pt>
                <c:pt idx="69">
                  <c:v>6.0991322367568968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compute!$R$4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compute!$A$5:$A$10056</c:f>
              <c:numCache>
                <c:formatCode>[$-409]d\-mmm;@</c:formatCode>
                <c:ptCount val="1005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</c:numCache>
            </c:numRef>
          </c:cat>
          <c:val>
            <c:numRef>
              <c:f>compute!$R$5:$R$10056</c:f>
              <c:numCache>
                <c:formatCode>0</c:formatCode>
                <c:ptCount val="10052"/>
                <c:pt idx="0">
                  <c:v>177.03533834586466</c:v>
                </c:pt>
                <c:pt idx="1">
                  <c:v>137.2927113702624</c:v>
                </c:pt>
                <c:pt idx="2">
                  <c:v>105.11473214285718</c:v>
                </c:pt>
                <c:pt idx="3">
                  <c:v>77.998178053830259</c:v>
                </c:pt>
                <c:pt idx="4">
                  <c:v>57.994334975369441</c:v>
                </c:pt>
                <c:pt idx="5">
                  <c:v>44.625823264629233</c:v>
                </c:pt>
                <c:pt idx="6">
                  <c:v>33.139619985925393</c:v>
                </c:pt>
                <c:pt idx="7">
                  <c:v>28.903728709528934</c:v>
                </c:pt>
                <c:pt idx="8">
                  <c:v>22.823894341451584</c:v>
                </c:pt>
                <c:pt idx="9">
                  <c:v>19.627550276127955</c:v>
                </c:pt>
                <c:pt idx="10">
                  <c:v>16.046136808927507</c:v>
                </c:pt>
                <c:pt idx="11">
                  <c:v>13.736279442864436</c:v>
                </c:pt>
                <c:pt idx="12">
                  <c:v>11.745688096277359</c:v>
                </c:pt>
                <c:pt idx="13">
                  <c:v>10.934324026237881</c:v>
                </c:pt>
                <c:pt idx="14">
                  <c:v>9.6036300601611089</c:v>
                </c:pt>
                <c:pt idx="15">
                  <c:v>8.6804423963133637</c:v>
                </c:pt>
                <c:pt idx="16">
                  <c:v>8.1125629872087508</c:v>
                </c:pt>
                <c:pt idx="17">
                  <c:v>7.5019156477756965</c:v>
                </c:pt>
                <c:pt idx="18">
                  <c:v>7.0517220724767888</c:v>
                </c:pt>
                <c:pt idx="19">
                  <c:v>6.5777001780912805</c:v>
                </c:pt>
                <c:pt idx="20">
                  <c:v>6.297536023536491</c:v>
                </c:pt>
                <c:pt idx="21">
                  <c:v>5.9971855200738631</c:v>
                </c:pt>
                <c:pt idx="22">
                  <c:v>5.7894516842881742</c:v>
                </c:pt>
                <c:pt idx="23">
                  <c:v>5.5403276566957853</c:v>
                </c:pt>
                <c:pt idx="24">
                  <c:v>5.3625690371804371</c:v>
                </c:pt>
                <c:pt idx="25">
                  <c:v>5.0534030851777345</c:v>
                </c:pt>
                <c:pt idx="26">
                  <c:v>4.9167497585549853</c:v>
                </c:pt>
                <c:pt idx="27">
                  <c:v>4.7669391370365677</c:v>
                </c:pt>
                <c:pt idx="28">
                  <c:v>4.5983204765159655</c:v>
                </c:pt>
                <c:pt idx="29">
                  <c:v>4.4375612514134932</c:v>
                </c:pt>
                <c:pt idx="30">
                  <c:v>4.3214021886255711</c:v>
                </c:pt>
                <c:pt idx="31">
                  <c:v>4.1960660265977605</c:v>
                </c:pt>
                <c:pt idx="32">
                  <c:v>4.0416598721194692</c:v>
                </c:pt>
                <c:pt idx="33">
                  <c:v>4.0103385139450705</c:v>
                </c:pt>
                <c:pt idx="34">
                  <c:v>3.8436468259636385</c:v>
                </c:pt>
                <c:pt idx="35">
                  <c:v>3.7588170734140842</c:v>
                </c:pt>
                <c:pt idx="36">
                  <c:v>3.6541786296267542</c:v>
                </c:pt>
                <c:pt idx="37">
                  <c:v>3.6275777067365098</c:v>
                </c:pt>
                <c:pt idx="38">
                  <c:v>3.5927064657638752</c:v>
                </c:pt>
                <c:pt idx="39">
                  <c:v>3.5015447532298545</c:v>
                </c:pt>
                <c:pt idx="40">
                  <c:v>3.4340698607161091</c:v>
                </c:pt>
                <c:pt idx="41">
                  <c:v>3.3942194032002302</c:v>
                </c:pt>
                <c:pt idx="42">
                  <c:v>3.2952940764843781</c:v>
                </c:pt>
                <c:pt idx="43">
                  <c:v>3.2518877859300819</c:v>
                </c:pt>
                <c:pt idx="44">
                  <c:v>3.2088446730946139</c:v>
                </c:pt>
                <c:pt idx="45">
                  <c:v>3.1539347665929949</c:v>
                </c:pt>
                <c:pt idx="46">
                  <c:v>3.1311812227800129</c:v>
                </c:pt>
                <c:pt idx="47">
                  <c:v>3.0877075649536918</c:v>
                </c:pt>
                <c:pt idx="48">
                  <c:v>3.0499117566101583</c:v>
                </c:pt>
                <c:pt idx="49">
                  <c:v>3.0327252821561403</c:v>
                </c:pt>
                <c:pt idx="50">
                  <c:v>2.9849552333412568</c:v>
                </c:pt>
                <c:pt idx="51">
                  <c:v>2.9665275524827939</c:v>
                </c:pt>
                <c:pt idx="52">
                  <c:v>2.9405935338838836</c:v>
                </c:pt>
                <c:pt idx="53">
                  <c:v>2.9006544603397026</c:v>
                </c:pt>
                <c:pt idx="54">
                  <c:v>2.8493616506322983</c:v>
                </c:pt>
                <c:pt idx="55">
                  <c:v>2.8062750473012237</c:v>
                </c:pt>
                <c:pt idx="56">
                  <c:v>2.7718759197127554</c:v>
                </c:pt>
                <c:pt idx="57">
                  <c:v>2.7593695066213533</c:v>
                </c:pt>
                <c:pt idx="58">
                  <c:v>2.7455740667861877</c:v>
                </c:pt>
                <c:pt idx="59">
                  <c:v>2.6966000028631552</c:v>
                </c:pt>
                <c:pt idx="60">
                  <c:v>2.6732934063750671</c:v>
                </c:pt>
                <c:pt idx="61">
                  <c:v>2.6501252145530261</c:v>
                </c:pt>
                <c:pt idx="62">
                  <c:v>2.5986838656273719</c:v>
                </c:pt>
                <c:pt idx="63">
                  <c:v>2.5814822936081576</c:v>
                </c:pt>
                <c:pt idx="64">
                  <c:v>2.5694043185879334</c:v>
                </c:pt>
                <c:pt idx="65">
                  <c:v>2.5424576179678215</c:v>
                </c:pt>
                <c:pt idx="66">
                  <c:v>2.5127809719461602</c:v>
                </c:pt>
                <c:pt idx="67">
                  <c:v>2.4888430844035723</c:v>
                </c:pt>
                <c:pt idx="68">
                  <c:v>2.4608478672676197</c:v>
                </c:pt>
                <c:pt idx="69">
                  <c:v>2.4396528947027596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compute!$S$4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55-7746-9B18-46D322BD3F4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55-7746-9B18-46D322BD3F4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55-7746-9B18-46D322BD3F4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55-7746-9B18-46D322BD3F4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36-EB40-934A-4F2240DF024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36-EB40-934A-4F2240DF024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36-EB40-934A-4F2240DF024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36-EB40-934A-4F2240DF024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36-EB40-934A-4F2240DF024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36-EB40-934A-4F2240DF024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36-EB40-934A-4F2240DF024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C7-604E-9476-6E0C5848AC58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C7-604E-9476-6E0C5848AC58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C7-604E-9476-6E0C5848AC58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C7-604E-9476-6E0C5848AC58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C7-604E-9476-6E0C5848AC58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C7-604E-9476-6E0C5848AC58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C7-604E-9476-6E0C5848AC58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C7-604E-9476-6E0C5848AC58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C7-604E-9476-6E0C5848AC58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C7-604E-9476-6E0C5848AC58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C7-604E-9476-6E0C5848AC58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C7-604E-9476-6E0C5848AC58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C7-604E-9476-6E0C5848AC58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C7-604E-9476-6E0C5848AC58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CC7-604E-9476-6E0C5848AC58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C7-604E-9476-6E0C5848AC58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CC7-604E-9476-6E0C5848AC58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CC7-604E-9476-6E0C5848AC58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CC7-604E-9476-6E0C5848AC58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C7-604E-9476-6E0C5848AC58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C7-604E-9476-6E0C5848AC58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CC7-604E-9476-6E0C5848AC58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4C-3648-B252-315032690CF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4C-3648-B252-315032690CFD}"/>
                </c:ext>
              </c:extLst>
            </c:dLbl>
            <c:dLbl>
              <c:idx val="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4C-3648-B252-315032690CFD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4C-3648-B252-315032690CFD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7E-B94D-B5BC-E16578AE4167}"/>
                </c:ext>
              </c:extLst>
            </c:dLbl>
            <c:dLbl>
              <c:idx val="5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7E-B94D-B5BC-E16578AE4167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AF-5147-82F7-F5AF9512A8E3}"/>
                </c:ext>
              </c:extLst>
            </c:dLbl>
            <c:dLbl>
              <c:idx val="5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AF-5147-82F7-F5AF9512A8E3}"/>
                </c:ext>
              </c:extLst>
            </c:dLbl>
            <c:dLbl>
              <c:idx val="6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F-5147-82F7-F5AF9512A8E3}"/>
                </c:ext>
              </c:extLst>
            </c:dLbl>
            <c:dLbl>
              <c:idx val="6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F-5147-82F7-F5AF9512A8E3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AF-5147-82F7-F5AF9512A8E3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1CF-3948-A77A-78D5E31D83A7}"/>
                </c:ext>
              </c:extLst>
            </c:dLbl>
            <c:dLbl>
              <c:idx val="6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CF-3948-A77A-78D5E31D83A7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CF-3948-A77A-78D5E31D83A7}"/>
                </c:ext>
              </c:extLst>
            </c:dLbl>
            <c:dLbl>
              <c:idx val="6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CF-3948-A77A-78D5E31D83A7}"/>
                </c:ext>
              </c:extLst>
            </c:dLbl>
            <c:dLbl>
              <c:idx val="6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1CF-3948-A77A-78D5E31D83A7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CF-3948-A77A-78D5E31D83A7}"/>
                </c:ext>
              </c:extLst>
            </c:dLbl>
            <c:dLbl>
              <c:idx val="69"/>
              <c:layout>
                <c:manualLayout>
                  <c:x val="-6.4957264957265087E-2"/>
                  <c:y val="-5.08474576271187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CF-3948-A77A-78D5E31D83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compute!$A$5:$A$10056</c:f>
              <c:numCache>
                <c:formatCode>[$-409]d\-mmm;@</c:formatCode>
                <c:ptCount val="1005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</c:numCache>
            </c:numRef>
          </c:cat>
          <c:val>
            <c:numRef>
              <c:f>compute!$S$5:$S$10056</c:f>
              <c:numCache>
                <c:formatCode>0</c:formatCode>
                <c:ptCount val="10052"/>
                <c:pt idx="0">
                  <c:v>531.10601503759403</c:v>
                </c:pt>
                <c:pt idx="1">
                  <c:v>411.87813411078719</c:v>
                </c:pt>
                <c:pt idx="2">
                  <c:v>315.34419642857142</c:v>
                </c:pt>
                <c:pt idx="3">
                  <c:v>233.99453416149069</c:v>
                </c:pt>
                <c:pt idx="4">
                  <c:v>173.98300492610838</c:v>
                </c:pt>
                <c:pt idx="5">
                  <c:v>133.87746979388771</c:v>
                </c:pt>
                <c:pt idx="6">
                  <c:v>99.41885995777622</c:v>
                </c:pt>
                <c:pt idx="7">
                  <c:v>86.711186128586775</c:v>
                </c:pt>
                <c:pt idx="8">
                  <c:v>68.471683024354775</c:v>
                </c:pt>
                <c:pt idx="9">
                  <c:v>58.882650828383873</c:v>
                </c:pt>
                <c:pt idx="10">
                  <c:v>48.138410426782514</c:v>
                </c:pt>
                <c:pt idx="11">
                  <c:v>41.208838328593302</c:v>
                </c:pt>
                <c:pt idx="12">
                  <c:v>35.237064288832073</c:v>
                </c:pt>
                <c:pt idx="13">
                  <c:v>32.802972078713651</c:v>
                </c:pt>
                <c:pt idx="14">
                  <c:v>28.810890180483327</c:v>
                </c:pt>
                <c:pt idx="15">
                  <c:v>26.041327188940095</c:v>
                </c:pt>
                <c:pt idx="16">
                  <c:v>24.337688961626256</c:v>
                </c:pt>
                <c:pt idx="17">
                  <c:v>22.505746943327093</c:v>
                </c:pt>
                <c:pt idx="18">
                  <c:v>21.15516621743037</c:v>
                </c:pt>
                <c:pt idx="19">
                  <c:v>19.733100534273845</c:v>
                </c:pt>
                <c:pt idx="20">
                  <c:v>18.892608070609477</c:v>
                </c:pt>
                <c:pt idx="21">
                  <c:v>17.991556560221593</c:v>
                </c:pt>
                <c:pt idx="22">
                  <c:v>17.368355052864519</c:v>
                </c:pt>
                <c:pt idx="23">
                  <c:v>16.620982970087354</c:v>
                </c:pt>
                <c:pt idx="24">
                  <c:v>16.08770711154131</c:v>
                </c:pt>
                <c:pt idx="25">
                  <c:v>15.1602092555332</c:v>
                </c:pt>
                <c:pt idx="26">
                  <c:v>14.750249275664952</c:v>
                </c:pt>
                <c:pt idx="27">
                  <c:v>14.300817411109705</c:v>
                </c:pt>
                <c:pt idx="28">
                  <c:v>13.794961429547897</c:v>
                </c:pt>
                <c:pt idx="29">
                  <c:v>13.312683754240481</c:v>
                </c:pt>
                <c:pt idx="30">
                  <c:v>12.964206565876712</c:v>
                </c:pt>
                <c:pt idx="31">
                  <c:v>12.588198079793276</c:v>
                </c:pt>
                <c:pt idx="32">
                  <c:v>12.124979616358409</c:v>
                </c:pt>
                <c:pt idx="33">
                  <c:v>12.031015541835213</c:v>
                </c:pt>
                <c:pt idx="34">
                  <c:v>11.530940477890914</c:v>
                </c:pt>
                <c:pt idx="35">
                  <c:v>11.276451220242251</c:v>
                </c:pt>
                <c:pt idx="36">
                  <c:v>10.962535888880268</c:v>
                </c:pt>
                <c:pt idx="37">
                  <c:v>10.882733120209529</c:v>
                </c:pt>
                <c:pt idx="38">
                  <c:v>10.778119397291627</c:v>
                </c:pt>
                <c:pt idx="39">
                  <c:v>10.504634259689562</c:v>
                </c:pt>
                <c:pt idx="40">
                  <c:v>10.302209582148325</c:v>
                </c:pt>
                <c:pt idx="41">
                  <c:v>10.182658209600692</c:v>
                </c:pt>
                <c:pt idx="42">
                  <c:v>9.8858822294531326</c:v>
                </c:pt>
                <c:pt idx="43">
                  <c:v>9.7556633577902474</c:v>
                </c:pt>
                <c:pt idx="44">
                  <c:v>9.6265340192838398</c:v>
                </c:pt>
                <c:pt idx="45">
                  <c:v>9.4618042997789829</c:v>
                </c:pt>
                <c:pt idx="46">
                  <c:v>9.3935436683400368</c:v>
                </c:pt>
                <c:pt idx="47">
                  <c:v>9.2631226948610763</c:v>
                </c:pt>
                <c:pt idx="48">
                  <c:v>9.1497352698304759</c:v>
                </c:pt>
                <c:pt idx="49">
                  <c:v>9.0981758464684201</c:v>
                </c:pt>
                <c:pt idx="50">
                  <c:v>8.9548657000237704</c:v>
                </c:pt>
                <c:pt idx="51">
                  <c:v>8.8995826574483825</c:v>
                </c:pt>
                <c:pt idx="52">
                  <c:v>8.8217806016516533</c:v>
                </c:pt>
                <c:pt idx="53">
                  <c:v>8.7019633810191106</c:v>
                </c:pt>
                <c:pt idx="54">
                  <c:v>8.5480849518968967</c:v>
                </c:pt>
                <c:pt idx="55">
                  <c:v>8.4188251419036693</c:v>
                </c:pt>
                <c:pt idx="56">
                  <c:v>8.3156277591382661</c:v>
                </c:pt>
                <c:pt idx="57">
                  <c:v>8.2781085198640572</c:v>
                </c:pt>
                <c:pt idx="58">
                  <c:v>8.2367222003585638</c:v>
                </c:pt>
                <c:pt idx="59">
                  <c:v>8.0898000085894672</c:v>
                </c:pt>
                <c:pt idx="60">
                  <c:v>8.0198802191252021</c:v>
                </c:pt>
                <c:pt idx="61">
                  <c:v>7.9503756436590791</c:v>
                </c:pt>
                <c:pt idx="62">
                  <c:v>7.7960515968821138</c:v>
                </c:pt>
                <c:pt idx="63">
                  <c:v>7.7444468808244711</c:v>
                </c:pt>
                <c:pt idx="64">
                  <c:v>7.7082129557638011</c:v>
                </c:pt>
                <c:pt idx="65">
                  <c:v>7.6273728539034655</c:v>
                </c:pt>
                <c:pt idx="66">
                  <c:v>7.5383429158384807</c:v>
                </c:pt>
                <c:pt idx="67">
                  <c:v>7.4665292532107177</c:v>
                </c:pt>
                <c:pt idx="68">
                  <c:v>7.3825436018028601</c:v>
                </c:pt>
                <c:pt idx="69">
                  <c:v>7.3189586841082761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7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compute!$A$5:$A$10056</c:f>
              <c:numCache>
                <c:formatCode>[$-409]d\-mmm;@</c:formatCode>
                <c:ptCount val="1005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</c:numCache>
            </c:numRef>
          </c:cat>
          <c:val>
            <c:numRef>
              <c:f>compute!$C$5:$C$75</c:f>
              <c:numCache>
                <c:formatCode>0.0%</c:formatCode>
                <c:ptCount val="71"/>
                <c:pt idx="0">
                  <c:v>3.227765579277745E-4</c:v>
                </c:pt>
                <c:pt idx="1">
                  <c:v>4.1621187732791972E-4</c:v>
                </c:pt>
                <c:pt idx="2">
                  <c:v>5.4362367650993598E-4</c:v>
                </c:pt>
                <c:pt idx="3">
                  <c:v>7.3261784529659343E-4</c:v>
                </c:pt>
                <c:pt idx="4">
                  <c:v>9.8531791367425896E-4</c:v>
                </c:pt>
                <c:pt idx="5">
                  <c:v>1.2804885817792632E-3</c:v>
                </c:pt>
                <c:pt idx="6">
                  <c:v>1.7243063489299532E-3</c:v>
                </c:pt>
                <c:pt idx="7">
                  <c:v>1.9770064173076189E-3</c:v>
                </c:pt>
                <c:pt idx="8">
                  <c:v>2.5036418539266191E-3</c:v>
                </c:pt>
                <c:pt idx="9">
                  <c:v>2.9113596113090712E-3</c:v>
                </c:pt>
                <c:pt idx="10">
                  <c:v>3.5611597871373544E-3</c:v>
                </c:pt>
                <c:pt idx="11">
                  <c:v>4.1599952432928309E-3</c:v>
                </c:pt>
                <c:pt idx="12">
                  <c:v>4.8650071987666535E-3</c:v>
                </c:pt>
                <c:pt idx="13">
                  <c:v>5.2260072964490333E-3</c:v>
                </c:pt>
                <c:pt idx="14">
                  <c:v>5.9501310218001589E-3</c:v>
                </c:pt>
                <c:pt idx="15">
                  <c:v>6.5829429577375061E-3</c:v>
                </c:pt>
                <c:pt idx="16">
                  <c:v>7.0437489647791314E-3</c:v>
                </c:pt>
                <c:pt idx="17">
                  <c:v>7.6171020610982043E-3</c:v>
                </c:pt>
                <c:pt idx="18">
                  <c:v>8.1033904279762328E-3</c:v>
                </c:pt>
                <c:pt idx="19">
                  <c:v>8.6873611742271407E-3</c:v>
                </c:pt>
                <c:pt idx="20">
                  <c:v>9.0738436317459245E-3</c:v>
                </c:pt>
                <c:pt idx="21">
                  <c:v>9.5282790488284488E-3</c:v>
                </c:pt>
                <c:pt idx="22">
                  <c:v>9.8701673766335256E-3</c:v>
                </c:pt>
                <c:pt idx="23">
                  <c:v>1.0313985143784215E-2</c:v>
                </c:pt>
                <c:pt idx="24">
                  <c:v>1.0655873471589292E-2</c:v>
                </c:pt>
                <c:pt idx="25">
                  <c:v>1.1307797177403942E-2</c:v>
                </c:pt>
                <c:pt idx="26">
                  <c:v>1.1622079615386249E-2</c:v>
                </c:pt>
                <c:pt idx="27">
                  <c:v>1.1987326773041361E-2</c:v>
                </c:pt>
                <c:pt idx="28">
                  <c:v>1.2426897480219318E-2</c:v>
                </c:pt>
                <c:pt idx="29">
                  <c:v>1.2877085837329109E-2</c:v>
                </c:pt>
                <c:pt idx="30">
                  <c:v>1.3223221225106919E-2</c:v>
                </c:pt>
                <c:pt idx="31">
                  <c:v>1.361819780257117E-2</c:v>
                </c:pt>
                <c:pt idx="32">
                  <c:v>1.4138462649231069E-2</c:v>
                </c:pt>
                <c:pt idx="33">
                  <c:v>1.424888620852215E-2</c:v>
                </c:pt>
                <c:pt idx="34">
                  <c:v>1.486683343455493E-2</c:v>
                </c:pt>
                <c:pt idx="35">
                  <c:v>1.5202351172400905E-2</c:v>
                </c:pt>
                <c:pt idx="36">
                  <c:v>1.5637674819606127E-2</c:v>
                </c:pt>
                <c:pt idx="37">
                  <c:v>1.5752345438869941E-2</c:v>
                </c:pt>
                <c:pt idx="38">
                  <c:v>1.5905239597888362E-2</c:v>
                </c:pt>
                <c:pt idx="39">
                  <c:v>1.6319327945229913E-2</c:v>
                </c:pt>
                <c:pt idx="40">
                  <c:v>1.6639980973171323E-2</c:v>
                </c:pt>
                <c:pt idx="41">
                  <c:v>1.6835345731917081E-2</c:v>
                </c:pt>
                <c:pt idx="42">
                  <c:v>1.7340745868672413E-2</c:v>
                </c:pt>
                <c:pt idx="43">
                  <c:v>1.7572210637186409E-2</c:v>
                </c:pt>
                <c:pt idx="44">
                  <c:v>1.7807922465673139E-2</c:v>
                </c:pt>
                <c:pt idx="45">
                  <c:v>1.8117957843682711E-2</c:v>
                </c:pt>
                <c:pt idx="46">
                  <c:v>1.8249616702837462E-2</c:v>
                </c:pt>
                <c:pt idx="47">
                  <c:v>1.8506563831187862E-2</c:v>
                </c:pt>
                <c:pt idx="48">
                  <c:v>1.8735905069715491E-2</c:v>
                </c:pt>
                <c:pt idx="49">
                  <c:v>1.8842081569033838E-2</c:v>
                </c:pt>
                <c:pt idx="50">
                  <c:v>1.9143622827097941E-2</c:v>
                </c:pt>
                <c:pt idx="51">
                  <c:v>1.926254050633449E-2</c:v>
                </c:pt>
                <c:pt idx="52">
                  <c:v>1.9432422905243846E-2</c:v>
                </c:pt>
                <c:pt idx="53">
                  <c:v>1.9699987683526078E-2</c:v>
                </c:pt>
                <c:pt idx="54">
                  <c:v>2.0054617191249357E-2</c:v>
                </c:pt>
                <c:pt idx="55">
                  <c:v>2.0362529039272565E-2</c:v>
                </c:pt>
                <c:pt idx="56">
                  <c:v>2.0615229107650228E-2</c:v>
                </c:pt>
                <c:pt idx="57">
                  <c:v>2.0708664427050376E-2</c:v>
                </c:pt>
                <c:pt idx="58">
                  <c:v>2.0812717396382355E-2</c:v>
                </c:pt>
                <c:pt idx="59">
                  <c:v>2.1190705733955668E-2</c:v>
                </c:pt>
                <c:pt idx="60">
                  <c:v>2.1375452842769593E-2</c:v>
                </c:pt>
                <c:pt idx="61">
                  <c:v>2.1562323481569882E-2</c:v>
                </c:pt>
                <c:pt idx="62">
                  <c:v>2.1989153008829639E-2</c:v>
                </c:pt>
                <c:pt idx="63">
                  <c:v>2.2135676577888955E-2</c:v>
                </c:pt>
                <c:pt idx="64">
                  <c:v>2.2239729547220935E-2</c:v>
                </c:pt>
                <c:pt idx="65">
                  <c:v>2.2475441375707665E-2</c:v>
                </c:pt>
                <c:pt idx="66">
                  <c:v>2.2740882624003533E-2</c:v>
                </c:pt>
                <c:pt idx="67">
                  <c:v>2.2959606212599327E-2</c:v>
                </c:pt>
                <c:pt idx="68">
                  <c:v>2.3220800400922462E-2</c:v>
                </c:pt>
                <c:pt idx="69">
                  <c:v>2.342253574962732E-2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compute!$C$5:$C$75</c:f>
              <c:numCache>
                <c:formatCode>0.0%</c:formatCode>
                <c:ptCount val="71"/>
                <c:pt idx="0">
                  <c:v>3.227765579277745E-4</c:v>
                </c:pt>
                <c:pt idx="1">
                  <c:v>4.1621187732791972E-4</c:v>
                </c:pt>
                <c:pt idx="2">
                  <c:v>5.4362367650993598E-4</c:v>
                </c:pt>
                <c:pt idx="3">
                  <c:v>7.3261784529659343E-4</c:v>
                </c:pt>
                <c:pt idx="4">
                  <c:v>9.8531791367425896E-4</c:v>
                </c:pt>
                <c:pt idx="5">
                  <c:v>1.2804885817792632E-3</c:v>
                </c:pt>
                <c:pt idx="6">
                  <c:v>1.7243063489299532E-3</c:v>
                </c:pt>
                <c:pt idx="7">
                  <c:v>1.9770064173076189E-3</c:v>
                </c:pt>
                <c:pt idx="8">
                  <c:v>2.5036418539266191E-3</c:v>
                </c:pt>
                <c:pt idx="9">
                  <c:v>2.9113596113090712E-3</c:v>
                </c:pt>
                <c:pt idx="10">
                  <c:v>3.5611597871373544E-3</c:v>
                </c:pt>
                <c:pt idx="11">
                  <c:v>4.1599952432928309E-3</c:v>
                </c:pt>
                <c:pt idx="12">
                  <c:v>4.8650071987666535E-3</c:v>
                </c:pt>
                <c:pt idx="13">
                  <c:v>5.2260072964490333E-3</c:v>
                </c:pt>
                <c:pt idx="14">
                  <c:v>5.9501310218001589E-3</c:v>
                </c:pt>
                <c:pt idx="15">
                  <c:v>6.5829429577375061E-3</c:v>
                </c:pt>
                <c:pt idx="16">
                  <c:v>7.0437489647791314E-3</c:v>
                </c:pt>
                <c:pt idx="17">
                  <c:v>7.6171020610982043E-3</c:v>
                </c:pt>
                <c:pt idx="18">
                  <c:v>8.1033904279762328E-3</c:v>
                </c:pt>
                <c:pt idx="19">
                  <c:v>8.6873611742271407E-3</c:v>
                </c:pt>
                <c:pt idx="20">
                  <c:v>9.0738436317459245E-3</c:v>
                </c:pt>
                <c:pt idx="21">
                  <c:v>9.5282790488284488E-3</c:v>
                </c:pt>
                <c:pt idx="22">
                  <c:v>9.8701673766335256E-3</c:v>
                </c:pt>
                <c:pt idx="23">
                  <c:v>1.0313985143784215E-2</c:v>
                </c:pt>
                <c:pt idx="24">
                  <c:v>1.0655873471589292E-2</c:v>
                </c:pt>
                <c:pt idx="25">
                  <c:v>1.1307797177403942E-2</c:v>
                </c:pt>
                <c:pt idx="26">
                  <c:v>1.1622079615386249E-2</c:v>
                </c:pt>
                <c:pt idx="27">
                  <c:v>1.1987326773041361E-2</c:v>
                </c:pt>
                <c:pt idx="28">
                  <c:v>1.2426897480219318E-2</c:v>
                </c:pt>
                <c:pt idx="29">
                  <c:v>1.2877085837329109E-2</c:v>
                </c:pt>
                <c:pt idx="30">
                  <c:v>1.3223221225106919E-2</c:v>
                </c:pt>
                <c:pt idx="31">
                  <c:v>1.361819780257117E-2</c:v>
                </c:pt>
                <c:pt idx="32">
                  <c:v>1.4138462649231069E-2</c:v>
                </c:pt>
                <c:pt idx="33">
                  <c:v>1.424888620852215E-2</c:v>
                </c:pt>
                <c:pt idx="34">
                  <c:v>1.486683343455493E-2</c:v>
                </c:pt>
                <c:pt idx="35">
                  <c:v>1.5202351172400905E-2</c:v>
                </c:pt>
                <c:pt idx="36">
                  <c:v>1.5637674819606127E-2</c:v>
                </c:pt>
                <c:pt idx="37">
                  <c:v>1.5752345438869941E-2</c:v>
                </c:pt>
                <c:pt idx="38">
                  <c:v>1.5905239597888362E-2</c:v>
                </c:pt>
                <c:pt idx="39">
                  <c:v>1.6319327945229913E-2</c:v>
                </c:pt>
                <c:pt idx="40">
                  <c:v>1.6639980973171323E-2</c:v>
                </c:pt>
                <c:pt idx="41">
                  <c:v>1.6835345731917081E-2</c:v>
                </c:pt>
                <c:pt idx="42">
                  <c:v>1.7340745868672413E-2</c:v>
                </c:pt>
                <c:pt idx="43">
                  <c:v>1.7572210637186409E-2</c:v>
                </c:pt>
                <c:pt idx="44">
                  <c:v>1.7807922465673139E-2</c:v>
                </c:pt>
                <c:pt idx="45">
                  <c:v>1.8117957843682711E-2</c:v>
                </c:pt>
                <c:pt idx="46">
                  <c:v>1.8249616702837462E-2</c:v>
                </c:pt>
                <c:pt idx="47">
                  <c:v>1.8506563831187862E-2</c:v>
                </c:pt>
                <c:pt idx="48">
                  <c:v>1.8735905069715491E-2</c:v>
                </c:pt>
                <c:pt idx="49">
                  <c:v>1.8842081569033838E-2</c:v>
                </c:pt>
                <c:pt idx="50">
                  <c:v>1.9143622827097941E-2</c:v>
                </c:pt>
                <c:pt idx="51">
                  <c:v>1.926254050633449E-2</c:v>
                </c:pt>
                <c:pt idx="52">
                  <c:v>1.9432422905243846E-2</c:v>
                </c:pt>
                <c:pt idx="53">
                  <c:v>1.9699987683526078E-2</c:v>
                </c:pt>
                <c:pt idx="54">
                  <c:v>2.0054617191249357E-2</c:v>
                </c:pt>
                <c:pt idx="55">
                  <c:v>2.0362529039272565E-2</c:v>
                </c:pt>
                <c:pt idx="56">
                  <c:v>2.0615229107650228E-2</c:v>
                </c:pt>
                <c:pt idx="57">
                  <c:v>2.0708664427050376E-2</c:v>
                </c:pt>
                <c:pt idx="58">
                  <c:v>2.0812717396382355E-2</c:v>
                </c:pt>
                <c:pt idx="59">
                  <c:v>2.1190705733955668E-2</c:v>
                </c:pt>
                <c:pt idx="60">
                  <c:v>2.1375452842769593E-2</c:v>
                </c:pt>
                <c:pt idx="61">
                  <c:v>2.1562323481569882E-2</c:v>
                </c:pt>
                <c:pt idx="62">
                  <c:v>2.1989153008829639E-2</c:v>
                </c:pt>
                <c:pt idx="63">
                  <c:v>2.2135676577888955E-2</c:v>
                </c:pt>
                <c:pt idx="64">
                  <c:v>2.2239729547220935E-2</c:v>
                </c:pt>
                <c:pt idx="65">
                  <c:v>2.2475441375707665E-2</c:v>
                </c:pt>
                <c:pt idx="66">
                  <c:v>2.2740882624003533E-2</c:v>
                </c:pt>
                <c:pt idx="67">
                  <c:v>2.2959606212599327E-2</c:v>
                </c:pt>
                <c:pt idx="68">
                  <c:v>2.3220800400922462E-2</c:v>
                </c:pt>
                <c:pt idx="69">
                  <c:v>2.342253574962732E-2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inorUnit val="90"/>
      </c:date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7914053116243"/>
          <c:y val="0.14576271186440679"/>
          <c:w val="0.84241238489256642"/>
          <c:h val="0.73277966101694914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compute!$A$5:$A$10056</c:f>
              <c:numCache>
                <c:formatCode>[$-409]d\-mmm;@</c:formatCode>
                <c:ptCount val="1005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</c:numCache>
            </c:numRef>
          </c:cat>
          <c:val>
            <c:numRef>
              <c:f>compute!$K$5:$K$74</c:f>
              <c:numCache>
                <c:formatCode>0.0%</c:formatCode>
                <c:ptCount val="70"/>
                <c:pt idx="0">
                  <c:v>9.7811078159931665E-4</c:v>
                </c:pt>
                <c:pt idx="1">
                  <c:v>1.2612481131149085E-3</c:v>
                </c:pt>
                <c:pt idx="2">
                  <c:v>1.6473444742725334E-3</c:v>
                </c:pt>
                <c:pt idx="3">
                  <c:v>2.220054076656344E-3</c:v>
                </c:pt>
                <c:pt idx="4">
                  <c:v>2.9858118596189664E-3</c:v>
                </c:pt>
                <c:pt idx="5">
                  <c:v>3.8802684296341313E-3</c:v>
                </c:pt>
                <c:pt idx="6">
                  <c:v>5.2251707543331917E-3</c:v>
                </c:pt>
                <c:pt idx="7">
                  <c:v>5.9909285372958141E-3</c:v>
                </c:pt>
                <c:pt idx="8">
                  <c:v>7.5867934967473304E-3</c:v>
                </c:pt>
                <c:pt idx="9">
                  <c:v>8.8223018524517319E-3</c:v>
                </c:pt>
                <c:pt idx="10">
                  <c:v>1.079139329435562E-2</c:v>
                </c:pt>
                <c:pt idx="11">
                  <c:v>1.2606046191796455E-2</c:v>
                </c:pt>
                <c:pt idx="12">
                  <c:v>1.4742446056868646E-2</c:v>
                </c:pt>
                <c:pt idx="13">
                  <c:v>1.5836385746815253E-2</c:v>
                </c:pt>
                <c:pt idx="14">
                  <c:v>1.8030700066061087E-2</c:v>
                </c:pt>
                <c:pt idx="15">
                  <c:v>1.9948311993143959E-2</c:v>
                </c:pt>
                <c:pt idx="16">
                  <c:v>2.1344693832664036E-2</c:v>
                </c:pt>
                <c:pt idx="17">
                  <c:v>2.3082127457873348E-2</c:v>
                </c:pt>
                <c:pt idx="18">
                  <c:v>2.455572856962495E-2</c:v>
                </c:pt>
                <c:pt idx="19">
                  <c:v>2.6325336891597394E-2</c:v>
                </c:pt>
                <c:pt idx="20">
                  <c:v>2.7496495853775525E-2</c:v>
                </c:pt>
                <c:pt idx="21">
                  <c:v>2.8873572875237719E-2</c:v>
                </c:pt>
                <c:pt idx="22">
                  <c:v>2.9909598111010682E-2</c:v>
                </c:pt>
                <c:pt idx="23">
                  <c:v>3.1254500435709744E-2</c:v>
                </c:pt>
                <c:pt idx="24">
                  <c:v>3.2290525671482703E-2</c:v>
                </c:pt>
                <c:pt idx="25">
                  <c:v>3.4266052052739221E-2</c:v>
                </c:pt>
                <c:pt idx="26">
                  <c:v>3.5218423076928025E-2</c:v>
                </c:pt>
                <c:pt idx="27">
                  <c:v>3.6325232645579887E-2</c:v>
                </c:pt>
                <c:pt idx="28">
                  <c:v>3.7657265091573688E-2</c:v>
                </c:pt>
                <c:pt idx="29">
                  <c:v>3.9021472234330633E-2</c:v>
                </c:pt>
                <c:pt idx="30">
                  <c:v>4.0070367348808845E-2</c:v>
                </c:pt>
                <c:pt idx="31">
                  <c:v>4.1267266068397486E-2</c:v>
                </c:pt>
                <c:pt idx="32">
                  <c:v>4.2843826209791123E-2</c:v>
                </c:pt>
                <c:pt idx="33">
                  <c:v>4.3178443056127724E-2</c:v>
                </c:pt>
                <c:pt idx="34">
                  <c:v>4.505101040774221E-2</c:v>
                </c:pt>
                <c:pt idx="35">
                  <c:v>4.6067730825457287E-2</c:v>
                </c:pt>
                <c:pt idx="36">
                  <c:v>4.7386893392745842E-2</c:v>
                </c:pt>
                <c:pt idx="37">
                  <c:v>4.7734380117787703E-2</c:v>
                </c:pt>
                <c:pt idx="38">
                  <c:v>4.8197695751176849E-2</c:v>
                </c:pt>
                <c:pt idx="39">
                  <c:v>4.9452508924939138E-2</c:v>
                </c:pt>
                <c:pt idx="40">
                  <c:v>5.0424184767185819E-2</c:v>
                </c:pt>
                <c:pt idx="41">
                  <c:v>5.1016199187627516E-2</c:v>
                </c:pt>
                <c:pt idx="42">
                  <c:v>5.2547714753552757E-2</c:v>
                </c:pt>
                <c:pt idx="43">
                  <c:v>5.3249123142989116E-2</c:v>
                </c:pt>
                <c:pt idx="44">
                  <c:v>5.3963401411130721E-2</c:v>
                </c:pt>
                <c:pt idx="45">
                  <c:v>5.4902902556614279E-2</c:v>
                </c:pt>
                <c:pt idx="46">
                  <c:v>5.5301868796477159E-2</c:v>
                </c:pt>
                <c:pt idx="47">
                  <c:v>5.6080496458145029E-2</c:v>
                </c:pt>
                <c:pt idx="48">
                  <c:v>5.6775469908228758E-2</c:v>
                </c:pt>
                <c:pt idx="49">
                  <c:v>5.7097216875860113E-2</c:v>
                </c:pt>
                <c:pt idx="50">
                  <c:v>5.8010978263933158E-2</c:v>
                </c:pt>
                <c:pt idx="51">
                  <c:v>5.8371334867680272E-2</c:v>
                </c:pt>
                <c:pt idx="52">
                  <c:v>5.8886130015890444E-2</c:v>
                </c:pt>
                <c:pt idx="53">
                  <c:v>5.969693237432145E-2</c:v>
                </c:pt>
                <c:pt idx="54">
                  <c:v>6.0771567246210176E-2</c:v>
                </c:pt>
                <c:pt idx="55">
                  <c:v>6.1704633452341097E-2</c:v>
                </c:pt>
                <c:pt idx="56">
                  <c:v>6.2470391235303728E-2</c:v>
                </c:pt>
                <c:pt idx="57">
                  <c:v>6.2753528566819317E-2</c:v>
                </c:pt>
                <c:pt idx="58">
                  <c:v>6.3068840595098041E-2</c:v>
                </c:pt>
                <c:pt idx="59">
                  <c:v>6.4214259799865669E-2</c:v>
                </c:pt>
                <c:pt idx="60">
                  <c:v>6.4774099523544224E-2</c:v>
                </c:pt>
                <c:pt idx="61">
                  <c:v>6.5340374186575401E-2</c:v>
                </c:pt>
                <c:pt idx="62">
                  <c:v>6.6633796996453457E-2</c:v>
                </c:pt>
                <c:pt idx="63">
                  <c:v>6.7077807811784712E-2</c:v>
                </c:pt>
                <c:pt idx="64">
                  <c:v>6.7393119840063437E-2</c:v>
                </c:pt>
                <c:pt idx="65">
                  <c:v>6.8107398108205042E-2</c:v>
                </c:pt>
                <c:pt idx="66">
                  <c:v>6.8911765527283439E-2</c:v>
                </c:pt>
                <c:pt idx="67">
                  <c:v>6.9574564280604032E-2</c:v>
                </c:pt>
                <c:pt idx="68">
                  <c:v>7.0366061820977169E-2</c:v>
                </c:pt>
                <c:pt idx="69">
                  <c:v>7.0977381059476735E-2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306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ajorTimeUnit val="days"/>
      </c:dateAx>
      <c:valAx>
        <c:axId val="1207600816"/>
        <c:scaling>
          <c:orientation val="minMax"/>
          <c:max val="0.660000000000000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76871746963833"/>
          <c:y val="0.14745762711864407"/>
          <c:w val="0.85210436407313495"/>
          <c:h val="0.71903963699452822"/>
        </c:manualLayout>
      </c:layout>
      <c:barChart>
        <c:barDir val="col"/>
        <c:grouping val="clustered"/>
        <c:varyColors val="0"/>
        <c:ser>
          <c:idx val="3"/>
          <c:order val="0"/>
          <c:spPr>
            <a:solidFill>
              <a:schemeClr val="accent4"/>
            </a:solidFill>
            <a:ln>
              <a:solidFill>
                <a:schemeClr val="tx2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DD-D049-A979-F74915D3B98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DD-D049-A979-F74915D3B989}"/>
              </c:ext>
            </c:extLst>
          </c:dPt>
          <c:trendline>
            <c:spPr>
              <a:ln w="3810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8"/>
            <c:dispRSqr val="0"/>
            <c:dispEq val="0"/>
          </c:trendline>
          <c:cat>
            <c:strRef>
              <c:f>'Two-Weeks'!$L$7:$L$8</c:f>
              <c:strCache>
                <c:ptCount val="2"/>
                <c:pt idx="0">
                  <c:v>May 12 - 18</c:v>
                </c:pt>
                <c:pt idx="1">
                  <c:v>May 19 - 25</c:v>
                </c:pt>
              </c:strCache>
            </c:strRef>
          </c:cat>
          <c:val>
            <c:numRef>
              <c:f>'Two-Weeks'!$M$7:$M$8</c:f>
              <c:numCache>
                <c:formatCode>#,##0</c:formatCode>
                <c:ptCount val="2"/>
                <c:pt idx="0">
                  <c:v>835</c:v>
                </c:pt>
                <c:pt idx="1">
                  <c:v>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7535568"/>
        <c:axId val="1207600816"/>
      </c:barChart>
      <c:catAx>
        <c:axId val="120753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noMultiLvlLbl val="1"/>
      </c:cat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75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75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75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B5A309-FAD0-9241-B801-42831BA167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4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 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6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0683D0D9-9B0E-5142-B2B3-B60B9F67ABF0}"/>
            </a:ext>
          </a:extLst>
        </cdr:cNvPr>
        <cdr:cNvSpPr txBox="1"/>
      </cdr:nvSpPr>
      <cdr:spPr>
        <a:xfrm xmlns:a="http://schemas.openxmlformats.org/drawingml/2006/main">
          <a:off x="50800" y="689053"/>
          <a:ext cx="7493000" cy="2725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7AAA7-D933-F549-B4F0-88822C760C52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June 1, 2020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28A63643-F10A-8746-ABF6-3F4823ECAA7D}"/>
            </a:ext>
          </a:extLst>
        </cdr:cNvPr>
        <cdr:cNvSpPr txBox="1"/>
      </cdr:nvSpPr>
      <cdr:spPr>
        <a:xfrm xmlns:a="http://schemas.openxmlformats.org/drawingml/2006/main">
          <a:off x="50800" y="431519"/>
          <a:ext cx="7493000" cy="22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946AFE2-6A9E-A243-AC68-23CF36B26C61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8" name="TextBox 2">
          <a:extLst xmlns:a="http://schemas.openxmlformats.org/drawingml/2006/main">
            <a:ext uri="{FF2B5EF4-FFF2-40B4-BE49-F238E27FC236}">
              <a16:creationId xmlns:a16="http://schemas.microsoft.com/office/drawing/2014/main" id="{E1591A5E-FE84-E44F-80A5-981A526CC5B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Estimated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6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9" name="Picture 28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0.24654</cdr:x>
      <cdr:y>0.31501</cdr:y>
    </cdr:from>
    <cdr:to>
      <cdr:x>0.74993</cdr:x>
      <cdr:y>0.46271</cdr:y>
    </cdr:to>
    <cdr:sp macro="" textlink="compute!$V$85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1831657" y="2360355"/>
          <a:ext cx="3739936" cy="1106716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having been infected with SARS-CoV-2 is currently estimated to be around one in 7.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0.77755</cdr:x>
      <cdr:y>0.80474</cdr:y>
    </cdr:from>
    <cdr:to>
      <cdr:x>0.90424</cdr:x>
      <cdr:y>0.83688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774727" y="6077390"/>
          <a:ext cx="940911" cy="242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75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75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0.26101</cdr:x>
      <cdr:y>0.47289</cdr:y>
    </cdr:from>
    <cdr:to>
      <cdr:x>0.49152</cdr:x>
      <cdr:y>0.55764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955773" y="3543330"/>
          <a:ext cx="1727212" cy="63503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0.59492</cdr:x>
      <cdr:y>0.61694</cdr:y>
    </cdr:from>
    <cdr:to>
      <cdr:x>0.93221</cdr:x>
      <cdr:y>0.72711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457743" y="4622757"/>
          <a:ext cx="2527314" cy="825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40" name="Rectangle 39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41" name="Picture 40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42" name="Picture 4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4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4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5" name="Picture 44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75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0.15932</cdr:x>
      <cdr:y>0.23148</cdr:y>
    </cdr:from>
    <cdr:to>
      <cdr:x>0.95085</cdr:x>
      <cdr:y>0.32119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193800" y="1734499"/>
          <a:ext cx="5930900" cy="672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herd protection for COVID-19 is between 50% and 66%.</a:t>
          </a:r>
          <a:endParaRPr lang="en-US" sz="18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0.45085</cdr:x>
      <cdr:y>0.6034</cdr:y>
    </cdr:from>
    <cdr:to>
      <cdr:x>0.8678</cdr:x>
      <cdr:y>0.71017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3378221" y="4521239"/>
          <a:ext cx="3124180" cy="80006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18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8" name="Picture 27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V$75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0" y="50803"/>
          <a:ext cx="7493000" cy="4448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New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35" name="Rectangle 34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36" name="Picture 35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37" name="Picture 36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38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0" name="Picture 39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V75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11442</xdr:rowOff>
    </xdr:from>
    <xdr:to>
      <xdr:col>8</xdr:col>
      <xdr:colOff>192635</xdr:colOff>
      <xdr:row>19</xdr:row>
      <xdr:rowOff>8424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22568FA-7A10-8B48-8604-354E123DFD15}"/>
            </a:ext>
          </a:extLst>
        </xdr:cNvPr>
        <xdr:cNvSpPr/>
      </xdr:nvSpPr>
      <xdr:spPr>
        <a:xfrm>
          <a:off x="0" y="7122298"/>
          <a:ext cx="7475112" cy="380270"/>
        </a:xfrm>
        <a:prstGeom prst="rect">
          <a:avLst/>
        </a:prstGeom>
        <a:solidFill>
          <a:srgbClr val="337CB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6</xdr:col>
      <xdr:colOff>2765194</xdr:colOff>
      <xdr:row>18</xdr:row>
      <xdr:rowOff>86147</xdr:rowOff>
    </xdr:from>
    <xdr:to>
      <xdr:col>6</xdr:col>
      <xdr:colOff>2990808</xdr:colOff>
      <xdr:row>18</xdr:row>
      <xdr:rowOff>306966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F6EEC7E-1E73-0541-99B0-5919D900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302" y="7197003"/>
          <a:ext cx="225614" cy="220819"/>
        </a:xfrm>
        <a:prstGeom prst="rect">
          <a:avLst/>
        </a:prstGeom>
      </xdr:spPr>
    </xdr:pic>
    <xdr:clientData/>
  </xdr:twoCellAnchor>
  <xdr:twoCellAnchor editAs="oneCell">
    <xdr:from>
      <xdr:col>6</xdr:col>
      <xdr:colOff>3009541</xdr:colOff>
      <xdr:row>18</xdr:row>
      <xdr:rowOff>57150</xdr:rowOff>
    </xdr:from>
    <xdr:to>
      <xdr:col>8</xdr:col>
      <xdr:colOff>43899</xdr:colOff>
      <xdr:row>18</xdr:row>
      <xdr:rowOff>338512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872D5D8-010A-AB48-A4D5-0CE4EBBE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42649" y="7168006"/>
          <a:ext cx="283727" cy="281362"/>
        </a:xfrm>
        <a:prstGeom prst="rect">
          <a:avLst/>
        </a:prstGeom>
      </xdr:spPr>
    </xdr:pic>
    <xdr:clientData/>
  </xdr:twoCellAnchor>
  <xdr:twoCellAnchor>
    <xdr:from>
      <xdr:col>6</xdr:col>
      <xdr:colOff>233220</xdr:colOff>
      <xdr:row>18</xdr:row>
      <xdr:rowOff>76107</xdr:rowOff>
    </xdr:from>
    <xdr:to>
      <xdr:col>6</xdr:col>
      <xdr:colOff>2683296</xdr:colOff>
      <xdr:row>18</xdr:row>
      <xdr:rowOff>381521</xdr:rowOff>
    </xdr:to>
    <xdr:sp macro="" textlink="">
      <xdr:nvSpPr>
        <xdr:cNvPr id="17" name="TextBox 3">
          <a:extLst>
            <a:ext uri="{FF2B5EF4-FFF2-40B4-BE49-F238E27FC236}">
              <a16:creationId xmlns:a16="http://schemas.microsoft.com/office/drawing/2014/main" id="{A29125F4-D1F4-B247-B8F3-148D146D3EB1}"/>
            </a:ext>
          </a:extLst>
        </xdr:cNvPr>
        <xdr:cNvSpPr txBox="1"/>
      </xdr:nvSpPr>
      <xdr:spPr>
        <a:xfrm>
          <a:off x="4266328" y="7186963"/>
          <a:ext cx="2450076" cy="305414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1533469</xdr:colOff>
      <xdr:row>18</xdr:row>
      <xdr:rowOff>76031</xdr:rowOff>
    </xdr:from>
    <xdr:to>
      <xdr:col>6</xdr:col>
      <xdr:colOff>233219</xdr:colOff>
      <xdr:row>18</xdr:row>
      <xdr:rowOff>366611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8BC1877F-1D3A-D344-B98F-F9C9C795F40C}"/>
            </a:ext>
          </a:extLst>
        </xdr:cNvPr>
        <xdr:cNvSpPr txBox="1"/>
      </xdr:nvSpPr>
      <xdr:spPr>
        <a:xfrm>
          <a:off x="1888154" y="7186887"/>
          <a:ext cx="2378173" cy="290580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10763</xdr:colOff>
      <xdr:row>18</xdr:row>
      <xdr:rowOff>87045</xdr:rowOff>
    </xdr:from>
    <xdr:to>
      <xdr:col>2</xdr:col>
      <xdr:colOff>1400984</xdr:colOff>
      <xdr:row>18</xdr:row>
      <xdr:rowOff>299623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912BAF4-DC51-CB41-9D9C-B467385EA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150" y="7197901"/>
          <a:ext cx="1527519" cy="21257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V74" totalsRowShown="0" headerRowDxfId="23" dataDxfId="22" headerRowCellStyle="Heading 3">
  <autoFilter ref="A4:V74" xr:uid="{550F0C45-D7F8-B94B-924D-6E337BF889A7}"/>
  <tableColumns count="22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21" dataCellStyle="Percent">
      <calculatedColumnFormula>Table2[[#This Row],[cases]]/$B$2</calculatedColumnFormula>
    </tableColumn>
    <tableColumn id="20" xr3:uid="{583731BA-1864-EF40-AEF7-A80834F00231}" name="% increase" dataDxfId="20">
      <calculatedColumnFormula>(Table2[[#This Row],[cases]]-B4)/B4</calculatedColumnFormula>
    </tableColumn>
    <tableColumn id="19" xr3:uid="{C3C6B808-3CB5-8B45-A4B9-4A6CDF5E27BE}" name="doubling time (days)" dataDxfId="19">
      <calculatedColumnFormula>(LN(2)/LN(B5/B4))</calculatedColumnFormula>
    </tableColumn>
    <tableColumn id="22" xr3:uid="{90069003-40F0-4A42-B540-85A67A611F36}" name="estimated infections" dataDxfId="18">
      <calculatedColumnFormula>Table2[[#This Row],[cases]]*100/$T$19</calculatedColumnFormula>
    </tableColumn>
    <tableColumn id="8" xr3:uid="{C899EFA6-17F8-B447-A1DB-6D7083A2F531}" name="infection count, low end of estimate range" dataDxfId="17">
      <calculatedColumnFormula>Table2[[#This Row],[cases]]*100/$T$13</calculatedColumnFormula>
    </tableColumn>
    <tableColumn id="9" xr3:uid="{9DA1C9E0-36F7-DE43-8448-4D8CE8B57839}" name="infection count, high end of estimate range" dataDxfId="16">
      <calculatedColumnFormula>Table2[[#This Row],[cases]]*100/$T$16</calculatedColumnFormula>
    </tableColumn>
    <tableColumn id="11" xr3:uid="{DF5E18EF-399D-9948-A8F2-9862C2232353}" name="infection count difference" dataDxfId="15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14">
      <calculatedColumnFormula>(Table2[[#This Row],[infection count, low end of estimate range]]+Table2[[#This Row],[infection count, high end of estimate range]])/2</calculatedColumnFormula>
    </tableColumn>
    <tableColumn id="21" xr3:uid="{B5888CB3-C5F1-5841-B1D0-5A7380A5C5EF}" name="estimated infections as percentage" dataDxfId="13">
      <calculatedColumnFormula>Table2[[#This Row],[estimated infections]]/$T$6</calculatedColumnFormula>
    </tableColumn>
    <tableColumn id="12" xr3:uid="{8AB0CE19-F28B-1B41-B08C-6F528E4C628D}" name="infection percentage, low end of estimate range" dataDxfId="12">
      <calculatedColumnFormula>Table2[[#This Row],[infection count, low end of estimate range]]/$T$6</calculatedColumnFormula>
    </tableColumn>
    <tableColumn id="13" xr3:uid="{1109EB50-6E0E-5D49-923A-162321C9390D}" name="infection percentage, high end of estimate range" dataDxfId="11">
      <calculatedColumnFormula>Table2[[#This Row],[infection count, high end of estimate range]]/$T$6</calculatedColumnFormula>
    </tableColumn>
    <tableColumn id="14" xr3:uid="{238DA9D3-166B-A04A-B1CF-89D64E5C9BCE}" name="infection percentage difference" dataDxfId="10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9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8">
      <calculatedColumnFormula>$T$6/(Table2[[#This Row],[cases]]*5)</calculatedColumnFormula>
    </tableColumn>
    <tableColumn id="4" xr3:uid="{244EEAB7-EA2F-9142-A896-C40C6D4A9BE9}" name="1-in-X odds, estimating 7x cases infected" dataDxfId="7">
      <calculatedColumnFormula>$T$6/(Table2[[#This Row],[cases]]*7)</calculatedColumnFormula>
    </tableColumn>
    <tableColumn id="5" xr3:uid="{8F986CA1-2145-0B4C-AAAE-6153D0E4F495}" name="1-in-X odds difference" dataDxfId="6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5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4"/>
    <tableColumn id="17" xr3:uid="{B5DA71D5-91C3-F54E-9A79-5F7DD2472B6E}" name="computed" dataDxfId="3"/>
    <tableColumn id="18" xr3:uid="{22EA3CBE-6B18-9845-9A5C-8FD79B240D43}" name="Column1" dataDxfId="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L25" sqref="L25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O16" sqref="O16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L25" sqref="L25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F4E2-E569-584B-807B-788C74BAEE7F}">
  <sheetPr codeName="Sheet20"/>
  <dimension ref="A1"/>
  <sheetViews>
    <sheetView zoomScaleNormal="100" workbookViewId="0">
      <selection activeCell="L17" sqref="L17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tabSelected="1" topLeftCell="D21" zoomScale="217" zoomScaleNormal="100" workbookViewId="0">
      <selection activeCell="K31" sqref="K31"/>
    </sheetView>
  </sheetViews>
  <sheetFormatPr baseColWidth="10" defaultRowHeight="16"/>
  <cols>
    <col min="10" max="10" width="0" hidden="1" customWidth="1"/>
  </cols>
  <sheetData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O13" sqref="O13"/>
    </sheetView>
  </sheetViews>
  <sheetFormatPr baseColWidth="10" defaultRowHeight="16"/>
  <cols>
    <col min="11" max="14" width="10.83203125" customWidth="1"/>
  </cols>
  <sheetData>
    <row r="1" spans="11:13">
      <c r="K1" t="s">
        <v>53</v>
      </c>
    </row>
    <row r="2" spans="11:13">
      <c r="K2" t="s">
        <v>0</v>
      </c>
      <c r="L2" t="s">
        <v>54</v>
      </c>
      <c r="M2" t="s">
        <v>55</v>
      </c>
    </row>
    <row r="3" spans="11:13">
      <c r="K3" s="76">
        <v>43913</v>
      </c>
      <c r="L3" s="70">
        <v>0.2</v>
      </c>
      <c r="M3" s="70">
        <v>1</v>
      </c>
    </row>
    <row r="4" spans="11:13">
      <c r="K4" s="76">
        <v>43914</v>
      </c>
      <c r="L4" s="70">
        <v>0.2</v>
      </c>
      <c r="M4" s="70">
        <v>1</v>
      </c>
    </row>
    <row r="5" spans="11:13">
      <c r="K5" s="76">
        <v>43915</v>
      </c>
      <c r="L5" s="70">
        <v>0.2</v>
      </c>
      <c r="M5" s="70">
        <v>1</v>
      </c>
    </row>
    <row r="6" spans="11:13">
      <c r="K6" s="76">
        <v>43916</v>
      </c>
      <c r="L6" s="70">
        <v>0.2</v>
      </c>
      <c r="M6" s="70">
        <v>1</v>
      </c>
    </row>
    <row r="7" spans="11:13">
      <c r="K7" s="76">
        <v>43917</v>
      </c>
      <c r="L7" s="70">
        <v>0.2</v>
      </c>
      <c r="M7" s="70">
        <v>1</v>
      </c>
    </row>
    <row r="8" spans="11:13">
      <c r="K8" s="76">
        <v>43918</v>
      </c>
      <c r="L8" s="70">
        <v>0.2</v>
      </c>
      <c r="M8" s="70">
        <v>1</v>
      </c>
    </row>
    <row r="9" spans="11:13">
      <c r="K9" s="76">
        <v>43919</v>
      </c>
      <c r="L9" s="70">
        <v>0.2</v>
      </c>
      <c r="M9" s="70">
        <v>1</v>
      </c>
    </row>
    <row r="10" spans="11:13">
      <c r="K10" s="76">
        <v>43920</v>
      </c>
      <c r="L10" s="70">
        <v>0.2</v>
      </c>
      <c r="M10" s="70">
        <v>1</v>
      </c>
    </row>
    <row r="11" spans="11:13">
      <c r="K11" s="76">
        <v>43921</v>
      </c>
      <c r="L11" s="70">
        <v>0.2</v>
      </c>
      <c r="M11" s="70">
        <v>1</v>
      </c>
    </row>
    <row r="12" spans="11:13">
      <c r="K12" s="76">
        <v>43922</v>
      </c>
      <c r="L12" s="70">
        <v>0.2</v>
      </c>
      <c r="M12" s="70">
        <v>1</v>
      </c>
    </row>
    <row r="13" spans="11:13">
      <c r="K13" s="76">
        <v>43923</v>
      </c>
      <c r="L13" s="70">
        <v>0.2</v>
      </c>
      <c r="M13" s="70">
        <v>1</v>
      </c>
    </row>
    <row r="14" spans="11:13">
      <c r="K14" s="76">
        <v>43924</v>
      </c>
      <c r="L14" s="70">
        <v>0.2</v>
      </c>
      <c r="M14" s="70">
        <v>1</v>
      </c>
    </row>
    <row r="15" spans="11:13">
      <c r="K15" s="76">
        <v>43925</v>
      </c>
      <c r="L15" s="70">
        <v>0.2</v>
      </c>
      <c r="M15" s="70">
        <v>1</v>
      </c>
    </row>
    <row r="16" spans="11:13">
      <c r="K16" s="76">
        <v>43926</v>
      </c>
      <c r="L16" s="70">
        <v>0.2</v>
      </c>
      <c r="M16" s="70">
        <v>1</v>
      </c>
    </row>
    <row r="17" spans="11:13">
      <c r="K17" s="76">
        <v>43927</v>
      </c>
      <c r="L17" s="70">
        <v>0.2</v>
      </c>
      <c r="M17" s="70">
        <v>1</v>
      </c>
    </row>
    <row r="18" spans="11:13">
      <c r="K18" s="76">
        <v>43928</v>
      </c>
      <c r="L18" s="70">
        <v>0.2</v>
      </c>
      <c r="M18" s="70">
        <v>1</v>
      </c>
    </row>
    <row r="19" spans="11:13">
      <c r="K19" s="76">
        <v>43929</v>
      </c>
      <c r="L19" s="70">
        <v>0.2</v>
      </c>
      <c r="M19" s="70">
        <v>1</v>
      </c>
    </row>
    <row r="20" spans="11:13">
      <c r="K20" s="76">
        <v>43930</v>
      </c>
      <c r="L20" s="70">
        <v>0.2</v>
      </c>
      <c r="M20" s="70">
        <v>1</v>
      </c>
    </row>
    <row r="21" spans="11:13">
      <c r="K21" s="76">
        <v>43931</v>
      </c>
      <c r="L21" s="70">
        <v>0.2</v>
      </c>
      <c r="M21" s="70">
        <v>1</v>
      </c>
    </row>
    <row r="22" spans="11:13">
      <c r="K22" s="76">
        <v>43932</v>
      </c>
      <c r="L22" s="70">
        <v>0.2</v>
      </c>
      <c r="M22" s="70">
        <v>1</v>
      </c>
    </row>
    <row r="23" spans="11:13">
      <c r="K23" s="76">
        <v>43933</v>
      </c>
      <c r="L23" s="70">
        <v>0.2</v>
      </c>
      <c r="M23" s="70">
        <v>1</v>
      </c>
    </row>
    <row r="24" spans="11:13">
      <c r="K24" s="76">
        <v>43934</v>
      </c>
      <c r="L24" s="70">
        <v>0.2</v>
      </c>
      <c r="M24" s="70">
        <v>1</v>
      </c>
    </row>
    <row r="25" spans="11:13">
      <c r="K25" s="76">
        <v>43935</v>
      </c>
      <c r="L25" s="70">
        <v>0.2</v>
      </c>
      <c r="M25" s="70">
        <v>1</v>
      </c>
    </row>
    <row r="26" spans="11:13">
      <c r="K26" s="76">
        <v>43936</v>
      </c>
      <c r="L26" s="70">
        <v>0.2</v>
      </c>
      <c r="M26" s="70">
        <v>1</v>
      </c>
    </row>
    <row r="27" spans="11:13">
      <c r="K27" s="76">
        <v>43937</v>
      </c>
      <c r="L27" s="70">
        <v>0.2</v>
      </c>
      <c r="M27" s="70">
        <v>1</v>
      </c>
    </row>
    <row r="28" spans="11:13">
      <c r="K28" s="76">
        <v>43938</v>
      </c>
      <c r="L28" s="70">
        <v>0.2</v>
      </c>
      <c r="M28" s="70">
        <v>1</v>
      </c>
    </row>
    <row r="29" spans="11:13">
      <c r="K29" s="76">
        <v>43939</v>
      </c>
      <c r="L29" s="70">
        <v>0.2</v>
      </c>
      <c r="M29" s="70">
        <v>1</v>
      </c>
    </row>
    <row r="30" spans="11:13">
      <c r="K30" s="76">
        <v>43940</v>
      </c>
      <c r="L30" s="70">
        <v>0.2</v>
      </c>
      <c r="M30" s="70">
        <v>1</v>
      </c>
    </row>
    <row r="31" spans="11:13">
      <c r="K31" s="76">
        <v>43941</v>
      </c>
      <c r="L31" s="70">
        <v>0.2</v>
      </c>
      <c r="M31" s="70">
        <v>1</v>
      </c>
    </row>
    <row r="32" spans="11:13">
      <c r="K32" s="76">
        <v>43942</v>
      </c>
      <c r="L32" s="70">
        <v>0.2</v>
      </c>
      <c r="M32" s="70">
        <v>1</v>
      </c>
    </row>
    <row r="33" spans="11:13">
      <c r="K33" s="76">
        <v>43943</v>
      </c>
      <c r="L33" s="70">
        <v>0.2</v>
      </c>
      <c r="M33" s="70">
        <v>1</v>
      </c>
    </row>
    <row r="34" spans="11:13">
      <c r="K34" s="76">
        <v>43944</v>
      </c>
      <c r="L34" s="70">
        <v>0.2</v>
      </c>
      <c r="M34" s="70">
        <v>1</v>
      </c>
    </row>
    <row r="35" spans="11:13">
      <c r="K35" s="76">
        <v>43945</v>
      </c>
      <c r="L35" s="70">
        <v>0.2</v>
      </c>
      <c r="M35" s="70">
        <v>1</v>
      </c>
    </row>
    <row r="36" spans="11:13">
      <c r="K36" s="76">
        <v>43946</v>
      </c>
      <c r="L36" s="70">
        <v>0.2</v>
      </c>
      <c r="M36" s="70">
        <v>1</v>
      </c>
    </row>
    <row r="37" spans="11:13">
      <c r="K37" s="76">
        <v>43947</v>
      </c>
      <c r="L37" s="70">
        <v>0.2</v>
      </c>
      <c r="M37" s="70">
        <v>1</v>
      </c>
    </row>
    <row r="38" spans="11:13">
      <c r="K38" s="76">
        <v>43948</v>
      </c>
      <c r="L38" s="70">
        <v>0.2</v>
      </c>
      <c r="M38" s="70">
        <v>1</v>
      </c>
    </row>
    <row r="39" spans="11:13">
      <c r="K39" s="76">
        <v>43949</v>
      </c>
      <c r="L39" s="70">
        <v>0.2</v>
      </c>
      <c r="M39" s="70">
        <v>1</v>
      </c>
    </row>
    <row r="40" spans="11:13">
      <c r="K40" s="76">
        <v>43950</v>
      </c>
      <c r="L40" s="70">
        <v>0.2</v>
      </c>
      <c r="M40" s="70">
        <v>1</v>
      </c>
    </row>
    <row r="41" spans="11:13">
      <c r="K41" s="76">
        <v>43951</v>
      </c>
      <c r="L41" s="70">
        <v>0.2</v>
      </c>
      <c r="M41" s="70">
        <v>1</v>
      </c>
    </row>
    <row r="42" spans="11:13">
      <c r="K42" s="76">
        <v>43952</v>
      </c>
      <c r="L42" s="70">
        <v>0.2</v>
      </c>
      <c r="M42" s="70">
        <v>1</v>
      </c>
    </row>
    <row r="43" spans="11:13">
      <c r="K43" s="76">
        <v>43953</v>
      </c>
      <c r="L43" s="70">
        <v>0.2</v>
      </c>
      <c r="M43" s="70">
        <v>1</v>
      </c>
    </row>
    <row r="44" spans="11:13">
      <c r="K44" s="76">
        <v>43954</v>
      </c>
      <c r="L44" s="70">
        <v>0.2</v>
      </c>
      <c r="M44" s="70">
        <v>1</v>
      </c>
    </row>
    <row r="45" spans="11:13">
      <c r="K45" s="76">
        <v>43955</v>
      </c>
      <c r="L45" s="70">
        <v>0.2</v>
      </c>
      <c r="M45" s="70">
        <v>1</v>
      </c>
    </row>
    <row r="46" spans="11:13">
      <c r="K46" s="76">
        <v>43956</v>
      </c>
      <c r="L46" s="70">
        <v>0.2</v>
      </c>
      <c r="M46" s="70">
        <v>1</v>
      </c>
    </row>
    <row r="47" spans="11:13">
      <c r="K47" s="76">
        <v>43957</v>
      </c>
      <c r="L47" s="70">
        <v>0.2</v>
      </c>
      <c r="M47" s="70">
        <v>1</v>
      </c>
    </row>
    <row r="48" spans="11:13">
      <c r="K48" s="76">
        <v>43958</v>
      </c>
      <c r="L48" s="70">
        <v>0.2</v>
      </c>
      <c r="M48" s="70">
        <v>1</v>
      </c>
    </row>
    <row r="49" spans="11:13">
      <c r="K49" s="76">
        <v>43959</v>
      </c>
      <c r="L49" s="70">
        <v>0.2</v>
      </c>
      <c r="M49" s="70">
        <v>1</v>
      </c>
    </row>
    <row r="50" spans="11:13">
      <c r="K50" s="76">
        <v>43960</v>
      </c>
      <c r="L50" s="70">
        <v>0.2</v>
      </c>
      <c r="M50" s="70">
        <v>1</v>
      </c>
    </row>
    <row r="51" spans="11:13">
      <c r="K51" s="76">
        <v>43961</v>
      </c>
      <c r="L51" s="70">
        <v>0.2</v>
      </c>
      <c r="M51" s="70">
        <v>1</v>
      </c>
    </row>
    <row r="52" spans="11:13">
      <c r="K52" s="76">
        <v>43962</v>
      </c>
      <c r="L52" s="70">
        <v>0.2</v>
      </c>
      <c r="M52" s="70">
        <v>1</v>
      </c>
    </row>
    <row r="53" spans="11:13">
      <c r="K53" s="76">
        <v>43963</v>
      </c>
      <c r="L53" s="70">
        <v>0.2</v>
      </c>
      <c r="M53" s="70">
        <v>1</v>
      </c>
    </row>
    <row r="54" spans="11:13">
      <c r="K54" s="76">
        <v>43964</v>
      </c>
      <c r="L54" s="70">
        <v>0.2</v>
      </c>
      <c r="M54" s="70">
        <v>1</v>
      </c>
    </row>
    <row r="55" spans="11:13">
      <c r="K55" s="76">
        <v>43965</v>
      </c>
      <c r="L55" s="70">
        <v>0.2</v>
      </c>
      <c r="M55" s="70">
        <v>1</v>
      </c>
    </row>
    <row r="56" spans="11:13">
      <c r="K56" s="76">
        <v>43966</v>
      </c>
      <c r="L56" s="70">
        <v>0.2</v>
      </c>
      <c r="M56" s="70">
        <v>1</v>
      </c>
    </row>
    <row r="57" spans="11:13">
      <c r="K57" s="76">
        <v>43967</v>
      </c>
      <c r="L57" s="70">
        <v>0.2</v>
      </c>
      <c r="M57" s="70">
        <v>1</v>
      </c>
    </row>
    <row r="58" spans="11:13">
      <c r="K58" s="76">
        <v>43968</v>
      </c>
      <c r="L58" s="70">
        <v>0.2</v>
      </c>
      <c r="M58" s="70">
        <v>1</v>
      </c>
    </row>
    <row r="59" spans="11:13">
      <c r="K59" s="76">
        <v>43969</v>
      </c>
      <c r="L59" s="70">
        <v>0.2</v>
      </c>
      <c r="M59" s="70">
        <v>1</v>
      </c>
    </row>
    <row r="60" spans="11:13">
      <c r="K60" s="76">
        <v>43970</v>
      </c>
      <c r="L60" s="70">
        <v>0.2</v>
      </c>
      <c r="M60" s="70">
        <v>1</v>
      </c>
    </row>
    <row r="61" spans="11:13">
      <c r="K61" s="76">
        <v>43971</v>
      </c>
      <c r="L61" s="70">
        <v>0.2</v>
      </c>
      <c r="M61" s="70">
        <v>1</v>
      </c>
    </row>
    <row r="62" spans="11:13">
      <c r="K62" s="76">
        <v>43972</v>
      </c>
      <c r="L62" s="70">
        <v>0.2</v>
      </c>
      <c r="M62" s="70">
        <v>1</v>
      </c>
    </row>
    <row r="63" spans="11:13">
      <c r="K63" s="76">
        <v>43973</v>
      </c>
      <c r="L63" s="70">
        <v>0.2</v>
      </c>
      <c r="M63" s="70">
        <v>1</v>
      </c>
    </row>
    <row r="64" spans="11:13">
      <c r="K64" s="76">
        <v>43974</v>
      </c>
      <c r="L64" s="70">
        <v>0.2</v>
      </c>
      <c r="M64" s="70">
        <v>1</v>
      </c>
    </row>
    <row r="65" spans="11:13">
      <c r="K65" s="76">
        <v>43975</v>
      </c>
      <c r="L65" s="70">
        <v>0.2</v>
      </c>
      <c r="M65" s="70">
        <v>1</v>
      </c>
    </row>
    <row r="66" spans="11:13">
      <c r="K66" s="76">
        <v>43976</v>
      </c>
      <c r="L66" s="70">
        <v>0.2</v>
      </c>
      <c r="M66" s="70">
        <v>1</v>
      </c>
    </row>
    <row r="67" spans="11:13">
      <c r="K67" s="76">
        <v>43977</v>
      </c>
      <c r="L67" s="70">
        <v>0.2</v>
      </c>
      <c r="M67" s="70">
        <v>1</v>
      </c>
    </row>
    <row r="68" spans="11:13">
      <c r="K68" s="76">
        <v>43978</v>
      </c>
      <c r="L68" s="70">
        <v>0.2</v>
      </c>
      <c r="M68" s="70">
        <v>1</v>
      </c>
    </row>
    <row r="69" spans="11:13">
      <c r="K69" s="76">
        <v>43979</v>
      </c>
      <c r="L69" s="70">
        <v>0.2</v>
      </c>
      <c r="M69" s="70">
        <v>1</v>
      </c>
    </row>
    <row r="70" spans="11:13">
      <c r="K70" s="76">
        <v>43980</v>
      </c>
      <c r="L70" s="70">
        <v>0.2</v>
      </c>
      <c r="M70" s="70">
        <v>1</v>
      </c>
    </row>
    <row r="71" spans="11:13">
      <c r="K71" s="76">
        <v>43981</v>
      </c>
      <c r="L71" s="70">
        <v>0.2</v>
      </c>
      <c r="M71" s="70">
        <v>1</v>
      </c>
    </row>
    <row r="72" spans="11:13">
      <c r="K72" s="76">
        <v>43982</v>
      </c>
      <c r="L72" s="70">
        <v>0.2</v>
      </c>
      <c r="M72" s="70">
        <v>1</v>
      </c>
    </row>
    <row r="73" spans="11:13">
      <c r="K73" s="76">
        <v>43983</v>
      </c>
      <c r="L73" s="70">
        <v>0.2</v>
      </c>
      <c r="M73" s="70">
        <v>1</v>
      </c>
    </row>
    <row r="74" spans="11:13">
      <c r="K74" s="76">
        <v>43984</v>
      </c>
      <c r="L74" s="70">
        <v>0.2</v>
      </c>
      <c r="M74" s="70">
        <v>1</v>
      </c>
    </row>
    <row r="75" spans="11:13">
      <c r="K75" s="76">
        <v>43985</v>
      </c>
      <c r="L75" s="70">
        <v>0.2</v>
      </c>
      <c r="M75" s="70">
        <v>1</v>
      </c>
    </row>
    <row r="76" spans="11:13">
      <c r="K76" s="76">
        <v>43986</v>
      </c>
      <c r="L76" s="70">
        <v>0.2</v>
      </c>
      <c r="M76" s="70">
        <v>1</v>
      </c>
    </row>
    <row r="77" spans="11:13">
      <c r="K77" s="76">
        <v>43987</v>
      </c>
      <c r="L77" s="70">
        <v>0.2</v>
      </c>
      <c r="M77" s="70">
        <v>1</v>
      </c>
    </row>
    <row r="78" spans="11:13">
      <c r="K78" s="76">
        <v>43988</v>
      </c>
      <c r="L78" s="70">
        <v>0.2</v>
      </c>
      <c r="M78" s="70">
        <v>1</v>
      </c>
    </row>
    <row r="79" spans="11:13">
      <c r="K79" s="76">
        <v>43989</v>
      </c>
      <c r="L79" s="70">
        <v>0.2</v>
      </c>
      <c r="M79" s="70">
        <v>1</v>
      </c>
    </row>
    <row r="80" spans="11:13">
      <c r="K80" s="76">
        <v>43990</v>
      </c>
      <c r="L80" s="70">
        <v>0.2</v>
      </c>
      <c r="M80" s="70">
        <v>1</v>
      </c>
    </row>
    <row r="81" spans="11:13">
      <c r="K81" s="76">
        <v>43991</v>
      </c>
      <c r="L81" s="70">
        <v>0.2</v>
      </c>
      <c r="M81" s="70">
        <v>1</v>
      </c>
    </row>
    <row r="82" spans="11:13">
      <c r="K82" s="76">
        <v>43992</v>
      </c>
      <c r="L82" s="70">
        <v>0.2</v>
      </c>
      <c r="M82" s="70">
        <v>1</v>
      </c>
    </row>
    <row r="83" spans="11:13">
      <c r="K83" s="76">
        <v>43993</v>
      </c>
      <c r="L83" s="70">
        <v>0.2</v>
      </c>
      <c r="M83" s="70">
        <v>1</v>
      </c>
    </row>
    <row r="84" spans="11:13">
      <c r="K84" s="76">
        <v>43994</v>
      </c>
      <c r="L84" s="70">
        <v>0.2</v>
      </c>
      <c r="M84" s="70">
        <v>1</v>
      </c>
    </row>
    <row r="85" spans="11:13">
      <c r="K85" s="76">
        <v>43995</v>
      </c>
      <c r="L85" s="70">
        <v>0.2</v>
      </c>
      <c r="M85" s="70">
        <v>1</v>
      </c>
    </row>
    <row r="86" spans="11:13">
      <c r="K86" s="76">
        <v>43996</v>
      </c>
      <c r="L86" s="70">
        <v>0.2</v>
      </c>
      <c r="M86" s="70">
        <v>1</v>
      </c>
    </row>
    <row r="87" spans="11:13">
      <c r="K87" s="76">
        <v>43997</v>
      </c>
      <c r="L87" s="70">
        <v>0.2</v>
      </c>
      <c r="M87" s="70">
        <v>1</v>
      </c>
    </row>
    <row r="88" spans="11:13">
      <c r="K88" s="76">
        <v>43998</v>
      </c>
      <c r="L88" s="70">
        <v>0.2</v>
      </c>
      <c r="M88" s="70">
        <v>1</v>
      </c>
    </row>
    <row r="89" spans="11:13">
      <c r="K89" s="76">
        <v>43999</v>
      </c>
      <c r="L89" s="70">
        <v>0.2</v>
      </c>
      <c r="M89" s="70">
        <v>1</v>
      </c>
    </row>
    <row r="90" spans="11:13">
      <c r="K90" s="76">
        <v>44000</v>
      </c>
      <c r="L90" s="70">
        <v>0.2</v>
      </c>
      <c r="M90" s="70">
        <v>1</v>
      </c>
    </row>
    <row r="91" spans="11:13">
      <c r="K91" s="76">
        <v>44001</v>
      </c>
      <c r="L91" s="70">
        <v>0.2</v>
      </c>
      <c r="M91" s="70">
        <v>1</v>
      </c>
    </row>
    <row r="92" spans="11:13">
      <c r="K92" s="76">
        <v>44002</v>
      </c>
      <c r="L92" s="70">
        <v>0.2</v>
      </c>
      <c r="M92" s="70">
        <v>1</v>
      </c>
    </row>
    <row r="93" spans="11:13">
      <c r="K93" s="76">
        <v>44003</v>
      </c>
      <c r="L93" s="70">
        <v>0.2</v>
      </c>
      <c r="M93" s="70">
        <v>1</v>
      </c>
    </row>
    <row r="94" spans="11:13">
      <c r="K94" s="76">
        <v>44004</v>
      </c>
      <c r="L94" s="70">
        <v>0.2</v>
      </c>
      <c r="M94" s="70">
        <v>1</v>
      </c>
    </row>
    <row r="95" spans="11:13">
      <c r="K95" s="76">
        <v>44005</v>
      </c>
      <c r="L95" s="70">
        <v>0.2</v>
      </c>
      <c r="M95" s="70">
        <v>1</v>
      </c>
    </row>
    <row r="96" spans="11:13">
      <c r="K96" s="76">
        <v>44006</v>
      </c>
      <c r="L96" s="70">
        <v>0.2</v>
      </c>
      <c r="M96" s="70">
        <v>1</v>
      </c>
    </row>
    <row r="97" spans="11:13">
      <c r="K97" s="76">
        <v>44007</v>
      </c>
      <c r="L97" s="70">
        <v>0.2</v>
      </c>
      <c r="M97" s="70">
        <v>1</v>
      </c>
    </row>
    <row r="98" spans="11:13">
      <c r="K98" s="76">
        <v>44008</v>
      </c>
      <c r="L98" s="70">
        <v>0.2</v>
      </c>
      <c r="M98" s="70">
        <v>1</v>
      </c>
    </row>
    <row r="99" spans="11:13">
      <c r="K99" s="76">
        <v>44009</v>
      </c>
      <c r="L99" s="70">
        <v>0.2</v>
      </c>
      <c r="M99" s="70">
        <v>1</v>
      </c>
    </row>
    <row r="100" spans="11:13">
      <c r="K100" s="76">
        <v>44010</v>
      </c>
      <c r="L100" s="70">
        <v>0.2</v>
      </c>
      <c r="M100" s="70">
        <v>1</v>
      </c>
    </row>
    <row r="101" spans="11:13">
      <c r="K101" s="76">
        <v>44011</v>
      </c>
      <c r="L101" s="70">
        <v>0.2</v>
      </c>
      <c r="M101" s="70">
        <v>1</v>
      </c>
    </row>
    <row r="102" spans="11:13">
      <c r="K102" s="76">
        <v>44012</v>
      </c>
      <c r="L102" s="70">
        <v>0.2</v>
      </c>
      <c r="M102" s="70">
        <v>1</v>
      </c>
    </row>
    <row r="103" spans="11:13">
      <c r="K103" s="76">
        <v>44013</v>
      </c>
      <c r="L103" s="70">
        <v>0.2</v>
      </c>
      <c r="M103" s="70">
        <v>1</v>
      </c>
    </row>
    <row r="104" spans="11:13">
      <c r="K104" s="76">
        <v>44014</v>
      </c>
      <c r="L104" s="70">
        <v>0.2</v>
      </c>
      <c r="M104" s="70">
        <v>1</v>
      </c>
    </row>
    <row r="105" spans="11:13">
      <c r="K105" s="76">
        <v>44015</v>
      </c>
      <c r="L105" s="70">
        <v>0.2</v>
      </c>
      <c r="M105" s="70">
        <v>1</v>
      </c>
    </row>
    <row r="106" spans="11:13">
      <c r="K106" s="76">
        <v>44016</v>
      </c>
      <c r="L106" s="70">
        <v>0.2</v>
      </c>
      <c r="M106" s="70">
        <v>1</v>
      </c>
    </row>
    <row r="107" spans="11:13">
      <c r="K107" s="76">
        <v>44017</v>
      </c>
      <c r="L107" s="70">
        <v>0.2</v>
      </c>
      <c r="M107" s="70">
        <v>1</v>
      </c>
    </row>
    <row r="108" spans="11:13">
      <c r="K108" s="76">
        <v>44018</v>
      </c>
      <c r="L108" s="70">
        <v>0.2</v>
      </c>
      <c r="M108" s="70">
        <v>1</v>
      </c>
    </row>
    <row r="109" spans="11:13">
      <c r="K109" s="76">
        <v>44019</v>
      </c>
      <c r="L109" s="70">
        <v>0.2</v>
      </c>
      <c r="M109" s="70">
        <v>1</v>
      </c>
    </row>
    <row r="110" spans="11:13">
      <c r="K110" s="76">
        <v>44020</v>
      </c>
      <c r="L110" s="70">
        <v>0.2</v>
      </c>
      <c r="M110" s="70">
        <v>1</v>
      </c>
    </row>
    <row r="111" spans="11:13">
      <c r="K111" s="76">
        <v>44021</v>
      </c>
      <c r="L111" s="70">
        <v>0.2</v>
      </c>
      <c r="M111" s="70">
        <v>1</v>
      </c>
    </row>
    <row r="112" spans="11:13">
      <c r="K112" s="76">
        <v>44022</v>
      </c>
      <c r="L112" s="70">
        <v>0.2</v>
      </c>
      <c r="M112" s="70">
        <v>1</v>
      </c>
    </row>
    <row r="113" spans="11:13">
      <c r="K113" s="76">
        <v>44023</v>
      </c>
      <c r="L113" s="70">
        <v>0.2</v>
      </c>
      <c r="M113" s="70">
        <v>1</v>
      </c>
    </row>
    <row r="114" spans="11:13">
      <c r="K114" s="76">
        <v>44024</v>
      </c>
      <c r="L114" s="70">
        <v>0.2</v>
      </c>
      <c r="M114" s="70">
        <v>1</v>
      </c>
    </row>
    <row r="115" spans="11:13">
      <c r="K115" s="76">
        <v>44025</v>
      </c>
      <c r="L115" s="70">
        <v>0.2</v>
      </c>
      <c r="M115" s="70">
        <v>1</v>
      </c>
    </row>
    <row r="116" spans="11:13">
      <c r="K116" s="76">
        <v>44026</v>
      </c>
      <c r="L116" s="70">
        <v>0.2</v>
      </c>
      <c r="M116" s="70">
        <v>1</v>
      </c>
    </row>
    <row r="117" spans="11:13">
      <c r="K117" s="76">
        <v>44027</v>
      </c>
      <c r="L117" s="70">
        <v>0.2</v>
      </c>
      <c r="M117" s="70">
        <v>1</v>
      </c>
    </row>
    <row r="118" spans="11:13">
      <c r="K118" s="76">
        <v>44028</v>
      </c>
      <c r="L118" s="70">
        <v>0.2</v>
      </c>
      <c r="M118" s="70">
        <v>1</v>
      </c>
    </row>
    <row r="119" spans="11:13">
      <c r="K119" s="76">
        <v>44029</v>
      </c>
      <c r="L119" s="70">
        <v>0.2</v>
      </c>
      <c r="M119" s="70">
        <v>1</v>
      </c>
    </row>
    <row r="120" spans="11:13">
      <c r="K120" s="76">
        <v>44030</v>
      </c>
      <c r="L120" s="70">
        <v>0.2</v>
      </c>
      <c r="M120" s="70">
        <v>1</v>
      </c>
    </row>
    <row r="121" spans="11:13">
      <c r="K121" s="76">
        <v>44031</v>
      </c>
      <c r="L121" s="70">
        <v>0.2</v>
      </c>
      <c r="M121" s="70">
        <v>1</v>
      </c>
    </row>
    <row r="122" spans="11:13">
      <c r="K122" s="76">
        <v>44032</v>
      </c>
      <c r="L122" s="70">
        <v>0.2</v>
      </c>
      <c r="M122" s="70">
        <v>1</v>
      </c>
    </row>
    <row r="123" spans="11:13">
      <c r="K123" s="76">
        <v>44033</v>
      </c>
      <c r="L123" s="70">
        <v>0.2</v>
      </c>
      <c r="M123" s="70">
        <v>1</v>
      </c>
    </row>
    <row r="124" spans="11:13">
      <c r="K124" s="76">
        <v>44034</v>
      </c>
      <c r="L124" s="70">
        <v>0.2</v>
      </c>
      <c r="M124" s="70">
        <v>1</v>
      </c>
    </row>
    <row r="125" spans="11:13">
      <c r="K125" s="76">
        <v>44035</v>
      </c>
      <c r="L125" s="70">
        <v>0.2</v>
      </c>
      <c r="M125" s="70">
        <v>1</v>
      </c>
    </row>
    <row r="126" spans="11:13">
      <c r="K126" s="76">
        <v>44036</v>
      </c>
      <c r="L126" s="70">
        <v>0.2</v>
      </c>
      <c r="M126" s="70">
        <v>1</v>
      </c>
    </row>
    <row r="127" spans="11:13">
      <c r="K127" s="76">
        <v>44037</v>
      </c>
      <c r="L127" s="70">
        <v>0.2</v>
      </c>
      <c r="M127" s="70">
        <v>1</v>
      </c>
    </row>
    <row r="128" spans="11:13">
      <c r="K128" s="76">
        <v>44038</v>
      </c>
      <c r="L128" s="70">
        <v>0.2</v>
      </c>
      <c r="M128" s="70">
        <v>1</v>
      </c>
    </row>
    <row r="129" spans="11:13">
      <c r="K129" s="76">
        <v>44039</v>
      </c>
      <c r="L129" s="70">
        <v>0.2</v>
      </c>
      <c r="M129" s="70">
        <v>1</v>
      </c>
    </row>
    <row r="130" spans="11:13">
      <c r="K130" s="76">
        <v>44040</v>
      </c>
      <c r="L130" s="70">
        <v>0.2</v>
      </c>
      <c r="M130" s="70">
        <v>1</v>
      </c>
    </row>
    <row r="131" spans="11:13">
      <c r="K131" s="76">
        <v>44041</v>
      </c>
      <c r="L131" s="70">
        <v>0.2</v>
      </c>
      <c r="M131" s="70">
        <v>1</v>
      </c>
    </row>
    <row r="132" spans="11:13">
      <c r="K132" s="76">
        <v>44042</v>
      </c>
      <c r="L132" s="70">
        <v>0.2</v>
      </c>
      <c r="M132" s="70">
        <v>1</v>
      </c>
    </row>
    <row r="133" spans="11:13">
      <c r="K133" s="76">
        <v>44043</v>
      </c>
      <c r="L133" s="70">
        <v>0.2</v>
      </c>
      <c r="M133" s="70">
        <v>1</v>
      </c>
    </row>
    <row r="134" spans="11:13">
      <c r="K134" s="76">
        <v>44044</v>
      </c>
      <c r="L134" s="70">
        <v>0.2</v>
      </c>
      <c r="M134" s="70">
        <v>1</v>
      </c>
    </row>
    <row r="135" spans="11:13">
      <c r="K135" s="76">
        <v>44045</v>
      </c>
      <c r="L135" s="70">
        <v>0.2</v>
      </c>
      <c r="M135" s="70">
        <v>1</v>
      </c>
    </row>
    <row r="136" spans="11:13">
      <c r="K136" s="76">
        <v>44046</v>
      </c>
      <c r="L136" s="70">
        <v>0.2</v>
      </c>
      <c r="M136" s="70">
        <v>1</v>
      </c>
    </row>
    <row r="137" spans="11:13">
      <c r="K137" s="76">
        <v>44047</v>
      </c>
      <c r="L137" s="70">
        <v>0.2</v>
      </c>
      <c r="M137" s="70">
        <v>1</v>
      </c>
    </row>
    <row r="138" spans="11:13">
      <c r="K138" s="76">
        <v>44048</v>
      </c>
      <c r="L138" s="70">
        <v>0.2</v>
      </c>
      <c r="M138" s="70">
        <v>1</v>
      </c>
    </row>
    <row r="139" spans="11:13">
      <c r="K139" s="76">
        <v>44049</v>
      </c>
      <c r="L139" s="70">
        <v>0.2</v>
      </c>
      <c r="M139" s="70">
        <v>1</v>
      </c>
    </row>
    <row r="140" spans="11:13">
      <c r="K140" s="76">
        <v>44050</v>
      </c>
      <c r="L140" s="70">
        <v>0.2</v>
      </c>
      <c r="M140" s="70">
        <v>1</v>
      </c>
    </row>
    <row r="141" spans="11:13">
      <c r="K141" s="76">
        <v>44051</v>
      </c>
      <c r="L141" s="70">
        <v>0.2</v>
      </c>
      <c r="M141" s="70">
        <v>1</v>
      </c>
    </row>
    <row r="142" spans="11:13">
      <c r="K142" s="76">
        <v>44052</v>
      </c>
      <c r="L142" s="70">
        <v>0.2</v>
      </c>
      <c r="M142" s="70">
        <v>1</v>
      </c>
    </row>
    <row r="143" spans="11:13">
      <c r="K143" s="76">
        <v>44053</v>
      </c>
      <c r="L143" s="70">
        <v>0.2</v>
      </c>
      <c r="M143" s="70">
        <v>1</v>
      </c>
    </row>
    <row r="144" spans="11:13">
      <c r="K144" s="76">
        <v>44054</v>
      </c>
      <c r="L144" s="70">
        <v>0.2</v>
      </c>
      <c r="M144" s="70">
        <v>1</v>
      </c>
    </row>
    <row r="145" spans="11:13">
      <c r="K145" s="76">
        <v>44055</v>
      </c>
      <c r="L145" s="70">
        <v>0.2</v>
      </c>
      <c r="M145" s="70">
        <v>1</v>
      </c>
    </row>
    <row r="146" spans="11:13">
      <c r="K146" s="76">
        <v>44056</v>
      </c>
      <c r="L146" s="70">
        <v>0.2</v>
      </c>
      <c r="M146" s="70">
        <v>1</v>
      </c>
    </row>
    <row r="147" spans="11:13">
      <c r="K147" s="76">
        <v>44057</v>
      </c>
      <c r="L147" s="70">
        <v>0.2</v>
      </c>
      <c r="M147" s="70">
        <v>1</v>
      </c>
    </row>
    <row r="148" spans="11:13">
      <c r="K148" s="76">
        <v>44058</v>
      </c>
      <c r="L148" s="70">
        <v>0.2</v>
      </c>
      <c r="M148" s="70">
        <v>1</v>
      </c>
    </row>
    <row r="149" spans="11:13">
      <c r="K149" s="76">
        <v>44059</v>
      </c>
      <c r="L149" s="70">
        <v>0.2</v>
      </c>
      <c r="M149" s="70">
        <v>1</v>
      </c>
    </row>
    <row r="150" spans="11:13">
      <c r="K150" s="76">
        <v>44060</v>
      </c>
      <c r="L150" s="70">
        <v>0.2</v>
      </c>
      <c r="M150" s="70">
        <v>1</v>
      </c>
    </row>
    <row r="151" spans="11:13">
      <c r="K151" s="76">
        <v>44061</v>
      </c>
      <c r="L151" s="70">
        <v>0.2</v>
      </c>
      <c r="M151" s="70">
        <v>1</v>
      </c>
    </row>
    <row r="152" spans="11:13">
      <c r="K152" s="76">
        <v>44062</v>
      </c>
      <c r="L152" s="70">
        <v>0.2</v>
      </c>
      <c r="M152" s="70">
        <v>1</v>
      </c>
    </row>
    <row r="153" spans="11:13">
      <c r="K153" s="76">
        <v>44063</v>
      </c>
      <c r="L153" s="70">
        <v>0.2</v>
      </c>
      <c r="M153" s="70">
        <v>1</v>
      </c>
    </row>
    <row r="154" spans="11:13">
      <c r="K154" s="76">
        <v>44064</v>
      </c>
      <c r="L154" s="70">
        <v>0.2</v>
      </c>
      <c r="M154" s="70">
        <v>1</v>
      </c>
    </row>
    <row r="155" spans="11:13">
      <c r="K155" s="76">
        <v>44065</v>
      </c>
      <c r="L155" s="70">
        <v>0.2</v>
      </c>
      <c r="M155" s="70">
        <v>1</v>
      </c>
    </row>
    <row r="156" spans="11:13">
      <c r="K156" s="76">
        <v>44066</v>
      </c>
      <c r="L156" s="70">
        <v>0.2</v>
      </c>
      <c r="M156" s="70">
        <v>1</v>
      </c>
    </row>
    <row r="157" spans="11:13">
      <c r="K157" s="76">
        <v>44067</v>
      </c>
      <c r="L157" s="70">
        <v>0.2</v>
      </c>
      <c r="M157" s="70">
        <v>1</v>
      </c>
    </row>
    <row r="158" spans="11:13">
      <c r="K158" s="76">
        <v>44068</v>
      </c>
      <c r="L158" s="70">
        <v>0.2</v>
      </c>
      <c r="M158" s="70">
        <v>1</v>
      </c>
    </row>
    <row r="159" spans="11:13">
      <c r="K159" s="76">
        <v>44069</v>
      </c>
      <c r="L159" s="70">
        <v>0.2</v>
      </c>
      <c r="M159" s="70">
        <v>1</v>
      </c>
    </row>
    <row r="160" spans="11:13">
      <c r="K160" s="76">
        <v>44070</v>
      </c>
      <c r="L160" s="70">
        <v>0.2</v>
      </c>
      <c r="M160" s="70">
        <v>1</v>
      </c>
    </row>
    <row r="161" spans="11:13">
      <c r="K161" s="76">
        <v>44071</v>
      </c>
      <c r="L161" s="70">
        <v>0.2</v>
      </c>
      <c r="M161" s="70">
        <v>1</v>
      </c>
    </row>
    <row r="162" spans="11:13">
      <c r="K162" s="76">
        <v>44072</v>
      </c>
      <c r="L162" s="70">
        <v>0.2</v>
      </c>
      <c r="M162" s="70">
        <v>1</v>
      </c>
    </row>
    <row r="163" spans="11:13">
      <c r="K163" s="76">
        <v>44073</v>
      </c>
      <c r="L163" s="70">
        <v>0.2</v>
      </c>
      <c r="M163" s="70">
        <v>1</v>
      </c>
    </row>
    <row r="164" spans="11:13">
      <c r="K164" s="76">
        <v>44074</v>
      </c>
      <c r="L164" s="70">
        <v>0.2</v>
      </c>
      <c r="M164" s="70">
        <v>1</v>
      </c>
    </row>
    <row r="165" spans="11:13">
      <c r="K165" s="76">
        <v>44075</v>
      </c>
      <c r="L165" s="70">
        <v>0.2</v>
      </c>
      <c r="M165" s="70">
        <v>1</v>
      </c>
    </row>
    <row r="166" spans="11:13">
      <c r="K166" s="76">
        <v>44076</v>
      </c>
      <c r="L166" s="70">
        <v>0.2</v>
      </c>
      <c r="M166" s="70">
        <v>1</v>
      </c>
    </row>
    <row r="167" spans="11:13">
      <c r="K167" s="76">
        <v>44077</v>
      </c>
      <c r="L167" s="70">
        <v>0.2</v>
      </c>
      <c r="M167" s="70">
        <v>1</v>
      </c>
    </row>
    <row r="168" spans="11:13">
      <c r="K168" s="76">
        <v>44078</v>
      </c>
      <c r="L168" s="70">
        <v>0.2</v>
      </c>
      <c r="M168" s="70">
        <v>1</v>
      </c>
    </row>
    <row r="169" spans="11:13">
      <c r="K169" s="76">
        <v>44079</v>
      </c>
      <c r="L169" s="70">
        <v>0.2</v>
      </c>
      <c r="M169" s="70">
        <v>1</v>
      </c>
    </row>
    <row r="170" spans="11:13">
      <c r="K170" s="76">
        <v>44080</v>
      </c>
      <c r="L170" s="70">
        <v>0.2</v>
      </c>
      <c r="M170" s="70">
        <v>1</v>
      </c>
    </row>
    <row r="171" spans="11:13">
      <c r="K171" s="76">
        <v>44081</v>
      </c>
      <c r="L171" s="70">
        <v>0.2</v>
      </c>
      <c r="M171" s="70">
        <v>1</v>
      </c>
    </row>
    <row r="172" spans="11:13">
      <c r="K172" s="76">
        <v>44082</v>
      </c>
      <c r="L172" s="70">
        <v>0.2</v>
      </c>
      <c r="M172" s="70">
        <v>1</v>
      </c>
    </row>
    <row r="173" spans="11:13">
      <c r="K173" s="76">
        <v>44083</v>
      </c>
      <c r="L173" s="70">
        <v>0.2</v>
      </c>
      <c r="M173" s="70">
        <v>1</v>
      </c>
    </row>
    <row r="174" spans="11:13">
      <c r="K174" s="76">
        <v>44084</v>
      </c>
      <c r="L174" s="70">
        <v>0.2</v>
      </c>
      <c r="M174" s="70">
        <v>1</v>
      </c>
    </row>
    <row r="175" spans="11:13">
      <c r="K175" s="76">
        <v>44085</v>
      </c>
      <c r="L175" s="70">
        <v>0.2</v>
      </c>
      <c r="M175" s="70">
        <v>1</v>
      </c>
    </row>
    <row r="176" spans="11:13">
      <c r="K176" s="76">
        <v>44086</v>
      </c>
      <c r="L176" s="70">
        <v>0.2</v>
      </c>
      <c r="M176" s="70">
        <v>1</v>
      </c>
    </row>
    <row r="177" spans="11:13">
      <c r="K177" s="76">
        <v>44087</v>
      </c>
      <c r="L177" s="70">
        <v>0.2</v>
      </c>
      <c r="M177" s="70">
        <v>1</v>
      </c>
    </row>
    <row r="178" spans="11:13">
      <c r="K178" s="76">
        <v>44088</v>
      </c>
      <c r="L178" s="70">
        <v>0.2</v>
      </c>
      <c r="M178" s="70">
        <v>1</v>
      </c>
    </row>
    <row r="179" spans="11:13">
      <c r="K179" s="76">
        <v>44089</v>
      </c>
      <c r="L179" s="70">
        <v>0.2</v>
      </c>
      <c r="M179" s="70">
        <v>1</v>
      </c>
    </row>
    <row r="180" spans="11:13">
      <c r="K180" s="76">
        <v>44090</v>
      </c>
      <c r="L180" s="70">
        <v>0.2</v>
      </c>
      <c r="M180" s="70">
        <v>1</v>
      </c>
    </row>
    <row r="181" spans="11:13">
      <c r="K181" s="76">
        <v>44091</v>
      </c>
      <c r="L181" s="70">
        <v>0.2</v>
      </c>
      <c r="M181" s="70">
        <v>1</v>
      </c>
    </row>
    <row r="182" spans="11:13">
      <c r="K182" s="76">
        <v>44092</v>
      </c>
      <c r="L182" s="70">
        <v>0.2</v>
      </c>
      <c r="M182" s="70">
        <v>1</v>
      </c>
    </row>
    <row r="183" spans="11:13">
      <c r="K183" s="76">
        <v>44093</v>
      </c>
      <c r="L183" s="70">
        <v>0.2</v>
      </c>
      <c r="M183" s="70">
        <v>1</v>
      </c>
    </row>
    <row r="184" spans="11:13">
      <c r="K184" s="76">
        <v>44094</v>
      </c>
      <c r="L184" s="70">
        <v>0.2</v>
      </c>
      <c r="M184" s="70">
        <v>1</v>
      </c>
    </row>
    <row r="185" spans="11:13">
      <c r="K185" s="76">
        <v>44095</v>
      </c>
      <c r="L185" s="70">
        <v>0.2</v>
      </c>
      <c r="M185" s="70">
        <v>1</v>
      </c>
    </row>
    <row r="186" spans="11:13">
      <c r="K186" s="76">
        <v>44096</v>
      </c>
      <c r="L186" s="70">
        <v>0.2</v>
      </c>
      <c r="M186" s="70">
        <v>1</v>
      </c>
    </row>
    <row r="187" spans="11:13">
      <c r="K187" s="76">
        <v>44097</v>
      </c>
      <c r="L187" s="70">
        <v>0.2</v>
      </c>
      <c r="M187" s="70">
        <v>1</v>
      </c>
    </row>
    <row r="188" spans="11:13">
      <c r="K188" s="76">
        <v>44098</v>
      </c>
      <c r="L188" s="70">
        <v>0.2</v>
      </c>
      <c r="M188" s="70">
        <v>1</v>
      </c>
    </row>
    <row r="189" spans="11:13">
      <c r="K189" s="76">
        <v>44099</v>
      </c>
      <c r="L189" s="70">
        <v>0.2</v>
      </c>
      <c r="M189" s="70">
        <v>1</v>
      </c>
    </row>
    <row r="190" spans="11:13">
      <c r="K190" s="76">
        <v>44100</v>
      </c>
      <c r="L190" s="70">
        <v>0.2</v>
      </c>
      <c r="M190" s="70">
        <v>1</v>
      </c>
    </row>
    <row r="191" spans="11:13">
      <c r="K191" s="76">
        <v>44101</v>
      </c>
      <c r="L191" s="70">
        <v>0.2</v>
      </c>
      <c r="M191" s="70">
        <v>1</v>
      </c>
    </row>
    <row r="192" spans="11:13">
      <c r="K192" s="76">
        <v>44102</v>
      </c>
      <c r="L192" s="70">
        <v>0.2</v>
      </c>
      <c r="M192" s="70">
        <v>1</v>
      </c>
    </row>
    <row r="193" spans="11:13">
      <c r="K193" s="76">
        <v>44103</v>
      </c>
      <c r="L193" s="70">
        <v>0.2</v>
      </c>
      <c r="M193" s="70">
        <v>1</v>
      </c>
    </row>
    <row r="194" spans="11:13">
      <c r="K194" s="76">
        <v>44104</v>
      </c>
      <c r="L194" s="70">
        <v>0.2</v>
      </c>
      <c r="M194" s="70">
        <v>1</v>
      </c>
    </row>
    <row r="195" spans="11:13">
      <c r="K195" s="76">
        <v>44105</v>
      </c>
      <c r="L195" s="70">
        <v>0.2</v>
      </c>
      <c r="M195" s="70">
        <v>1</v>
      </c>
    </row>
    <row r="196" spans="11:13">
      <c r="K196" s="76">
        <v>44106</v>
      </c>
      <c r="L196" s="70">
        <v>0.2</v>
      </c>
      <c r="M196" s="70">
        <v>1</v>
      </c>
    </row>
    <row r="197" spans="11:13">
      <c r="K197" s="76">
        <v>44107</v>
      </c>
      <c r="L197" s="70">
        <v>0.2</v>
      </c>
      <c r="M197" s="70">
        <v>1</v>
      </c>
    </row>
    <row r="198" spans="11:13">
      <c r="K198" s="76">
        <v>44108</v>
      </c>
      <c r="L198" s="70">
        <v>0.2</v>
      </c>
      <c r="M198" s="70">
        <v>1</v>
      </c>
    </row>
    <row r="199" spans="11:13">
      <c r="K199" s="76">
        <v>44109</v>
      </c>
      <c r="L199" s="70">
        <v>0.2</v>
      </c>
      <c r="M199" s="70">
        <v>1</v>
      </c>
    </row>
    <row r="200" spans="11:13">
      <c r="K200" s="76">
        <v>44110</v>
      </c>
      <c r="L200" s="70">
        <v>0.2</v>
      </c>
      <c r="M200" s="70">
        <v>1</v>
      </c>
    </row>
    <row r="201" spans="11:13">
      <c r="K201" s="76">
        <v>44111</v>
      </c>
      <c r="L201" s="70">
        <v>0.2</v>
      </c>
      <c r="M201" s="70">
        <v>1</v>
      </c>
    </row>
    <row r="202" spans="11:13">
      <c r="K202" s="76">
        <v>44112</v>
      </c>
      <c r="L202" s="70">
        <v>0.2</v>
      </c>
      <c r="M202" s="70">
        <v>1</v>
      </c>
    </row>
    <row r="203" spans="11:13">
      <c r="K203" s="76">
        <v>44113</v>
      </c>
      <c r="L203" s="70">
        <v>0.2</v>
      </c>
      <c r="M203" s="70">
        <v>1</v>
      </c>
    </row>
    <row r="204" spans="11:13">
      <c r="K204" s="76">
        <v>44114</v>
      </c>
      <c r="L204" s="70">
        <v>0.2</v>
      </c>
      <c r="M204" s="70">
        <v>1</v>
      </c>
    </row>
    <row r="205" spans="11:13">
      <c r="K205" s="76">
        <v>44115</v>
      </c>
      <c r="L205" s="70">
        <v>0.2</v>
      </c>
      <c r="M205" s="70">
        <v>1</v>
      </c>
    </row>
    <row r="206" spans="11:13">
      <c r="K206" s="76">
        <v>44116</v>
      </c>
      <c r="L206" s="70">
        <v>0.2</v>
      </c>
      <c r="M206" s="70">
        <v>1</v>
      </c>
    </row>
    <row r="207" spans="11:13">
      <c r="K207" s="76">
        <v>44117</v>
      </c>
      <c r="L207" s="70">
        <v>0.2</v>
      </c>
      <c r="M207" s="70">
        <v>1</v>
      </c>
    </row>
    <row r="208" spans="11:13">
      <c r="K208" s="76">
        <v>44118</v>
      </c>
      <c r="L208" s="70">
        <v>0.2</v>
      </c>
      <c r="M208" s="70">
        <v>1</v>
      </c>
    </row>
    <row r="209" spans="11:13">
      <c r="K209" s="76">
        <v>44119</v>
      </c>
      <c r="L209" s="70">
        <v>0.2</v>
      </c>
      <c r="M209" s="70">
        <v>1</v>
      </c>
    </row>
    <row r="210" spans="11:13">
      <c r="K210" s="76">
        <v>44120</v>
      </c>
      <c r="L210" s="70">
        <v>0.2</v>
      </c>
      <c r="M210" s="70">
        <v>1</v>
      </c>
    </row>
    <row r="211" spans="11:13">
      <c r="K211" s="76">
        <v>44121</v>
      </c>
      <c r="L211" s="70">
        <v>0.2</v>
      </c>
      <c r="M211" s="70">
        <v>1</v>
      </c>
    </row>
    <row r="212" spans="11:13">
      <c r="K212" s="76">
        <v>44122</v>
      </c>
      <c r="L212" s="70">
        <v>0.2</v>
      </c>
      <c r="M212" s="70">
        <v>1</v>
      </c>
    </row>
    <row r="213" spans="11:13">
      <c r="K213" s="76">
        <v>44123</v>
      </c>
      <c r="L213" s="70">
        <v>0.2</v>
      </c>
      <c r="M213" s="70">
        <v>1</v>
      </c>
    </row>
    <row r="214" spans="11:13">
      <c r="K214" s="76">
        <v>44124</v>
      </c>
      <c r="L214" s="70">
        <v>0.2</v>
      </c>
      <c r="M214" s="70">
        <v>1</v>
      </c>
    </row>
    <row r="215" spans="11:13">
      <c r="K215" s="76">
        <v>44125</v>
      </c>
      <c r="L215" s="70">
        <v>0.2</v>
      </c>
      <c r="M215" s="70">
        <v>1</v>
      </c>
    </row>
    <row r="216" spans="11:13">
      <c r="K216" s="76">
        <v>44126</v>
      </c>
      <c r="L216" s="70">
        <v>0.2</v>
      </c>
      <c r="M216" s="70">
        <v>1</v>
      </c>
    </row>
    <row r="217" spans="11:13">
      <c r="K217" s="76">
        <v>44127</v>
      </c>
      <c r="L217" s="70">
        <v>0.2</v>
      </c>
      <c r="M217" s="70">
        <v>1</v>
      </c>
    </row>
    <row r="218" spans="11:13">
      <c r="K218" s="76">
        <v>44128</v>
      </c>
      <c r="L218" s="70">
        <v>0.2</v>
      </c>
      <c r="M218" s="70">
        <v>1</v>
      </c>
    </row>
    <row r="219" spans="11:13">
      <c r="K219" s="76">
        <v>44129</v>
      </c>
      <c r="L219" s="70">
        <v>0.2</v>
      </c>
      <c r="M219" s="70">
        <v>1</v>
      </c>
    </row>
    <row r="220" spans="11:13">
      <c r="K220" s="76">
        <v>44130</v>
      </c>
      <c r="L220" s="70">
        <v>0.2</v>
      </c>
      <c r="M220" s="70">
        <v>1</v>
      </c>
    </row>
    <row r="221" spans="11:13">
      <c r="K221" s="76">
        <v>44131</v>
      </c>
      <c r="L221" s="70">
        <v>0.2</v>
      </c>
      <c r="M221" s="70">
        <v>1</v>
      </c>
    </row>
    <row r="222" spans="11:13">
      <c r="K222" s="76">
        <v>44132</v>
      </c>
      <c r="L222" s="70">
        <v>0.2</v>
      </c>
      <c r="M222" s="70">
        <v>1</v>
      </c>
    </row>
    <row r="223" spans="11:13">
      <c r="K223" s="76">
        <v>44133</v>
      </c>
      <c r="L223" s="70">
        <v>0.2</v>
      </c>
      <c r="M223" s="70">
        <v>1</v>
      </c>
    </row>
    <row r="224" spans="11:13">
      <c r="K224" s="76">
        <v>44134</v>
      </c>
      <c r="L224" s="70">
        <v>0.2</v>
      </c>
      <c r="M224" s="70">
        <v>1</v>
      </c>
    </row>
    <row r="225" spans="11:13">
      <c r="K225" s="76">
        <v>44135</v>
      </c>
      <c r="L225" s="70">
        <v>0.2</v>
      </c>
      <c r="M225" s="70">
        <v>1</v>
      </c>
    </row>
    <row r="226" spans="11:13">
      <c r="K226" s="76">
        <v>44136</v>
      </c>
      <c r="L226" s="70">
        <v>0.2</v>
      </c>
      <c r="M226" s="70">
        <v>1</v>
      </c>
    </row>
    <row r="227" spans="11:13">
      <c r="K227" s="76">
        <v>44137</v>
      </c>
      <c r="L227" s="70">
        <v>0.2</v>
      </c>
      <c r="M227" s="70">
        <v>1</v>
      </c>
    </row>
    <row r="228" spans="11:13">
      <c r="K228" s="76">
        <v>44138</v>
      </c>
      <c r="L228" s="70">
        <v>0.2</v>
      </c>
      <c r="M228" s="70">
        <v>1</v>
      </c>
    </row>
    <row r="229" spans="11:13">
      <c r="K229" s="76">
        <v>44139</v>
      </c>
      <c r="L229" s="70">
        <v>0.2</v>
      </c>
      <c r="M229" s="70">
        <v>1</v>
      </c>
    </row>
    <row r="230" spans="11:13">
      <c r="K230" s="76">
        <v>44140</v>
      </c>
      <c r="L230" s="70">
        <v>0.2</v>
      </c>
      <c r="M230" s="70">
        <v>1</v>
      </c>
    </row>
    <row r="231" spans="11:13">
      <c r="K231" s="76">
        <v>44141</v>
      </c>
      <c r="L231" s="70">
        <v>0.2</v>
      </c>
      <c r="M231" s="70">
        <v>1</v>
      </c>
    </row>
    <row r="232" spans="11:13">
      <c r="K232" s="76">
        <v>44142</v>
      </c>
      <c r="L232" s="70">
        <v>0.2</v>
      </c>
      <c r="M232" s="70">
        <v>1</v>
      </c>
    </row>
    <row r="233" spans="11:13">
      <c r="K233" s="76">
        <v>44143</v>
      </c>
      <c r="L233" s="70">
        <v>0.2</v>
      </c>
      <c r="M233" s="70">
        <v>1</v>
      </c>
    </row>
    <row r="234" spans="11:13">
      <c r="K234" s="76">
        <v>44144</v>
      </c>
      <c r="L234" s="70">
        <v>0.2</v>
      </c>
      <c r="M234" s="70">
        <v>1</v>
      </c>
    </row>
    <row r="235" spans="11:13">
      <c r="K235" s="76">
        <v>44145</v>
      </c>
      <c r="L235" s="70">
        <v>0.2</v>
      </c>
      <c r="M235" s="70">
        <v>1</v>
      </c>
    </row>
    <row r="236" spans="11:13">
      <c r="K236" s="76">
        <v>44146</v>
      </c>
      <c r="L236" s="70">
        <v>0.2</v>
      </c>
      <c r="M236" s="70">
        <v>1</v>
      </c>
    </row>
    <row r="237" spans="11:13">
      <c r="K237" s="76">
        <v>44147</v>
      </c>
      <c r="L237" s="70">
        <v>0.2</v>
      </c>
      <c r="M237" s="70">
        <v>1</v>
      </c>
    </row>
    <row r="238" spans="11:13">
      <c r="K238" s="76">
        <v>44148</v>
      </c>
      <c r="L238" s="70">
        <v>0.2</v>
      </c>
      <c r="M238" s="70">
        <v>1</v>
      </c>
    </row>
    <row r="239" spans="11:13">
      <c r="K239" s="76">
        <v>44149</v>
      </c>
      <c r="L239" s="70">
        <v>0.2</v>
      </c>
      <c r="M239" s="70">
        <v>1</v>
      </c>
    </row>
    <row r="240" spans="11:13">
      <c r="K240" s="76">
        <v>44150</v>
      </c>
      <c r="L240" s="70">
        <v>0.2</v>
      </c>
      <c r="M240" s="70">
        <v>1</v>
      </c>
    </row>
    <row r="241" spans="11:13">
      <c r="K241" s="76">
        <v>44151</v>
      </c>
      <c r="L241" s="70">
        <v>0.2</v>
      </c>
      <c r="M241" s="70">
        <v>1</v>
      </c>
    </row>
    <row r="242" spans="11:13">
      <c r="K242" s="76">
        <v>44152</v>
      </c>
      <c r="L242" s="70">
        <v>0.2</v>
      </c>
      <c r="M242" s="70">
        <v>1</v>
      </c>
    </row>
    <row r="243" spans="11:13">
      <c r="K243" s="76">
        <v>44153</v>
      </c>
      <c r="L243" s="70">
        <v>0.2</v>
      </c>
      <c r="M243" s="70">
        <v>1</v>
      </c>
    </row>
    <row r="244" spans="11:13">
      <c r="K244" s="76">
        <v>44154</v>
      </c>
      <c r="L244" s="70">
        <v>0.2</v>
      </c>
      <c r="M244" s="70">
        <v>1</v>
      </c>
    </row>
    <row r="245" spans="11:13">
      <c r="K245" s="76">
        <v>44155</v>
      </c>
      <c r="L245" s="70">
        <v>0.2</v>
      </c>
      <c r="M245" s="70">
        <v>1</v>
      </c>
    </row>
    <row r="246" spans="11:13">
      <c r="K246" s="76">
        <v>44156</v>
      </c>
      <c r="L246" s="70">
        <v>0.2</v>
      </c>
      <c r="M246" s="70">
        <v>1</v>
      </c>
    </row>
    <row r="247" spans="11:13">
      <c r="K247" s="76">
        <v>44157</v>
      </c>
      <c r="L247" s="70">
        <v>0.2</v>
      </c>
      <c r="M247" s="70">
        <v>1</v>
      </c>
    </row>
    <row r="248" spans="11:13">
      <c r="K248" s="76">
        <v>44158</v>
      </c>
      <c r="L248" s="70">
        <v>0.2</v>
      </c>
      <c r="M248" s="70">
        <v>1</v>
      </c>
    </row>
    <row r="249" spans="11:13">
      <c r="K249" s="76">
        <v>44159</v>
      </c>
      <c r="L249" s="70">
        <v>0.2</v>
      </c>
      <c r="M249" s="70">
        <v>1</v>
      </c>
    </row>
    <row r="250" spans="11:13">
      <c r="K250" s="76">
        <v>44160</v>
      </c>
      <c r="L250" s="70">
        <v>0.2</v>
      </c>
      <c r="M250" s="70">
        <v>1</v>
      </c>
    </row>
    <row r="251" spans="11:13">
      <c r="K251" s="76">
        <v>44161</v>
      </c>
      <c r="L251" s="70">
        <v>0.2</v>
      </c>
      <c r="M251" s="70">
        <v>1</v>
      </c>
    </row>
    <row r="252" spans="11:13">
      <c r="K252" s="76">
        <v>44162</v>
      </c>
      <c r="L252" s="70">
        <v>0.2</v>
      </c>
      <c r="M252" s="70">
        <v>1</v>
      </c>
    </row>
    <row r="253" spans="11:13">
      <c r="K253" s="76">
        <v>44163</v>
      </c>
      <c r="L253" s="70">
        <v>0.2</v>
      </c>
      <c r="M253" s="70">
        <v>1</v>
      </c>
    </row>
    <row r="254" spans="11:13">
      <c r="K254" s="76">
        <v>44164</v>
      </c>
      <c r="L254" s="70">
        <v>0.2</v>
      </c>
      <c r="M254" s="70">
        <v>1</v>
      </c>
    </row>
    <row r="255" spans="11:13">
      <c r="K255" s="76">
        <v>44165</v>
      </c>
      <c r="L255" s="70">
        <v>0.2</v>
      </c>
      <c r="M255" s="70">
        <v>1</v>
      </c>
    </row>
    <row r="256" spans="11:13">
      <c r="K256" s="76">
        <v>44166</v>
      </c>
      <c r="L256" s="70">
        <v>0.2</v>
      </c>
      <c r="M256" s="70">
        <v>1</v>
      </c>
    </row>
    <row r="257" spans="11:13">
      <c r="K257" s="76">
        <v>44167</v>
      </c>
      <c r="L257" s="70">
        <v>0.2</v>
      </c>
      <c r="M257" s="70">
        <v>1</v>
      </c>
    </row>
    <row r="258" spans="11:13">
      <c r="K258" s="76">
        <v>44168</v>
      </c>
      <c r="L258" s="70">
        <v>0.2</v>
      </c>
      <c r="M258" s="70">
        <v>1</v>
      </c>
    </row>
    <row r="259" spans="11:13">
      <c r="K259" s="76">
        <v>44169</v>
      </c>
      <c r="L259" s="70">
        <v>0.2</v>
      </c>
      <c r="M259" s="70">
        <v>1</v>
      </c>
    </row>
    <row r="260" spans="11:13">
      <c r="K260" s="76">
        <v>44170</v>
      </c>
      <c r="L260" s="70">
        <v>0.2</v>
      </c>
      <c r="M260" s="70">
        <v>1</v>
      </c>
    </row>
    <row r="261" spans="11:13">
      <c r="K261" s="76">
        <v>44171</v>
      </c>
      <c r="L261" s="70">
        <v>0.2</v>
      </c>
      <c r="M261" s="70">
        <v>1</v>
      </c>
    </row>
    <row r="262" spans="11:13">
      <c r="K262" s="76">
        <v>44172</v>
      </c>
      <c r="L262" s="70">
        <v>0.2</v>
      </c>
      <c r="M262" s="70">
        <v>1</v>
      </c>
    </row>
    <row r="263" spans="11:13">
      <c r="K263" s="76">
        <v>44173</v>
      </c>
      <c r="L263" s="70">
        <v>0.2</v>
      </c>
      <c r="M263" s="70">
        <v>1</v>
      </c>
    </row>
    <row r="264" spans="11:13">
      <c r="K264" s="76">
        <v>44174</v>
      </c>
      <c r="L264" s="70">
        <v>0.2</v>
      </c>
      <c r="M264" s="70">
        <v>1</v>
      </c>
    </row>
    <row r="265" spans="11:13">
      <c r="K265" s="76">
        <v>44175</v>
      </c>
      <c r="L265" s="70">
        <v>0.2</v>
      </c>
      <c r="M265" s="70">
        <v>1</v>
      </c>
    </row>
    <row r="266" spans="11:13">
      <c r="K266" s="76">
        <v>44176</v>
      </c>
      <c r="L266" s="70">
        <v>0.2</v>
      </c>
      <c r="M266" s="70">
        <v>1</v>
      </c>
    </row>
    <row r="267" spans="11:13">
      <c r="K267" s="76">
        <v>44177</v>
      </c>
      <c r="L267" s="70">
        <v>0.2</v>
      </c>
      <c r="M267" s="70">
        <v>1</v>
      </c>
    </row>
    <row r="268" spans="11:13">
      <c r="K268" s="76">
        <v>44178</v>
      </c>
      <c r="L268" s="70">
        <v>0.2</v>
      </c>
      <c r="M268" s="70">
        <v>1</v>
      </c>
    </row>
    <row r="269" spans="11:13">
      <c r="K269" s="76">
        <v>44179</v>
      </c>
      <c r="L269" s="70">
        <v>0.2</v>
      </c>
      <c r="M269" s="70">
        <v>1</v>
      </c>
    </row>
    <row r="270" spans="11:13">
      <c r="K270" s="76">
        <v>44180</v>
      </c>
      <c r="L270" s="70">
        <v>0.2</v>
      </c>
      <c r="M270" s="70">
        <v>1</v>
      </c>
    </row>
    <row r="271" spans="11:13">
      <c r="K271" s="76">
        <v>44181</v>
      </c>
      <c r="L271" s="70">
        <v>0.2</v>
      </c>
      <c r="M271" s="70">
        <v>1</v>
      </c>
    </row>
    <row r="272" spans="11:13">
      <c r="K272" s="76">
        <v>44182</v>
      </c>
      <c r="L272" s="70">
        <v>0.2</v>
      </c>
      <c r="M272" s="70">
        <v>1</v>
      </c>
    </row>
    <row r="273" spans="11:13">
      <c r="K273" s="76">
        <v>44183</v>
      </c>
      <c r="L273" s="70">
        <v>0.2</v>
      </c>
      <c r="M273" s="70">
        <v>1</v>
      </c>
    </row>
    <row r="274" spans="11:13">
      <c r="K274" s="76">
        <v>44184</v>
      </c>
      <c r="L274" s="70">
        <v>0.2</v>
      </c>
      <c r="M274" s="70">
        <v>1</v>
      </c>
    </row>
    <row r="275" spans="11:13">
      <c r="K275" s="76">
        <v>44185</v>
      </c>
      <c r="L275" s="70">
        <v>0.2</v>
      </c>
      <c r="M275" s="70">
        <v>1</v>
      </c>
    </row>
    <row r="276" spans="11:13">
      <c r="K276" s="76">
        <v>44186</v>
      </c>
      <c r="L276" s="70">
        <v>0.2</v>
      </c>
      <c r="M276" s="70">
        <v>1</v>
      </c>
    </row>
    <row r="277" spans="11:13">
      <c r="K277" s="76">
        <v>44187</v>
      </c>
      <c r="L277" s="70">
        <v>0.2</v>
      </c>
      <c r="M277" s="70">
        <v>1</v>
      </c>
    </row>
    <row r="278" spans="11:13">
      <c r="K278" s="76">
        <v>44188</v>
      </c>
      <c r="L278" s="70">
        <v>0.2</v>
      </c>
      <c r="M278" s="70">
        <v>1</v>
      </c>
    </row>
    <row r="279" spans="11:13">
      <c r="K279" s="76">
        <v>44189</v>
      </c>
      <c r="L279" s="70">
        <v>0.2</v>
      </c>
      <c r="M279" s="70">
        <v>1</v>
      </c>
    </row>
    <row r="280" spans="11:13">
      <c r="K280" s="76">
        <v>44190</v>
      </c>
      <c r="L280" s="70">
        <v>0.2</v>
      </c>
      <c r="M280" s="70">
        <v>1</v>
      </c>
    </row>
    <row r="281" spans="11:13">
      <c r="K281" s="76">
        <v>44191</v>
      </c>
      <c r="L281" s="70">
        <v>0.2</v>
      </c>
      <c r="M281" s="70">
        <v>1</v>
      </c>
    </row>
    <row r="282" spans="11:13">
      <c r="K282" s="76">
        <v>44192</v>
      </c>
      <c r="L282" s="70">
        <v>0.2</v>
      </c>
      <c r="M282" s="70">
        <v>1</v>
      </c>
    </row>
    <row r="283" spans="11:13">
      <c r="K283" s="76">
        <v>44193</v>
      </c>
      <c r="L283" s="70">
        <v>0.2</v>
      </c>
      <c r="M283" s="70">
        <v>1</v>
      </c>
    </row>
    <row r="284" spans="11:13">
      <c r="K284" s="76">
        <v>44194</v>
      </c>
      <c r="L284" s="70">
        <v>0.2</v>
      </c>
      <c r="M284" s="70">
        <v>1</v>
      </c>
    </row>
    <row r="285" spans="11:13">
      <c r="K285" s="76">
        <v>44195</v>
      </c>
      <c r="L285" s="70">
        <v>0.2</v>
      </c>
      <c r="M285" s="70">
        <v>1</v>
      </c>
    </row>
    <row r="286" spans="11:13">
      <c r="K286" s="76">
        <v>44196</v>
      </c>
      <c r="L286" s="70">
        <v>0.2</v>
      </c>
      <c r="M286" s="70">
        <v>1</v>
      </c>
    </row>
    <row r="287" spans="11:13">
      <c r="K287" s="76">
        <v>44197</v>
      </c>
      <c r="L287" s="70">
        <v>0.2</v>
      </c>
      <c r="M287" s="70">
        <v>1</v>
      </c>
    </row>
    <row r="288" spans="11:13">
      <c r="K288" s="76">
        <v>44198</v>
      </c>
      <c r="L288" s="70">
        <v>0.2</v>
      </c>
      <c r="M288" s="70">
        <v>1</v>
      </c>
    </row>
    <row r="289" spans="11:13">
      <c r="K289" s="76">
        <v>44199</v>
      </c>
      <c r="L289" s="70">
        <v>0.2</v>
      </c>
      <c r="M289" s="70">
        <v>1</v>
      </c>
    </row>
    <row r="290" spans="11:13">
      <c r="K290" s="76">
        <v>44200</v>
      </c>
      <c r="L290" s="70">
        <v>0.2</v>
      </c>
      <c r="M290" s="70">
        <v>1</v>
      </c>
    </row>
    <row r="291" spans="11:13">
      <c r="K291" s="76">
        <v>44201</v>
      </c>
      <c r="L291" s="70">
        <v>0.2</v>
      </c>
      <c r="M291" s="70">
        <v>1</v>
      </c>
    </row>
    <row r="292" spans="11:13">
      <c r="K292" s="76">
        <v>44202</v>
      </c>
      <c r="L292" s="70">
        <v>0.2</v>
      </c>
      <c r="M292" s="70">
        <v>1</v>
      </c>
    </row>
    <row r="293" spans="11:13">
      <c r="K293" s="76">
        <v>44203</v>
      </c>
      <c r="L293" s="70">
        <v>0.2</v>
      </c>
      <c r="M293" s="70">
        <v>1</v>
      </c>
    </row>
    <row r="294" spans="11:13">
      <c r="K294" s="76">
        <v>44204</v>
      </c>
      <c r="L294" s="70">
        <v>0.2</v>
      </c>
      <c r="M294" s="70">
        <v>1</v>
      </c>
    </row>
    <row r="295" spans="11:13">
      <c r="K295" s="76">
        <v>44205</v>
      </c>
      <c r="L295" s="70">
        <v>0.2</v>
      </c>
      <c r="M295" s="70">
        <v>1</v>
      </c>
    </row>
    <row r="296" spans="11:13">
      <c r="K296" s="76">
        <v>44206</v>
      </c>
      <c r="L296" s="70">
        <v>0.2</v>
      </c>
      <c r="M296" s="70">
        <v>1</v>
      </c>
    </row>
    <row r="297" spans="11:13">
      <c r="K297" s="76">
        <v>44207</v>
      </c>
      <c r="L297" s="70">
        <v>0.2</v>
      </c>
      <c r="M297" s="70">
        <v>1</v>
      </c>
    </row>
    <row r="298" spans="11:13">
      <c r="K298" s="76">
        <v>44208</v>
      </c>
      <c r="L298" s="70">
        <v>0.2</v>
      </c>
      <c r="M298" s="70">
        <v>1</v>
      </c>
    </row>
    <row r="299" spans="11:13">
      <c r="K299" s="76">
        <v>44209</v>
      </c>
      <c r="L299" s="70">
        <v>0.2</v>
      </c>
      <c r="M299" s="70">
        <v>1</v>
      </c>
    </row>
    <row r="300" spans="11:13">
      <c r="K300" s="76">
        <v>44210</v>
      </c>
      <c r="L300" s="70">
        <v>0.2</v>
      </c>
      <c r="M300" s="70">
        <v>1</v>
      </c>
    </row>
    <row r="301" spans="11:13">
      <c r="K301" s="76">
        <v>44211</v>
      </c>
      <c r="L301" s="70">
        <v>0.2</v>
      </c>
      <c r="M301" s="70">
        <v>1</v>
      </c>
    </row>
    <row r="302" spans="11:13">
      <c r="K302" s="76">
        <v>44212</v>
      </c>
      <c r="L302" s="70">
        <v>0.2</v>
      </c>
      <c r="M302" s="70">
        <v>1</v>
      </c>
    </row>
    <row r="303" spans="11:13">
      <c r="K303" s="76">
        <v>44213</v>
      </c>
      <c r="L303" s="70">
        <v>0.2</v>
      </c>
      <c r="M303" s="70">
        <v>1</v>
      </c>
    </row>
    <row r="304" spans="11:13">
      <c r="K304" s="76">
        <v>44214</v>
      </c>
      <c r="L304" s="70">
        <v>0.2</v>
      </c>
      <c r="M304" s="70">
        <v>1</v>
      </c>
    </row>
    <row r="305" spans="11:13">
      <c r="K305" s="76">
        <v>44215</v>
      </c>
      <c r="L305" s="70">
        <v>0.2</v>
      </c>
      <c r="M305" s="70">
        <v>1</v>
      </c>
    </row>
    <row r="306" spans="11:13">
      <c r="K306" s="76">
        <v>44216</v>
      </c>
      <c r="L306" s="70">
        <v>0.2</v>
      </c>
      <c r="M306" s="70">
        <v>1</v>
      </c>
    </row>
    <row r="307" spans="11:13">
      <c r="K307" s="76">
        <v>44217</v>
      </c>
      <c r="L307" s="70">
        <v>0.2</v>
      </c>
      <c r="M307" s="70">
        <v>1</v>
      </c>
    </row>
    <row r="308" spans="11:13">
      <c r="K308" s="76">
        <v>44218</v>
      </c>
      <c r="L308" s="70">
        <v>0.2</v>
      </c>
      <c r="M308" s="70">
        <v>1</v>
      </c>
    </row>
    <row r="309" spans="11:13">
      <c r="K309" s="76">
        <v>44219</v>
      </c>
      <c r="L309" s="70">
        <v>0.2</v>
      </c>
      <c r="M309" s="70">
        <v>1</v>
      </c>
    </row>
    <row r="310" spans="11:13">
      <c r="K310" s="76">
        <v>44220</v>
      </c>
      <c r="L310" s="70">
        <v>0.2</v>
      </c>
      <c r="M310" s="70">
        <v>1</v>
      </c>
    </row>
    <row r="311" spans="11:13">
      <c r="K311" s="76">
        <v>44221</v>
      </c>
      <c r="L311" s="70">
        <v>0.2</v>
      </c>
      <c r="M311" s="70">
        <v>1</v>
      </c>
    </row>
    <row r="312" spans="11:13">
      <c r="K312" s="76">
        <v>44222</v>
      </c>
      <c r="L312" s="70">
        <v>0.2</v>
      </c>
      <c r="M312" s="70">
        <v>1</v>
      </c>
    </row>
    <row r="313" spans="11:13">
      <c r="K313" s="76">
        <v>44223</v>
      </c>
      <c r="L313" s="70">
        <v>0.2</v>
      </c>
      <c r="M313" s="70">
        <v>1</v>
      </c>
    </row>
    <row r="314" spans="11:13">
      <c r="K314" s="76">
        <v>44224</v>
      </c>
      <c r="L314" s="70">
        <v>0.2</v>
      </c>
      <c r="M314" s="70">
        <v>1</v>
      </c>
    </row>
    <row r="315" spans="11:13">
      <c r="K315" s="76">
        <v>44225</v>
      </c>
      <c r="L315" s="70">
        <v>0.2</v>
      </c>
      <c r="M315" s="70">
        <v>1</v>
      </c>
    </row>
    <row r="316" spans="11:13">
      <c r="K316" s="76">
        <v>44226</v>
      </c>
      <c r="L316" s="70">
        <v>0.2</v>
      </c>
      <c r="M316" s="70">
        <v>1</v>
      </c>
    </row>
    <row r="317" spans="11:13">
      <c r="K317" s="76">
        <v>44227</v>
      </c>
      <c r="L317" s="70">
        <v>0.2</v>
      </c>
      <c r="M317" s="70">
        <v>1</v>
      </c>
    </row>
    <row r="318" spans="11:13">
      <c r="K318" s="76">
        <v>44228</v>
      </c>
      <c r="L318" s="70">
        <v>0.2</v>
      </c>
      <c r="M318" s="70">
        <v>1</v>
      </c>
    </row>
    <row r="319" spans="11:13">
      <c r="K319" s="76">
        <v>44229</v>
      </c>
      <c r="L319" s="70">
        <v>0.2</v>
      </c>
      <c r="M319" s="70">
        <v>1</v>
      </c>
    </row>
    <row r="320" spans="11:13">
      <c r="K320" s="76">
        <v>44230</v>
      </c>
      <c r="L320" s="70">
        <v>0.2</v>
      </c>
      <c r="M320" s="70">
        <v>1</v>
      </c>
    </row>
    <row r="321" spans="11:13">
      <c r="K321" s="76">
        <v>44231</v>
      </c>
      <c r="L321" s="70">
        <v>0.2</v>
      </c>
      <c r="M321" s="70">
        <v>1</v>
      </c>
    </row>
    <row r="322" spans="11:13">
      <c r="K322" s="76">
        <v>44232</v>
      </c>
      <c r="L322" s="70">
        <v>0.2</v>
      </c>
      <c r="M322" s="70">
        <v>1</v>
      </c>
    </row>
    <row r="323" spans="11:13">
      <c r="K323" s="76">
        <v>44233</v>
      </c>
      <c r="L323" s="70">
        <v>0.2</v>
      </c>
      <c r="M323" s="70">
        <v>1</v>
      </c>
    </row>
    <row r="324" spans="11:13">
      <c r="K324" s="76">
        <v>44234</v>
      </c>
      <c r="L324" s="70">
        <v>0.2</v>
      </c>
      <c r="M324" s="70">
        <v>1</v>
      </c>
    </row>
    <row r="325" spans="11:13">
      <c r="K325" s="76">
        <v>44235</v>
      </c>
      <c r="L325" s="70">
        <v>0.2</v>
      </c>
      <c r="M325" s="70">
        <v>1</v>
      </c>
    </row>
    <row r="326" spans="11:13">
      <c r="K326" s="76">
        <v>44236</v>
      </c>
      <c r="L326" s="70">
        <v>0.2</v>
      </c>
      <c r="M326" s="70">
        <v>1</v>
      </c>
    </row>
    <row r="327" spans="11:13">
      <c r="K327" s="76">
        <v>44237</v>
      </c>
      <c r="L327" s="70">
        <v>0.2</v>
      </c>
      <c r="M327" s="70">
        <v>1</v>
      </c>
    </row>
    <row r="328" spans="11:13">
      <c r="K328" s="76">
        <v>44238</v>
      </c>
      <c r="L328" s="70">
        <v>0.2</v>
      </c>
      <c r="M328" s="70">
        <v>1</v>
      </c>
    </row>
    <row r="329" spans="11:13">
      <c r="K329" s="76">
        <v>44239</v>
      </c>
      <c r="L329" s="70">
        <v>0.2</v>
      </c>
      <c r="M329" s="70">
        <v>1</v>
      </c>
    </row>
    <row r="330" spans="11:13">
      <c r="K330" s="76">
        <v>44240</v>
      </c>
      <c r="L330" s="70">
        <v>0.2</v>
      </c>
      <c r="M330" s="70">
        <v>1</v>
      </c>
    </row>
    <row r="331" spans="11:13">
      <c r="K331" s="76">
        <v>44241</v>
      </c>
      <c r="L331" s="70">
        <v>0.2</v>
      </c>
      <c r="M331" s="70">
        <v>1</v>
      </c>
    </row>
    <row r="332" spans="11:13">
      <c r="K332" s="76">
        <v>44242</v>
      </c>
      <c r="L332" s="70">
        <v>0.2</v>
      </c>
      <c r="M332" s="70">
        <v>1</v>
      </c>
    </row>
    <row r="333" spans="11:13">
      <c r="K333" s="76">
        <v>44243</v>
      </c>
      <c r="L333" s="70">
        <v>0.2</v>
      </c>
      <c r="M333" s="70">
        <v>1</v>
      </c>
    </row>
    <row r="334" spans="11:13">
      <c r="K334" s="76">
        <v>44244</v>
      </c>
      <c r="L334" s="70">
        <v>0.2</v>
      </c>
      <c r="M334" s="70">
        <v>1</v>
      </c>
    </row>
    <row r="335" spans="11:13">
      <c r="K335" s="76">
        <v>44245</v>
      </c>
      <c r="L335" s="70">
        <v>0.2</v>
      </c>
      <c r="M335" s="70">
        <v>1</v>
      </c>
    </row>
    <row r="336" spans="11:13">
      <c r="K336" s="76">
        <v>44246</v>
      </c>
      <c r="L336" s="70">
        <v>0.2</v>
      </c>
      <c r="M336" s="70">
        <v>1</v>
      </c>
    </row>
    <row r="337" spans="11:13">
      <c r="K337" s="76">
        <v>44247</v>
      </c>
      <c r="L337" s="70">
        <v>0.2</v>
      </c>
      <c r="M337" s="70">
        <v>1</v>
      </c>
    </row>
    <row r="338" spans="11:13">
      <c r="K338" s="76">
        <v>44248</v>
      </c>
      <c r="L338" s="70">
        <v>0.2</v>
      </c>
      <c r="M338" s="70">
        <v>1</v>
      </c>
    </row>
    <row r="339" spans="11:13">
      <c r="K339" s="76">
        <v>44249</v>
      </c>
      <c r="L339" s="70">
        <v>0.2</v>
      </c>
      <c r="M339" s="70">
        <v>1</v>
      </c>
    </row>
    <row r="340" spans="11:13">
      <c r="K340" s="76">
        <v>44250</v>
      </c>
      <c r="L340" s="70">
        <v>0.2</v>
      </c>
      <c r="M340" s="70">
        <v>1</v>
      </c>
    </row>
    <row r="341" spans="11:13">
      <c r="K341" s="76">
        <v>44251</v>
      </c>
      <c r="L341" s="70">
        <v>0.2</v>
      </c>
      <c r="M341" s="70">
        <v>1</v>
      </c>
    </row>
    <row r="342" spans="11:13">
      <c r="K342" s="76">
        <v>44252</v>
      </c>
      <c r="L342" s="70">
        <v>0.2</v>
      </c>
      <c r="M342" s="70">
        <v>1</v>
      </c>
    </row>
    <row r="343" spans="11:13">
      <c r="K343" s="76">
        <v>44253</v>
      </c>
      <c r="L343" s="70">
        <v>0.2</v>
      </c>
      <c r="M343" s="70">
        <v>1</v>
      </c>
    </row>
    <row r="344" spans="11:13">
      <c r="K344" s="76">
        <v>44254</v>
      </c>
      <c r="L344" s="70">
        <v>0.2</v>
      </c>
      <c r="M344" s="70">
        <v>1</v>
      </c>
    </row>
    <row r="345" spans="11:13">
      <c r="K345" s="76">
        <v>44255</v>
      </c>
      <c r="L345" s="70">
        <v>0.2</v>
      </c>
      <c r="M345" s="70">
        <v>1</v>
      </c>
    </row>
    <row r="346" spans="11:13">
      <c r="K346" s="76">
        <v>44256</v>
      </c>
      <c r="L346" s="70">
        <v>0.2</v>
      </c>
      <c r="M346" s="70">
        <v>1</v>
      </c>
    </row>
    <row r="347" spans="11:13">
      <c r="K347" s="76">
        <v>44257</v>
      </c>
      <c r="L347" s="70">
        <v>0.2</v>
      </c>
      <c r="M347" s="70">
        <v>1</v>
      </c>
    </row>
    <row r="348" spans="11:13">
      <c r="K348" s="76">
        <v>44258</v>
      </c>
      <c r="L348" s="70">
        <v>0.2</v>
      </c>
      <c r="M348" s="70">
        <v>1</v>
      </c>
    </row>
    <row r="349" spans="11:13">
      <c r="K349" s="76">
        <v>44259</v>
      </c>
      <c r="L349" s="70">
        <v>0.2</v>
      </c>
      <c r="M349" s="70">
        <v>1</v>
      </c>
    </row>
    <row r="350" spans="11:13">
      <c r="K350" s="76">
        <v>44260</v>
      </c>
      <c r="L350" s="70">
        <v>0.2</v>
      </c>
      <c r="M350" s="70">
        <v>1</v>
      </c>
    </row>
    <row r="351" spans="11:13">
      <c r="K351" s="76">
        <v>44261</v>
      </c>
      <c r="L351" s="70">
        <v>0.2</v>
      </c>
      <c r="M351" s="70">
        <v>1</v>
      </c>
    </row>
    <row r="352" spans="11:13">
      <c r="K352" s="76">
        <v>44262</v>
      </c>
      <c r="L352" s="70">
        <v>0.2</v>
      </c>
      <c r="M352" s="70">
        <v>1</v>
      </c>
    </row>
    <row r="353" spans="11:13">
      <c r="K353" s="76">
        <v>44263</v>
      </c>
      <c r="L353" s="70">
        <v>0.2</v>
      </c>
      <c r="M353" s="70">
        <v>1</v>
      </c>
    </row>
    <row r="354" spans="11:13">
      <c r="K354" s="76">
        <v>44264</v>
      </c>
      <c r="L354" s="70">
        <v>0.2</v>
      </c>
      <c r="M354" s="70">
        <v>1</v>
      </c>
    </row>
    <row r="355" spans="11:13">
      <c r="K355" s="76">
        <v>44265</v>
      </c>
      <c r="L355" s="70">
        <v>0.2</v>
      </c>
      <c r="M355" s="70">
        <v>1</v>
      </c>
    </row>
    <row r="356" spans="11:13">
      <c r="K356" s="76">
        <v>44266</v>
      </c>
      <c r="L356" s="70">
        <v>0.2</v>
      </c>
      <c r="M356" s="70">
        <v>1</v>
      </c>
    </row>
    <row r="357" spans="11:13">
      <c r="K357" s="76">
        <v>44267</v>
      </c>
      <c r="L357" s="70">
        <v>0.2</v>
      </c>
      <c r="M357" s="70">
        <v>1</v>
      </c>
    </row>
    <row r="358" spans="11:13">
      <c r="K358" s="76">
        <v>44268</v>
      </c>
      <c r="L358" s="70">
        <v>0.2</v>
      </c>
      <c r="M358" s="70">
        <v>1</v>
      </c>
    </row>
    <row r="359" spans="11:13">
      <c r="K359" s="76">
        <v>44269</v>
      </c>
      <c r="L359" s="70">
        <v>0.2</v>
      </c>
      <c r="M359" s="70">
        <v>1</v>
      </c>
    </row>
    <row r="360" spans="11:13">
      <c r="K360" s="76">
        <v>44270</v>
      </c>
      <c r="L360" s="70">
        <v>0.2</v>
      </c>
      <c r="M360" s="70">
        <v>1</v>
      </c>
    </row>
    <row r="361" spans="11:13">
      <c r="K361" s="76">
        <v>44271</v>
      </c>
      <c r="L361" s="70">
        <v>0.2</v>
      </c>
      <c r="M361" s="70">
        <v>1</v>
      </c>
    </row>
    <row r="362" spans="11:13">
      <c r="K362" s="76">
        <v>44272</v>
      </c>
      <c r="L362" s="70">
        <v>0.2</v>
      </c>
      <c r="M362" s="70">
        <v>1</v>
      </c>
    </row>
    <row r="363" spans="11:13">
      <c r="K363" s="76">
        <v>44273</v>
      </c>
      <c r="L363" s="70">
        <v>0.2</v>
      </c>
      <c r="M363" s="70">
        <v>1</v>
      </c>
    </row>
    <row r="364" spans="11:13">
      <c r="K364" s="76">
        <v>44274</v>
      </c>
      <c r="L364" s="70">
        <v>0.2</v>
      </c>
      <c r="M364" s="70">
        <v>1</v>
      </c>
    </row>
    <row r="365" spans="11:13">
      <c r="K365" s="76">
        <v>44275</v>
      </c>
      <c r="L365" s="70">
        <v>0.2</v>
      </c>
      <c r="M365" s="70">
        <v>1</v>
      </c>
    </row>
    <row r="366" spans="11:13">
      <c r="K366" s="76">
        <v>44276</v>
      </c>
      <c r="L366" s="70">
        <v>0.2</v>
      </c>
      <c r="M366" s="70">
        <v>1</v>
      </c>
    </row>
    <row r="367" spans="11:13">
      <c r="K367" s="76">
        <v>44277</v>
      </c>
      <c r="L367" s="70">
        <v>0.2</v>
      </c>
      <c r="M367" s="70">
        <v>1</v>
      </c>
    </row>
    <row r="368" spans="11:13">
      <c r="K368" s="76">
        <v>44278</v>
      </c>
      <c r="L368" s="70">
        <v>0.2</v>
      </c>
      <c r="M368" s="70">
        <v>1</v>
      </c>
    </row>
    <row r="369" spans="11:13">
      <c r="K369" s="76">
        <v>44279</v>
      </c>
      <c r="L369" s="70">
        <v>0.2</v>
      </c>
      <c r="M369" s="70">
        <v>1</v>
      </c>
    </row>
    <row r="370" spans="11:13">
      <c r="K370" s="76">
        <v>44280</v>
      </c>
      <c r="L370" s="70">
        <v>0.2</v>
      </c>
      <c r="M370" s="70">
        <v>1</v>
      </c>
    </row>
    <row r="371" spans="11:13">
      <c r="K371" s="76">
        <v>44281</v>
      </c>
      <c r="L371" s="70">
        <v>0.2</v>
      </c>
      <c r="M371" s="70">
        <v>1</v>
      </c>
    </row>
    <row r="372" spans="11:13">
      <c r="K372" s="76">
        <v>44282</v>
      </c>
      <c r="L372" s="70">
        <v>0.2</v>
      </c>
      <c r="M372" s="70">
        <v>1</v>
      </c>
    </row>
    <row r="373" spans="11:13">
      <c r="K373" s="76">
        <v>44283</v>
      </c>
      <c r="L373" s="70">
        <v>0.2</v>
      </c>
      <c r="M373" s="70">
        <v>1</v>
      </c>
    </row>
    <row r="374" spans="11:13">
      <c r="K374" s="76">
        <v>44284</v>
      </c>
      <c r="L374" s="70">
        <v>0.2</v>
      </c>
      <c r="M374" s="70">
        <v>1</v>
      </c>
    </row>
    <row r="375" spans="11:13">
      <c r="K375" s="76">
        <v>44285</v>
      </c>
      <c r="L375" s="70">
        <v>0.2</v>
      </c>
      <c r="M375" s="70">
        <v>1</v>
      </c>
    </row>
    <row r="376" spans="11:13">
      <c r="K376" s="76">
        <v>44286</v>
      </c>
      <c r="L376" s="70">
        <v>0.2</v>
      </c>
      <c r="M376" s="70">
        <v>1</v>
      </c>
    </row>
    <row r="377" spans="11:13">
      <c r="K377" s="76">
        <v>44287</v>
      </c>
      <c r="L377" s="70">
        <v>0.2</v>
      </c>
      <c r="M377" s="70">
        <v>1</v>
      </c>
    </row>
    <row r="378" spans="11:13">
      <c r="K378" s="76">
        <v>44288</v>
      </c>
      <c r="L378" s="70">
        <v>0.2</v>
      </c>
      <c r="M378" s="70">
        <v>1</v>
      </c>
    </row>
    <row r="379" spans="11:13">
      <c r="K379" s="76">
        <v>44289</v>
      </c>
      <c r="L379" s="70">
        <v>0.2</v>
      </c>
      <c r="M379" s="70">
        <v>1</v>
      </c>
    </row>
    <row r="380" spans="11:13">
      <c r="K380" s="76">
        <v>44290</v>
      </c>
      <c r="L380" s="70">
        <v>0.2</v>
      </c>
      <c r="M380" s="70">
        <v>1</v>
      </c>
    </row>
    <row r="381" spans="11:13">
      <c r="K381" s="76">
        <v>44291</v>
      </c>
      <c r="L381" s="70">
        <v>0.2</v>
      </c>
      <c r="M381" s="70">
        <v>1</v>
      </c>
    </row>
    <row r="382" spans="11:13">
      <c r="K382" s="76">
        <v>44292</v>
      </c>
      <c r="L382" s="70">
        <v>0.2</v>
      </c>
      <c r="M382" s="70">
        <v>1</v>
      </c>
    </row>
    <row r="383" spans="11:13">
      <c r="K383" s="76">
        <v>44293</v>
      </c>
      <c r="L383" s="70">
        <v>0.2</v>
      </c>
      <c r="M383" s="70">
        <v>1</v>
      </c>
    </row>
    <row r="384" spans="11:13">
      <c r="K384" s="76">
        <v>44294</v>
      </c>
      <c r="L384" s="70">
        <v>0.2</v>
      </c>
      <c r="M384" s="70">
        <v>1</v>
      </c>
    </row>
    <row r="385" spans="11:13">
      <c r="K385" s="76">
        <v>44295</v>
      </c>
      <c r="L385" s="70">
        <v>0.2</v>
      </c>
      <c r="M385" s="70">
        <v>1</v>
      </c>
    </row>
    <row r="386" spans="11:13">
      <c r="K386" s="76">
        <v>44296</v>
      </c>
      <c r="L386" s="70">
        <v>0.2</v>
      </c>
      <c r="M386" s="70">
        <v>1</v>
      </c>
    </row>
    <row r="387" spans="11:13">
      <c r="K387" s="76">
        <v>44297</v>
      </c>
      <c r="L387" s="70">
        <v>0.2</v>
      </c>
      <c r="M387" s="70">
        <v>1</v>
      </c>
    </row>
    <row r="388" spans="11:13">
      <c r="K388" s="76">
        <v>44298</v>
      </c>
      <c r="L388" s="70">
        <v>0.2</v>
      </c>
      <c r="M388" s="70">
        <v>1</v>
      </c>
    </row>
    <row r="389" spans="11:13">
      <c r="K389" s="76">
        <v>44299</v>
      </c>
      <c r="L389" s="70">
        <v>0.2</v>
      </c>
      <c r="M389" s="70">
        <v>1</v>
      </c>
    </row>
    <row r="390" spans="11:13">
      <c r="K390" s="76">
        <v>44300</v>
      </c>
      <c r="L390" s="70">
        <v>0.2</v>
      </c>
      <c r="M390" s="70">
        <v>1</v>
      </c>
    </row>
    <row r="391" spans="11:13">
      <c r="K391" s="76">
        <v>44301</v>
      </c>
      <c r="L391" s="70">
        <v>0.2</v>
      </c>
      <c r="M391" s="70">
        <v>1</v>
      </c>
    </row>
    <row r="392" spans="11:13">
      <c r="K392" s="76">
        <v>44302</v>
      </c>
      <c r="L392" s="70">
        <v>0.2</v>
      </c>
      <c r="M392" s="70">
        <v>1</v>
      </c>
    </row>
    <row r="393" spans="11:13">
      <c r="K393" s="76">
        <v>44303</v>
      </c>
      <c r="L393" s="70">
        <v>0.2</v>
      </c>
      <c r="M393" s="70">
        <v>1</v>
      </c>
    </row>
    <row r="394" spans="11:13">
      <c r="K394" s="76">
        <v>44304</v>
      </c>
      <c r="L394" s="70">
        <v>0.2</v>
      </c>
      <c r="M394" s="70">
        <v>1</v>
      </c>
    </row>
    <row r="395" spans="11:13">
      <c r="K395" s="76">
        <v>44305</v>
      </c>
      <c r="L395" s="70">
        <v>0.2</v>
      </c>
      <c r="M395" s="70">
        <v>1</v>
      </c>
    </row>
    <row r="396" spans="11:13">
      <c r="K396" s="76">
        <v>44306</v>
      </c>
      <c r="L396" s="70">
        <v>0.2</v>
      </c>
      <c r="M396" s="70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O26" sqref="O26"/>
    </sheetView>
  </sheetViews>
  <sheetFormatPr baseColWidth="10" defaultRowHeight="16"/>
  <sheetData>
    <row r="1" spans="11:13">
      <c r="K1" t="s">
        <v>53</v>
      </c>
    </row>
    <row r="2" spans="11:13">
      <c r="K2" t="s">
        <v>0</v>
      </c>
      <c r="L2" t="s">
        <v>55</v>
      </c>
      <c r="M2" t="s">
        <v>54</v>
      </c>
    </row>
    <row r="3" spans="11:13">
      <c r="K3" s="76">
        <v>43913</v>
      </c>
      <c r="L3" s="70">
        <v>0.5</v>
      </c>
      <c r="M3" s="70">
        <v>0.16</v>
      </c>
    </row>
    <row r="4" spans="11:13">
      <c r="K4" s="76">
        <v>43914</v>
      </c>
      <c r="L4" s="70">
        <v>0.5</v>
      </c>
      <c r="M4" s="70">
        <v>0.16</v>
      </c>
    </row>
    <row r="5" spans="11:13">
      <c r="K5" s="76">
        <v>43915</v>
      </c>
      <c r="L5" s="70">
        <v>0.5</v>
      </c>
      <c r="M5" s="70">
        <v>0.16</v>
      </c>
    </row>
    <row r="6" spans="11:13">
      <c r="K6" s="76">
        <v>43916</v>
      </c>
      <c r="L6" s="70">
        <v>0.5</v>
      </c>
      <c r="M6" s="70">
        <v>0.16</v>
      </c>
    </row>
    <row r="7" spans="11:13">
      <c r="K7" s="76">
        <v>43917</v>
      </c>
      <c r="L7" s="70">
        <v>0.5</v>
      </c>
      <c r="M7" s="70">
        <v>0.16</v>
      </c>
    </row>
    <row r="8" spans="11:13">
      <c r="K8" s="76">
        <v>43918</v>
      </c>
      <c r="L8" s="70">
        <v>0.5</v>
      </c>
      <c r="M8" s="70">
        <v>0.16</v>
      </c>
    </row>
    <row r="9" spans="11:13">
      <c r="K9" s="76">
        <v>43919</v>
      </c>
      <c r="L9" s="70">
        <v>0.5</v>
      </c>
      <c r="M9" s="70">
        <v>0.16</v>
      </c>
    </row>
    <row r="10" spans="11:13">
      <c r="K10" s="76">
        <v>43920</v>
      </c>
      <c r="L10" s="70">
        <v>0.5</v>
      </c>
      <c r="M10" s="70">
        <v>0.16</v>
      </c>
    </row>
    <row r="11" spans="11:13">
      <c r="K11" s="76">
        <v>43921</v>
      </c>
      <c r="L11" s="70">
        <v>0.5</v>
      </c>
      <c r="M11" s="70">
        <v>0.16</v>
      </c>
    </row>
    <row r="12" spans="11:13">
      <c r="K12" s="76">
        <v>43922</v>
      </c>
      <c r="L12" s="70">
        <v>0.5</v>
      </c>
      <c r="M12" s="70">
        <v>0.16</v>
      </c>
    </row>
    <row r="13" spans="11:13">
      <c r="K13" s="76">
        <v>43923</v>
      </c>
      <c r="L13" s="70">
        <v>0.5</v>
      </c>
      <c r="M13" s="70">
        <v>0.16</v>
      </c>
    </row>
    <row r="14" spans="11:13">
      <c r="K14" s="76">
        <v>43924</v>
      </c>
      <c r="L14" s="70">
        <v>0.5</v>
      </c>
      <c r="M14" s="70">
        <v>0.16</v>
      </c>
    </row>
    <row r="15" spans="11:13">
      <c r="K15" s="76">
        <v>43925</v>
      </c>
      <c r="L15" s="70">
        <v>0.5</v>
      </c>
      <c r="M15" s="70">
        <v>0.16</v>
      </c>
    </row>
    <row r="16" spans="11:13">
      <c r="K16" s="76">
        <v>43926</v>
      </c>
      <c r="L16" s="70">
        <v>0.5</v>
      </c>
      <c r="M16" s="70">
        <v>0.16</v>
      </c>
    </row>
    <row r="17" spans="11:13">
      <c r="K17" s="76">
        <v>43927</v>
      </c>
      <c r="L17" s="70">
        <v>0.5</v>
      </c>
      <c r="M17" s="70">
        <v>0.16</v>
      </c>
    </row>
    <row r="18" spans="11:13">
      <c r="K18" s="76">
        <v>43928</v>
      </c>
      <c r="L18" s="70">
        <v>0.5</v>
      </c>
      <c r="M18" s="70">
        <v>0.16</v>
      </c>
    </row>
    <row r="19" spans="11:13">
      <c r="K19" s="76">
        <v>43929</v>
      </c>
      <c r="L19" s="70">
        <v>0.5</v>
      </c>
      <c r="M19" s="70">
        <v>0.16</v>
      </c>
    </row>
    <row r="20" spans="11:13">
      <c r="K20" s="76">
        <v>43930</v>
      </c>
      <c r="L20" s="70">
        <v>0.5</v>
      </c>
      <c r="M20" s="70">
        <v>0.16</v>
      </c>
    </row>
    <row r="21" spans="11:13">
      <c r="K21" s="76">
        <v>43931</v>
      </c>
      <c r="L21" s="70">
        <v>0.5</v>
      </c>
      <c r="M21" s="70">
        <v>0.16</v>
      </c>
    </row>
    <row r="22" spans="11:13">
      <c r="K22" s="76">
        <v>43932</v>
      </c>
      <c r="L22" s="70">
        <v>0.5</v>
      </c>
      <c r="M22" s="70">
        <v>0.16</v>
      </c>
    </row>
    <row r="23" spans="11:13">
      <c r="K23" s="76">
        <v>43933</v>
      </c>
      <c r="L23" s="70">
        <v>0.5</v>
      </c>
      <c r="M23" s="70">
        <v>0.16</v>
      </c>
    </row>
    <row r="24" spans="11:13">
      <c r="K24" s="76">
        <v>43934</v>
      </c>
      <c r="L24" s="70">
        <v>0.5</v>
      </c>
      <c r="M24" s="70">
        <v>0.16</v>
      </c>
    </row>
    <row r="25" spans="11:13">
      <c r="K25" s="76">
        <v>43935</v>
      </c>
      <c r="L25" s="70">
        <v>0.5</v>
      </c>
      <c r="M25" s="70">
        <v>0.16</v>
      </c>
    </row>
    <row r="26" spans="11:13">
      <c r="K26" s="76">
        <v>43936</v>
      </c>
      <c r="L26" s="70">
        <v>0.5</v>
      </c>
      <c r="M26" s="70">
        <v>0.16</v>
      </c>
    </row>
    <row r="27" spans="11:13">
      <c r="K27" s="76">
        <v>43937</v>
      </c>
      <c r="L27" s="70">
        <v>0.5</v>
      </c>
      <c r="M27" s="70">
        <v>0.16</v>
      </c>
    </row>
    <row r="28" spans="11:13">
      <c r="K28" s="76">
        <v>43938</v>
      </c>
      <c r="L28" s="70">
        <v>0.5</v>
      </c>
      <c r="M28" s="70">
        <v>0.16</v>
      </c>
    </row>
    <row r="29" spans="11:13">
      <c r="K29" s="76">
        <v>43939</v>
      </c>
      <c r="L29" s="70">
        <v>0.5</v>
      </c>
      <c r="M29" s="70">
        <v>0.16</v>
      </c>
    </row>
    <row r="30" spans="11:13">
      <c r="K30" s="76">
        <v>43940</v>
      </c>
      <c r="L30" s="70">
        <v>0.5</v>
      </c>
      <c r="M30" s="70">
        <v>0.16</v>
      </c>
    </row>
    <row r="31" spans="11:13">
      <c r="K31" s="76">
        <v>43941</v>
      </c>
      <c r="L31" s="70">
        <v>0.5</v>
      </c>
      <c r="M31" s="70">
        <v>0.16</v>
      </c>
    </row>
    <row r="32" spans="11:13">
      <c r="K32" s="76">
        <v>43942</v>
      </c>
      <c r="L32" s="70">
        <v>0.5</v>
      </c>
      <c r="M32" s="70">
        <v>0.16</v>
      </c>
    </row>
    <row r="33" spans="11:13">
      <c r="K33" s="76">
        <v>43943</v>
      </c>
      <c r="L33" s="70">
        <v>0.5</v>
      </c>
      <c r="M33" s="70">
        <v>0.16</v>
      </c>
    </row>
    <row r="34" spans="11:13">
      <c r="K34" s="76">
        <v>43944</v>
      </c>
      <c r="L34" s="70">
        <v>0.5</v>
      </c>
      <c r="M34" s="70">
        <v>0.16</v>
      </c>
    </row>
    <row r="35" spans="11:13">
      <c r="K35" s="76">
        <v>43945</v>
      </c>
      <c r="L35" s="70">
        <v>0.5</v>
      </c>
      <c r="M35" s="70">
        <v>0.16</v>
      </c>
    </row>
    <row r="36" spans="11:13">
      <c r="K36" s="76">
        <v>43946</v>
      </c>
      <c r="L36" s="70">
        <v>0.5</v>
      </c>
      <c r="M36" s="70">
        <v>0.16</v>
      </c>
    </row>
    <row r="37" spans="11:13">
      <c r="K37" s="76">
        <v>43947</v>
      </c>
      <c r="L37" s="70">
        <v>0.5</v>
      </c>
      <c r="M37" s="70">
        <v>0.16</v>
      </c>
    </row>
    <row r="38" spans="11:13">
      <c r="K38" s="76">
        <v>43948</v>
      </c>
      <c r="L38" s="70">
        <v>0.5</v>
      </c>
      <c r="M38" s="70">
        <v>0.16</v>
      </c>
    </row>
    <row r="39" spans="11:13">
      <c r="K39" s="76">
        <v>43949</v>
      </c>
      <c r="L39" s="70">
        <v>0.5</v>
      </c>
      <c r="M39" s="70">
        <v>0.16</v>
      </c>
    </row>
    <row r="40" spans="11:13">
      <c r="K40" s="76">
        <v>43950</v>
      </c>
      <c r="L40" s="70">
        <v>0.5</v>
      </c>
      <c r="M40" s="70">
        <v>0.16</v>
      </c>
    </row>
    <row r="41" spans="11:13">
      <c r="K41" s="76">
        <v>43951</v>
      </c>
      <c r="L41" s="70">
        <v>0.5</v>
      </c>
      <c r="M41" s="70">
        <v>0.16</v>
      </c>
    </row>
    <row r="42" spans="11:13">
      <c r="K42" s="76">
        <v>43952</v>
      </c>
      <c r="L42" s="70">
        <v>0.5</v>
      </c>
      <c r="M42" s="70">
        <v>0.16</v>
      </c>
    </row>
    <row r="43" spans="11:13">
      <c r="K43" s="76">
        <v>43953</v>
      </c>
      <c r="L43" s="70">
        <v>0.5</v>
      </c>
      <c r="M43" s="70">
        <v>0.16</v>
      </c>
    </row>
    <row r="44" spans="11:13">
      <c r="K44" s="76">
        <v>43954</v>
      </c>
      <c r="L44" s="70">
        <v>0.5</v>
      </c>
      <c r="M44" s="70">
        <v>0.16</v>
      </c>
    </row>
    <row r="45" spans="11:13">
      <c r="K45" s="76">
        <v>43955</v>
      </c>
      <c r="L45" s="70">
        <v>0.5</v>
      </c>
      <c r="M45" s="70">
        <v>0.16</v>
      </c>
    </row>
    <row r="46" spans="11:13">
      <c r="K46" s="76">
        <v>43956</v>
      </c>
      <c r="L46" s="70">
        <v>0.5</v>
      </c>
      <c r="M46" s="70">
        <v>0.16</v>
      </c>
    </row>
    <row r="47" spans="11:13">
      <c r="K47" s="76">
        <v>43957</v>
      </c>
      <c r="L47" s="70">
        <v>0.5</v>
      </c>
      <c r="M47" s="70">
        <v>0.16</v>
      </c>
    </row>
    <row r="48" spans="11:13">
      <c r="K48" s="76">
        <v>43958</v>
      </c>
      <c r="L48" s="70">
        <v>0.5</v>
      </c>
      <c r="M48" s="70">
        <v>0.16</v>
      </c>
    </row>
    <row r="49" spans="11:13">
      <c r="K49" s="76">
        <v>43959</v>
      </c>
      <c r="L49" s="70">
        <v>0.5</v>
      </c>
      <c r="M49" s="70">
        <v>0.16</v>
      </c>
    </row>
    <row r="50" spans="11:13">
      <c r="K50" s="76">
        <v>43960</v>
      </c>
      <c r="L50" s="70">
        <v>0.5</v>
      </c>
      <c r="M50" s="70">
        <v>0.16</v>
      </c>
    </row>
    <row r="51" spans="11:13">
      <c r="K51" s="76">
        <v>43961</v>
      </c>
      <c r="L51" s="70">
        <v>0.5</v>
      </c>
      <c r="M51" s="70">
        <v>0.16</v>
      </c>
    </row>
    <row r="52" spans="11:13">
      <c r="K52" s="76">
        <v>43962</v>
      </c>
      <c r="L52" s="70">
        <v>0.5</v>
      </c>
      <c r="M52" s="70">
        <v>0.16</v>
      </c>
    </row>
    <row r="53" spans="11:13">
      <c r="K53" s="76">
        <v>43963</v>
      </c>
      <c r="L53" s="70">
        <v>0.5</v>
      </c>
      <c r="M53" s="70">
        <v>0.16</v>
      </c>
    </row>
    <row r="54" spans="11:13">
      <c r="K54" s="76">
        <v>43964</v>
      </c>
      <c r="L54" s="70">
        <v>0.5</v>
      </c>
      <c r="M54" s="70">
        <v>0.16</v>
      </c>
    </row>
    <row r="55" spans="11:13">
      <c r="K55" s="76">
        <v>43965</v>
      </c>
      <c r="L55" s="70">
        <v>0.5</v>
      </c>
      <c r="M55" s="70">
        <v>0.16</v>
      </c>
    </row>
    <row r="56" spans="11:13">
      <c r="K56" s="76">
        <v>43966</v>
      </c>
      <c r="L56" s="70">
        <v>0.5</v>
      </c>
      <c r="M56" s="70">
        <v>0.16</v>
      </c>
    </row>
    <row r="57" spans="11:13">
      <c r="K57" s="76">
        <v>43967</v>
      </c>
      <c r="L57" s="70">
        <v>0.5</v>
      </c>
      <c r="M57" s="70">
        <v>0.16</v>
      </c>
    </row>
    <row r="58" spans="11:13">
      <c r="K58" s="76">
        <v>43968</v>
      </c>
      <c r="L58" s="70">
        <v>0.5</v>
      </c>
      <c r="M58" s="70">
        <v>0.16</v>
      </c>
    </row>
    <row r="59" spans="11:13">
      <c r="K59" s="76">
        <v>43969</v>
      </c>
      <c r="L59" s="70">
        <v>0.5</v>
      </c>
      <c r="M59" s="70">
        <v>0.16</v>
      </c>
    </row>
    <row r="60" spans="11:13">
      <c r="K60" s="76">
        <v>43970</v>
      </c>
      <c r="L60" s="70">
        <v>0.5</v>
      </c>
      <c r="M60" s="70">
        <v>0.16</v>
      </c>
    </row>
    <row r="61" spans="11:13">
      <c r="K61" s="76">
        <v>43971</v>
      </c>
      <c r="L61" s="70">
        <v>0.5</v>
      </c>
      <c r="M61" s="70">
        <v>0.16</v>
      </c>
    </row>
    <row r="62" spans="11:13">
      <c r="K62" s="76">
        <v>43972</v>
      </c>
      <c r="L62" s="70">
        <v>0.5</v>
      </c>
      <c r="M62" s="70">
        <v>0.16</v>
      </c>
    </row>
    <row r="63" spans="11:13">
      <c r="K63" s="76">
        <v>43973</v>
      </c>
      <c r="L63" s="70">
        <v>0.5</v>
      </c>
      <c r="M63" s="70">
        <v>0.16</v>
      </c>
    </row>
    <row r="64" spans="11:13">
      <c r="K64" s="76">
        <v>43974</v>
      </c>
      <c r="L64" s="70">
        <v>0.5</v>
      </c>
      <c r="M64" s="70">
        <v>0.16</v>
      </c>
    </row>
    <row r="65" spans="11:13">
      <c r="K65" s="76">
        <v>43975</v>
      </c>
      <c r="L65" s="70">
        <v>0.5</v>
      </c>
      <c r="M65" s="70">
        <v>0.16</v>
      </c>
    </row>
    <row r="66" spans="11:13">
      <c r="K66" s="76">
        <v>43976</v>
      </c>
      <c r="L66" s="70">
        <v>0.5</v>
      </c>
      <c r="M66" s="70">
        <v>0.16</v>
      </c>
    </row>
    <row r="67" spans="11:13">
      <c r="K67" s="76">
        <v>43977</v>
      </c>
      <c r="L67" s="70">
        <v>0.5</v>
      </c>
      <c r="M67" s="70">
        <v>0.16</v>
      </c>
    </row>
    <row r="68" spans="11:13">
      <c r="K68" s="76">
        <v>43978</v>
      </c>
      <c r="L68" s="70">
        <v>0.5</v>
      </c>
      <c r="M68" s="70">
        <v>0.16</v>
      </c>
    </row>
    <row r="69" spans="11:13">
      <c r="K69" s="76">
        <v>43979</v>
      </c>
      <c r="L69" s="70">
        <v>0.5</v>
      </c>
      <c r="M69" s="70">
        <v>0.16</v>
      </c>
    </row>
    <row r="70" spans="11:13">
      <c r="K70" s="76">
        <v>43980</v>
      </c>
      <c r="L70" s="70">
        <v>0.5</v>
      </c>
      <c r="M70" s="70">
        <v>0.16</v>
      </c>
    </row>
    <row r="71" spans="11:13">
      <c r="K71" s="76">
        <v>43981</v>
      </c>
      <c r="L71" s="70">
        <v>0.5</v>
      </c>
      <c r="M71" s="70">
        <v>0.16</v>
      </c>
    </row>
    <row r="72" spans="11:13">
      <c r="K72" s="76">
        <v>43982</v>
      </c>
      <c r="L72" s="70">
        <v>0.5</v>
      </c>
      <c r="M72" s="70">
        <v>0.16</v>
      </c>
    </row>
    <row r="73" spans="11:13">
      <c r="K73" s="76">
        <v>43983</v>
      </c>
      <c r="L73" s="70">
        <v>0.5</v>
      </c>
      <c r="M73" s="70">
        <v>0.16</v>
      </c>
    </row>
    <row r="74" spans="11:13">
      <c r="K74" s="76">
        <v>43984</v>
      </c>
      <c r="L74" s="70">
        <v>0.5</v>
      </c>
      <c r="M74" s="70">
        <v>0.16</v>
      </c>
    </row>
    <row r="75" spans="11:13">
      <c r="K75" s="76">
        <v>43985</v>
      </c>
      <c r="L75" s="70">
        <v>0.5</v>
      </c>
      <c r="M75" s="70">
        <v>0.16</v>
      </c>
    </row>
    <row r="76" spans="11:13">
      <c r="K76" s="76">
        <v>43986</v>
      </c>
      <c r="L76" s="70">
        <v>0.5</v>
      </c>
      <c r="M76" s="70">
        <v>0.16</v>
      </c>
    </row>
    <row r="77" spans="11:13">
      <c r="K77" s="76">
        <v>43987</v>
      </c>
      <c r="L77" s="70">
        <v>0.5</v>
      </c>
      <c r="M77" s="70">
        <v>0.16</v>
      </c>
    </row>
    <row r="78" spans="11:13">
      <c r="K78" s="76">
        <v>43988</v>
      </c>
      <c r="L78" s="70">
        <v>0.5</v>
      </c>
      <c r="M78" s="70">
        <v>0.16</v>
      </c>
    </row>
    <row r="79" spans="11:13">
      <c r="K79" s="76">
        <v>43989</v>
      </c>
      <c r="L79" s="70">
        <v>0.5</v>
      </c>
      <c r="M79" s="70">
        <v>0.16</v>
      </c>
    </row>
    <row r="80" spans="11:13">
      <c r="K80" s="76">
        <v>43990</v>
      </c>
      <c r="L80" s="70">
        <v>0.5</v>
      </c>
      <c r="M80" s="70">
        <v>0.16</v>
      </c>
    </row>
    <row r="81" spans="11:13">
      <c r="K81" s="76">
        <v>43991</v>
      </c>
      <c r="L81" s="70">
        <v>0.5</v>
      </c>
      <c r="M81" s="70">
        <v>0.16</v>
      </c>
    </row>
    <row r="82" spans="11:13">
      <c r="K82" s="76">
        <v>43992</v>
      </c>
      <c r="L82" s="70">
        <v>0.5</v>
      </c>
      <c r="M82" s="70">
        <v>0.16</v>
      </c>
    </row>
    <row r="83" spans="11:13">
      <c r="K83" s="76">
        <v>43993</v>
      </c>
      <c r="L83" s="70">
        <v>0.5</v>
      </c>
      <c r="M83" s="70">
        <v>0.16</v>
      </c>
    </row>
    <row r="84" spans="11:13">
      <c r="K84" s="76">
        <v>43994</v>
      </c>
      <c r="L84" s="70">
        <v>0.5</v>
      </c>
      <c r="M84" s="70">
        <v>0.16</v>
      </c>
    </row>
    <row r="85" spans="11:13">
      <c r="K85" s="76">
        <v>43995</v>
      </c>
      <c r="L85" s="70">
        <v>0.5</v>
      </c>
      <c r="M85" s="70">
        <v>0.16</v>
      </c>
    </row>
    <row r="86" spans="11:13">
      <c r="K86" s="76">
        <v>43996</v>
      </c>
      <c r="L86" s="70">
        <v>0.5</v>
      </c>
      <c r="M86" s="70">
        <v>0.16</v>
      </c>
    </row>
    <row r="87" spans="11:13">
      <c r="K87" s="76">
        <v>43997</v>
      </c>
      <c r="L87" s="70">
        <v>0.5</v>
      </c>
      <c r="M87" s="70">
        <v>0.16</v>
      </c>
    </row>
    <row r="88" spans="11:13">
      <c r="K88" s="76">
        <v>43998</v>
      </c>
      <c r="L88" s="70">
        <v>0.5</v>
      </c>
      <c r="M88" s="70">
        <v>0.16</v>
      </c>
    </row>
    <row r="89" spans="11:13">
      <c r="K89" s="76">
        <v>43999</v>
      </c>
      <c r="L89" s="70">
        <v>0.5</v>
      </c>
      <c r="M89" s="70">
        <v>0.16</v>
      </c>
    </row>
    <row r="90" spans="11:13">
      <c r="K90" s="76">
        <v>44000</v>
      </c>
      <c r="L90" s="70">
        <v>0.5</v>
      </c>
      <c r="M90" s="70">
        <v>0.16</v>
      </c>
    </row>
    <row r="91" spans="11:13">
      <c r="K91" s="76">
        <v>44001</v>
      </c>
      <c r="L91" s="70">
        <v>0.5</v>
      </c>
      <c r="M91" s="70">
        <v>0.16</v>
      </c>
    </row>
    <row r="92" spans="11:13">
      <c r="K92" s="76">
        <v>44002</v>
      </c>
      <c r="L92" s="70">
        <v>0.5</v>
      </c>
      <c r="M92" s="70">
        <v>0.16</v>
      </c>
    </row>
    <row r="93" spans="11:13">
      <c r="K93" s="76">
        <v>44003</v>
      </c>
      <c r="L93" s="70">
        <v>0.5</v>
      </c>
      <c r="M93" s="70">
        <v>0.16</v>
      </c>
    </row>
    <row r="94" spans="11:13">
      <c r="K94" s="76">
        <v>44004</v>
      </c>
      <c r="L94" s="70">
        <v>0.5</v>
      </c>
      <c r="M94" s="70">
        <v>0.16</v>
      </c>
    </row>
    <row r="95" spans="11:13">
      <c r="K95" s="76">
        <v>44005</v>
      </c>
      <c r="L95" s="70">
        <v>0.5</v>
      </c>
      <c r="M95" s="70">
        <v>0.16</v>
      </c>
    </row>
    <row r="96" spans="11:13">
      <c r="K96" s="76">
        <v>44006</v>
      </c>
      <c r="L96" s="70">
        <v>0.5</v>
      </c>
      <c r="M96" s="70">
        <v>0.16</v>
      </c>
    </row>
    <row r="97" spans="11:13">
      <c r="K97" s="76">
        <v>44007</v>
      </c>
      <c r="L97" s="70">
        <v>0.5</v>
      </c>
      <c r="M97" s="70">
        <v>0.16</v>
      </c>
    </row>
    <row r="98" spans="11:13">
      <c r="K98" s="76">
        <v>44008</v>
      </c>
      <c r="L98" s="70">
        <v>0.5</v>
      </c>
      <c r="M98" s="70">
        <v>0.16</v>
      </c>
    </row>
    <row r="99" spans="11:13">
      <c r="K99" s="76">
        <v>44009</v>
      </c>
      <c r="L99" s="70">
        <v>0.5</v>
      </c>
      <c r="M99" s="70">
        <v>0.16</v>
      </c>
    </row>
    <row r="100" spans="11:13">
      <c r="K100" s="76">
        <v>44010</v>
      </c>
      <c r="L100" s="70">
        <v>0.5</v>
      </c>
      <c r="M100" s="70">
        <v>0.16</v>
      </c>
    </row>
    <row r="101" spans="11:13">
      <c r="K101" s="76">
        <v>44011</v>
      </c>
      <c r="L101" s="70">
        <v>0.5</v>
      </c>
      <c r="M101" s="70">
        <v>0.16</v>
      </c>
    </row>
    <row r="102" spans="11:13">
      <c r="K102" s="76">
        <v>44012</v>
      </c>
      <c r="L102" s="70">
        <v>0.5</v>
      </c>
      <c r="M102" s="70">
        <v>0.16</v>
      </c>
    </row>
    <row r="103" spans="11:13">
      <c r="K103" s="76">
        <v>44013</v>
      </c>
      <c r="L103" s="70">
        <v>0.5</v>
      </c>
      <c r="M103" s="70">
        <v>0.16</v>
      </c>
    </row>
    <row r="104" spans="11:13">
      <c r="K104" s="76">
        <v>44014</v>
      </c>
      <c r="L104" s="70">
        <v>0.5</v>
      </c>
      <c r="M104" s="70">
        <v>0.16</v>
      </c>
    </row>
    <row r="105" spans="11:13">
      <c r="K105" s="76">
        <v>44015</v>
      </c>
      <c r="L105" s="70">
        <v>0.5</v>
      </c>
      <c r="M105" s="70">
        <v>0.16</v>
      </c>
    </row>
    <row r="106" spans="11:13">
      <c r="K106" s="76">
        <v>44016</v>
      </c>
      <c r="L106" s="70">
        <v>0.5</v>
      </c>
      <c r="M106" s="70">
        <v>0.16</v>
      </c>
    </row>
    <row r="107" spans="11:13">
      <c r="K107" s="76">
        <v>44017</v>
      </c>
      <c r="L107" s="70">
        <v>0.5</v>
      </c>
      <c r="M107" s="70">
        <v>0.16</v>
      </c>
    </row>
    <row r="108" spans="11:13">
      <c r="K108" s="76">
        <v>44018</v>
      </c>
      <c r="L108" s="70">
        <v>0.5</v>
      </c>
      <c r="M108" s="70">
        <v>0.16</v>
      </c>
    </row>
    <row r="109" spans="11:13">
      <c r="K109" s="76">
        <v>44019</v>
      </c>
      <c r="L109" s="70">
        <v>0.5</v>
      </c>
      <c r="M109" s="70">
        <v>0.16</v>
      </c>
    </row>
    <row r="110" spans="11:13">
      <c r="K110" s="76">
        <v>44020</v>
      </c>
      <c r="L110" s="70">
        <v>0.5</v>
      </c>
      <c r="M110" s="70">
        <v>0.16</v>
      </c>
    </row>
    <row r="111" spans="11:13">
      <c r="K111" s="76">
        <v>44021</v>
      </c>
      <c r="L111" s="70">
        <v>0.5</v>
      </c>
      <c r="M111" s="70">
        <v>0.16</v>
      </c>
    </row>
    <row r="112" spans="11:13">
      <c r="K112" s="76">
        <v>44022</v>
      </c>
      <c r="L112" s="70">
        <v>0.5</v>
      </c>
      <c r="M112" s="70">
        <v>0.16</v>
      </c>
    </row>
    <row r="113" spans="11:13">
      <c r="K113" s="76">
        <v>44023</v>
      </c>
      <c r="L113" s="70">
        <v>0.5</v>
      </c>
      <c r="M113" s="70">
        <v>0.16</v>
      </c>
    </row>
    <row r="114" spans="11:13">
      <c r="K114" s="76">
        <v>44024</v>
      </c>
      <c r="L114" s="70">
        <v>0.5</v>
      </c>
      <c r="M114" s="70">
        <v>0.16</v>
      </c>
    </row>
    <row r="115" spans="11:13">
      <c r="K115" s="76">
        <v>44025</v>
      </c>
      <c r="L115" s="70">
        <v>0.5</v>
      </c>
      <c r="M115" s="70">
        <v>0.16</v>
      </c>
    </row>
    <row r="116" spans="11:13">
      <c r="K116" s="76">
        <v>44026</v>
      </c>
      <c r="L116" s="70">
        <v>0.5</v>
      </c>
      <c r="M116" s="70">
        <v>0.16</v>
      </c>
    </row>
    <row r="117" spans="11:13">
      <c r="K117" s="76">
        <v>44027</v>
      </c>
      <c r="L117" s="70">
        <v>0.5</v>
      </c>
      <c r="M117" s="70">
        <v>0.16</v>
      </c>
    </row>
    <row r="118" spans="11:13">
      <c r="K118" s="76">
        <v>44028</v>
      </c>
      <c r="L118" s="70">
        <v>0.5</v>
      </c>
      <c r="M118" s="70">
        <v>0.16</v>
      </c>
    </row>
    <row r="119" spans="11:13">
      <c r="K119" s="76">
        <v>44029</v>
      </c>
      <c r="L119" s="70">
        <v>0.5</v>
      </c>
      <c r="M119" s="70">
        <v>0.16</v>
      </c>
    </row>
    <row r="120" spans="11:13">
      <c r="K120" s="76">
        <v>44030</v>
      </c>
      <c r="L120" s="70">
        <v>0.5</v>
      </c>
      <c r="M120" s="70">
        <v>0.16</v>
      </c>
    </row>
    <row r="121" spans="11:13">
      <c r="K121" s="76">
        <v>44031</v>
      </c>
      <c r="L121" s="70">
        <v>0.5</v>
      </c>
      <c r="M121" s="70">
        <v>0.16</v>
      </c>
    </row>
    <row r="122" spans="11:13">
      <c r="K122" s="76">
        <v>44032</v>
      </c>
      <c r="L122" s="70">
        <v>0.5</v>
      </c>
      <c r="M122" s="70">
        <v>0.16</v>
      </c>
    </row>
    <row r="123" spans="11:13">
      <c r="K123" s="76">
        <v>44033</v>
      </c>
      <c r="L123" s="70">
        <v>0.5</v>
      </c>
      <c r="M123" s="70">
        <v>0.16</v>
      </c>
    </row>
    <row r="124" spans="11:13">
      <c r="K124" s="76">
        <v>44034</v>
      </c>
      <c r="L124" s="70">
        <v>0.5</v>
      </c>
      <c r="M124" s="70">
        <v>0.16</v>
      </c>
    </row>
    <row r="125" spans="11:13">
      <c r="K125" s="76">
        <v>44035</v>
      </c>
      <c r="L125" s="70">
        <v>0.5</v>
      </c>
      <c r="M125" s="70">
        <v>0.16</v>
      </c>
    </row>
    <row r="126" spans="11:13">
      <c r="K126" s="76">
        <v>44036</v>
      </c>
      <c r="L126" s="70">
        <v>0.5</v>
      </c>
      <c r="M126" s="70">
        <v>0.16</v>
      </c>
    </row>
    <row r="127" spans="11:13">
      <c r="K127" s="76">
        <v>44037</v>
      </c>
      <c r="L127" s="70">
        <v>0.5</v>
      </c>
      <c r="M127" s="70">
        <v>0.16</v>
      </c>
    </row>
    <row r="128" spans="11:13">
      <c r="K128" s="76">
        <v>44038</v>
      </c>
      <c r="L128" s="70">
        <v>0.5</v>
      </c>
      <c r="M128" s="70">
        <v>0.16</v>
      </c>
    </row>
    <row r="129" spans="11:13">
      <c r="K129" s="76">
        <v>44039</v>
      </c>
      <c r="L129" s="70">
        <v>0.5</v>
      </c>
      <c r="M129" s="70">
        <v>0.16</v>
      </c>
    </row>
    <row r="130" spans="11:13">
      <c r="K130" s="76">
        <v>44040</v>
      </c>
      <c r="L130" s="70">
        <v>0.5</v>
      </c>
      <c r="M130" s="70">
        <v>0.16</v>
      </c>
    </row>
    <row r="131" spans="11:13">
      <c r="K131" s="76">
        <v>44041</v>
      </c>
      <c r="L131" s="70">
        <v>0.5</v>
      </c>
      <c r="M131" s="70">
        <v>0.16</v>
      </c>
    </row>
    <row r="132" spans="11:13">
      <c r="K132" s="76">
        <v>44042</v>
      </c>
      <c r="L132" s="70">
        <v>0.5</v>
      </c>
      <c r="M132" s="70">
        <v>0.16</v>
      </c>
    </row>
    <row r="133" spans="11:13">
      <c r="K133" s="76">
        <v>44043</v>
      </c>
      <c r="L133" s="70">
        <v>0.5</v>
      </c>
      <c r="M133" s="70">
        <v>0.16</v>
      </c>
    </row>
    <row r="134" spans="11:13">
      <c r="K134" s="76">
        <v>44044</v>
      </c>
      <c r="L134" s="70">
        <v>0.5</v>
      </c>
      <c r="M134" s="70">
        <v>0.16</v>
      </c>
    </row>
    <row r="135" spans="11:13">
      <c r="K135" s="76">
        <v>44045</v>
      </c>
      <c r="L135" s="70">
        <v>0.5</v>
      </c>
      <c r="M135" s="70">
        <v>0.16</v>
      </c>
    </row>
    <row r="136" spans="11:13">
      <c r="K136" s="76">
        <v>44046</v>
      </c>
      <c r="L136" s="70">
        <v>0.5</v>
      </c>
      <c r="M136" s="70">
        <v>0.16</v>
      </c>
    </row>
    <row r="137" spans="11:13">
      <c r="K137" s="76">
        <v>44047</v>
      </c>
      <c r="L137" s="70">
        <v>0.5</v>
      </c>
      <c r="M137" s="70">
        <v>0.16</v>
      </c>
    </row>
    <row r="138" spans="11:13">
      <c r="K138" s="76">
        <v>44048</v>
      </c>
      <c r="L138" s="70">
        <v>0.5</v>
      </c>
      <c r="M138" s="70">
        <v>0.16</v>
      </c>
    </row>
    <row r="139" spans="11:13">
      <c r="K139" s="76">
        <v>44049</v>
      </c>
      <c r="L139" s="70">
        <v>0.5</v>
      </c>
      <c r="M139" s="70">
        <v>0.16</v>
      </c>
    </row>
    <row r="140" spans="11:13">
      <c r="K140" s="76">
        <v>44050</v>
      </c>
      <c r="L140" s="70">
        <v>0.5</v>
      </c>
      <c r="M140" s="70">
        <v>0.16</v>
      </c>
    </row>
    <row r="141" spans="11:13">
      <c r="K141" s="76">
        <v>44051</v>
      </c>
      <c r="L141" s="70">
        <v>0.5</v>
      </c>
      <c r="M141" s="70">
        <v>0.16</v>
      </c>
    </row>
    <row r="142" spans="11:13">
      <c r="K142" s="76">
        <v>44052</v>
      </c>
      <c r="L142" s="70">
        <v>0.5</v>
      </c>
      <c r="M142" s="70">
        <v>0.16</v>
      </c>
    </row>
    <row r="143" spans="11:13">
      <c r="K143" s="76">
        <v>44053</v>
      </c>
      <c r="L143" s="70">
        <v>0.5</v>
      </c>
      <c r="M143" s="70">
        <v>0.16</v>
      </c>
    </row>
    <row r="144" spans="11:13">
      <c r="K144" s="76">
        <v>44054</v>
      </c>
      <c r="L144" s="70">
        <v>0.5</v>
      </c>
      <c r="M144" s="70">
        <v>0.16</v>
      </c>
    </row>
    <row r="145" spans="11:13">
      <c r="K145" s="76">
        <v>44055</v>
      </c>
      <c r="L145" s="70">
        <v>0.5</v>
      </c>
      <c r="M145" s="70">
        <v>0.16</v>
      </c>
    </row>
    <row r="146" spans="11:13">
      <c r="K146" s="76">
        <v>44056</v>
      </c>
      <c r="L146" s="70">
        <v>0.5</v>
      </c>
      <c r="M146" s="70">
        <v>0.16</v>
      </c>
    </row>
    <row r="147" spans="11:13">
      <c r="K147" s="76">
        <v>44057</v>
      </c>
      <c r="L147" s="70">
        <v>0.5</v>
      </c>
      <c r="M147" s="70">
        <v>0.16</v>
      </c>
    </row>
    <row r="148" spans="11:13">
      <c r="K148" s="76">
        <v>44058</v>
      </c>
      <c r="L148" s="70">
        <v>0.5</v>
      </c>
      <c r="M148" s="70">
        <v>0.16</v>
      </c>
    </row>
    <row r="149" spans="11:13">
      <c r="K149" s="76">
        <v>44059</v>
      </c>
      <c r="L149" s="70">
        <v>0.5</v>
      </c>
      <c r="M149" s="70">
        <v>0.16</v>
      </c>
    </row>
    <row r="150" spans="11:13">
      <c r="K150" s="76">
        <v>44060</v>
      </c>
      <c r="L150" s="70">
        <v>0.5</v>
      </c>
      <c r="M150" s="70">
        <v>0.16</v>
      </c>
    </row>
    <row r="151" spans="11:13">
      <c r="K151" s="76">
        <v>44061</v>
      </c>
      <c r="L151" s="70">
        <v>0.5</v>
      </c>
      <c r="M151" s="70">
        <v>0.16</v>
      </c>
    </row>
    <row r="152" spans="11:13">
      <c r="K152" s="76">
        <v>44062</v>
      </c>
      <c r="L152" s="70">
        <v>0.5</v>
      </c>
      <c r="M152" s="70">
        <v>0.16</v>
      </c>
    </row>
    <row r="153" spans="11:13">
      <c r="K153" s="76">
        <v>44063</v>
      </c>
      <c r="L153" s="70">
        <v>0.5</v>
      </c>
      <c r="M153" s="70">
        <v>0.16</v>
      </c>
    </row>
    <row r="154" spans="11:13">
      <c r="K154" s="76">
        <v>44064</v>
      </c>
      <c r="L154" s="70">
        <v>0.5</v>
      </c>
      <c r="M154" s="70">
        <v>0.16</v>
      </c>
    </row>
    <row r="155" spans="11:13">
      <c r="K155" s="76">
        <v>44065</v>
      </c>
      <c r="L155" s="70">
        <v>0.5</v>
      </c>
      <c r="M155" s="70">
        <v>0.16</v>
      </c>
    </row>
    <row r="156" spans="11:13">
      <c r="K156" s="76">
        <v>44066</v>
      </c>
      <c r="L156" s="70">
        <v>0.5</v>
      </c>
      <c r="M156" s="70">
        <v>0.16</v>
      </c>
    </row>
    <row r="157" spans="11:13">
      <c r="K157" s="76">
        <v>44067</v>
      </c>
      <c r="L157" s="70">
        <v>0.5</v>
      </c>
      <c r="M157" s="70">
        <v>0.16</v>
      </c>
    </row>
    <row r="158" spans="11:13">
      <c r="K158" s="76">
        <v>44068</v>
      </c>
      <c r="L158" s="70">
        <v>0.5</v>
      </c>
      <c r="M158" s="70">
        <v>0.16</v>
      </c>
    </row>
    <row r="159" spans="11:13">
      <c r="K159" s="76">
        <v>44069</v>
      </c>
      <c r="L159" s="70">
        <v>0.5</v>
      </c>
      <c r="M159" s="70">
        <v>0.16</v>
      </c>
    </row>
    <row r="160" spans="11:13">
      <c r="K160" s="76">
        <v>44070</v>
      </c>
      <c r="L160" s="70">
        <v>0.5</v>
      </c>
      <c r="M160" s="70">
        <v>0.16</v>
      </c>
    </row>
    <row r="161" spans="11:13">
      <c r="K161" s="76">
        <v>44071</v>
      </c>
      <c r="L161" s="70">
        <v>0.5</v>
      </c>
      <c r="M161" s="70">
        <v>0.16</v>
      </c>
    </row>
    <row r="162" spans="11:13">
      <c r="K162" s="76">
        <v>44072</v>
      </c>
      <c r="L162" s="70">
        <v>0.5</v>
      </c>
      <c r="M162" s="70">
        <v>0.16</v>
      </c>
    </row>
    <row r="163" spans="11:13">
      <c r="K163" s="76">
        <v>44073</v>
      </c>
      <c r="L163" s="70">
        <v>0.5</v>
      </c>
      <c r="M163" s="70">
        <v>0.16</v>
      </c>
    </row>
    <row r="164" spans="11:13">
      <c r="K164" s="76">
        <v>44074</v>
      </c>
      <c r="L164" s="70">
        <v>0.5</v>
      </c>
      <c r="M164" s="70">
        <v>0.16</v>
      </c>
    </row>
    <row r="165" spans="11:13">
      <c r="K165" s="76">
        <v>44075</v>
      </c>
      <c r="L165" s="70">
        <v>0.5</v>
      </c>
      <c r="M165" s="70">
        <v>0.16</v>
      </c>
    </row>
    <row r="166" spans="11:13">
      <c r="K166" s="76">
        <v>44076</v>
      </c>
      <c r="L166" s="70">
        <v>0.5</v>
      </c>
      <c r="M166" s="70">
        <v>0.16</v>
      </c>
    </row>
    <row r="167" spans="11:13">
      <c r="K167" s="76">
        <v>44077</v>
      </c>
      <c r="L167" s="70">
        <v>0.5</v>
      </c>
      <c r="M167" s="70">
        <v>0.16</v>
      </c>
    </row>
    <row r="168" spans="11:13">
      <c r="K168" s="76">
        <v>44078</v>
      </c>
      <c r="L168" s="70">
        <v>0.5</v>
      </c>
      <c r="M168" s="70">
        <v>0.16</v>
      </c>
    </row>
    <row r="169" spans="11:13">
      <c r="K169" s="76">
        <v>44079</v>
      </c>
      <c r="L169" s="70">
        <v>0.5</v>
      </c>
      <c r="M169" s="70">
        <v>0.16</v>
      </c>
    </row>
    <row r="170" spans="11:13">
      <c r="K170" s="76">
        <v>44080</v>
      </c>
      <c r="L170" s="70">
        <v>0.5</v>
      </c>
      <c r="M170" s="70">
        <v>0.16</v>
      </c>
    </row>
    <row r="171" spans="11:13">
      <c r="K171" s="76">
        <v>44081</v>
      </c>
      <c r="L171" s="70">
        <v>0.5</v>
      </c>
      <c r="M171" s="70">
        <v>0.16</v>
      </c>
    </row>
    <row r="172" spans="11:13">
      <c r="K172" s="76">
        <v>44082</v>
      </c>
      <c r="L172" s="70">
        <v>0.5</v>
      </c>
      <c r="M172" s="70">
        <v>0.16</v>
      </c>
    </row>
    <row r="173" spans="11:13">
      <c r="K173" s="76">
        <v>44083</v>
      </c>
      <c r="L173" s="70">
        <v>0.5</v>
      </c>
      <c r="M173" s="70">
        <v>0.16</v>
      </c>
    </row>
    <row r="174" spans="11:13">
      <c r="K174" s="76">
        <v>44084</v>
      </c>
      <c r="L174" s="70">
        <v>0.5</v>
      </c>
      <c r="M174" s="70">
        <v>0.16</v>
      </c>
    </row>
    <row r="175" spans="11:13">
      <c r="K175" s="76">
        <v>44085</v>
      </c>
      <c r="L175" s="70">
        <v>0.5</v>
      </c>
      <c r="M175" s="70">
        <v>0.16</v>
      </c>
    </row>
    <row r="176" spans="11:13">
      <c r="K176" s="76">
        <v>44086</v>
      </c>
      <c r="L176" s="70">
        <v>0.5</v>
      </c>
      <c r="M176" s="70">
        <v>0.16</v>
      </c>
    </row>
    <row r="177" spans="11:13">
      <c r="K177" s="76">
        <v>44087</v>
      </c>
      <c r="L177" s="70">
        <v>0.5</v>
      </c>
      <c r="M177" s="70">
        <v>0.16</v>
      </c>
    </row>
    <row r="178" spans="11:13">
      <c r="K178" s="76">
        <v>44088</v>
      </c>
      <c r="L178" s="70">
        <v>0.5</v>
      </c>
      <c r="M178" s="70">
        <v>0.16</v>
      </c>
    </row>
    <row r="179" spans="11:13">
      <c r="K179" s="76">
        <v>44089</v>
      </c>
      <c r="L179" s="70">
        <v>0.5</v>
      </c>
      <c r="M179" s="70">
        <v>0.16</v>
      </c>
    </row>
    <row r="180" spans="11:13">
      <c r="K180" s="76">
        <v>44090</v>
      </c>
      <c r="L180" s="70">
        <v>0.5</v>
      </c>
      <c r="M180" s="70">
        <v>0.16</v>
      </c>
    </row>
    <row r="181" spans="11:13">
      <c r="K181" s="76">
        <v>44091</v>
      </c>
      <c r="L181" s="70">
        <v>0.5</v>
      </c>
      <c r="M181" s="70">
        <v>0.16</v>
      </c>
    </row>
    <row r="182" spans="11:13">
      <c r="K182" s="76">
        <v>44092</v>
      </c>
      <c r="L182" s="70">
        <v>0.5</v>
      </c>
      <c r="M182" s="70">
        <v>0.16</v>
      </c>
    </row>
    <row r="183" spans="11:13">
      <c r="K183" s="76">
        <v>44093</v>
      </c>
      <c r="L183" s="70">
        <v>0.5</v>
      </c>
      <c r="M183" s="70">
        <v>0.16</v>
      </c>
    </row>
    <row r="184" spans="11:13">
      <c r="K184" s="76">
        <v>44094</v>
      </c>
      <c r="L184" s="70">
        <v>0.5</v>
      </c>
      <c r="M184" s="70">
        <v>0.16</v>
      </c>
    </row>
    <row r="185" spans="11:13">
      <c r="K185" s="76">
        <v>44095</v>
      </c>
      <c r="L185" s="70">
        <v>0.5</v>
      </c>
      <c r="M185" s="70">
        <v>0.16</v>
      </c>
    </row>
    <row r="186" spans="11:13">
      <c r="K186" s="76">
        <v>44096</v>
      </c>
      <c r="L186" s="70">
        <v>0.5</v>
      </c>
      <c r="M186" s="70">
        <v>0.16</v>
      </c>
    </row>
    <row r="187" spans="11:13">
      <c r="K187" s="76">
        <v>44097</v>
      </c>
      <c r="L187" s="70">
        <v>0.5</v>
      </c>
      <c r="M187" s="70">
        <v>0.16</v>
      </c>
    </row>
    <row r="188" spans="11:13">
      <c r="K188" s="76">
        <v>44098</v>
      </c>
      <c r="L188" s="70">
        <v>0.5</v>
      </c>
      <c r="M188" s="70">
        <v>0.16</v>
      </c>
    </row>
    <row r="189" spans="11:13">
      <c r="K189" s="76">
        <v>44099</v>
      </c>
      <c r="L189" s="70">
        <v>0.5</v>
      </c>
      <c r="M189" s="70">
        <v>0.16</v>
      </c>
    </row>
    <row r="190" spans="11:13">
      <c r="K190" s="76">
        <v>44100</v>
      </c>
      <c r="L190" s="70">
        <v>0.5</v>
      </c>
      <c r="M190" s="70">
        <v>0.16</v>
      </c>
    </row>
    <row r="191" spans="11:13">
      <c r="K191" s="76">
        <v>44101</v>
      </c>
      <c r="L191" s="70">
        <v>0.5</v>
      </c>
      <c r="M191" s="70">
        <v>0.16</v>
      </c>
    </row>
    <row r="192" spans="11:13">
      <c r="K192" s="76">
        <v>44102</v>
      </c>
      <c r="L192" s="70">
        <v>0.5</v>
      </c>
      <c r="M192" s="70">
        <v>0.16</v>
      </c>
    </row>
    <row r="193" spans="11:13">
      <c r="K193" s="76">
        <v>44103</v>
      </c>
      <c r="L193" s="70">
        <v>0.5</v>
      </c>
      <c r="M193" s="70">
        <v>0.16</v>
      </c>
    </row>
    <row r="194" spans="11:13">
      <c r="K194" s="76">
        <v>44104</v>
      </c>
      <c r="L194" s="70">
        <v>0.5</v>
      </c>
      <c r="M194" s="70">
        <v>0.16</v>
      </c>
    </row>
    <row r="195" spans="11:13">
      <c r="K195" s="76">
        <v>44105</v>
      </c>
      <c r="L195" s="70">
        <v>0.5</v>
      </c>
      <c r="M195" s="70">
        <v>0.16</v>
      </c>
    </row>
    <row r="196" spans="11:13">
      <c r="K196" s="76">
        <v>44106</v>
      </c>
      <c r="L196" s="70">
        <v>0.5</v>
      </c>
      <c r="M196" s="70">
        <v>0.16</v>
      </c>
    </row>
    <row r="197" spans="11:13">
      <c r="K197" s="76">
        <v>44107</v>
      </c>
      <c r="L197" s="70">
        <v>0.5</v>
      </c>
      <c r="M197" s="70">
        <v>0.16</v>
      </c>
    </row>
    <row r="198" spans="11:13">
      <c r="K198" s="76">
        <v>44108</v>
      </c>
      <c r="L198" s="70">
        <v>0.5</v>
      </c>
      <c r="M198" s="70">
        <v>0.16</v>
      </c>
    </row>
    <row r="199" spans="11:13">
      <c r="K199" s="76">
        <v>44109</v>
      </c>
      <c r="L199" s="70">
        <v>0.5</v>
      </c>
      <c r="M199" s="70">
        <v>0.16</v>
      </c>
    </row>
    <row r="200" spans="11:13">
      <c r="K200" s="76">
        <v>44110</v>
      </c>
      <c r="L200" s="70">
        <v>0.5</v>
      </c>
      <c r="M200" s="70">
        <v>0.16</v>
      </c>
    </row>
    <row r="201" spans="11:13">
      <c r="K201" s="76">
        <v>44111</v>
      </c>
      <c r="L201" s="70">
        <v>0.5</v>
      </c>
      <c r="M201" s="70">
        <v>0.16</v>
      </c>
    </row>
    <row r="202" spans="11:13">
      <c r="K202" s="76">
        <v>44112</v>
      </c>
      <c r="L202" s="70">
        <v>0.5</v>
      </c>
      <c r="M202" s="70">
        <v>0.16</v>
      </c>
    </row>
    <row r="203" spans="11:13">
      <c r="K203" s="76">
        <v>44113</v>
      </c>
      <c r="L203" s="70">
        <v>0.5</v>
      </c>
      <c r="M203" s="70">
        <v>0.16</v>
      </c>
    </row>
    <row r="204" spans="11:13">
      <c r="K204" s="76">
        <v>44114</v>
      </c>
      <c r="L204" s="70">
        <v>0.5</v>
      </c>
      <c r="M204" s="70">
        <v>0.16</v>
      </c>
    </row>
    <row r="205" spans="11:13">
      <c r="K205" s="76">
        <v>44115</v>
      </c>
      <c r="L205" s="70">
        <v>0.5</v>
      </c>
      <c r="M205" s="70">
        <v>0.16</v>
      </c>
    </row>
    <row r="206" spans="11:13">
      <c r="K206" s="76">
        <v>44116</v>
      </c>
      <c r="L206" s="70">
        <v>0.5</v>
      </c>
      <c r="M206" s="70">
        <v>0.16</v>
      </c>
    </row>
    <row r="207" spans="11:13">
      <c r="K207" s="76">
        <v>44117</v>
      </c>
      <c r="L207" s="70">
        <v>0.5</v>
      </c>
      <c r="M207" s="70">
        <v>0.16</v>
      </c>
    </row>
    <row r="208" spans="11:13">
      <c r="K208" s="76">
        <v>44118</v>
      </c>
      <c r="L208" s="70">
        <v>0.5</v>
      </c>
      <c r="M208" s="70">
        <v>0.16</v>
      </c>
    </row>
    <row r="209" spans="11:13">
      <c r="K209" s="76">
        <v>44119</v>
      </c>
      <c r="L209" s="70">
        <v>0.5</v>
      </c>
      <c r="M209" s="70">
        <v>0.16</v>
      </c>
    </row>
    <row r="210" spans="11:13">
      <c r="K210" s="76">
        <v>44120</v>
      </c>
      <c r="L210" s="70">
        <v>0.5</v>
      </c>
      <c r="M210" s="70">
        <v>0.16</v>
      </c>
    </row>
    <row r="211" spans="11:13">
      <c r="K211" s="76">
        <v>44121</v>
      </c>
      <c r="L211" s="70">
        <v>0.5</v>
      </c>
      <c r="M211" s="70">
        <v>0.16</v>
      </c>
    </row>
    <row r="212" spans="11:13">
      <c r="K212" s="76">
        <v>44122</v>
      </c>
      <c r="L212" s="70">
        <v>0.5</v>
      </c>
      <c r="M212" s="70">
        <v>0.16</v>
      </c>
    </row>
    <row r="213" spans="11:13">
      <c r="K213" s="76">
        <v>44123</v>
      </c>
      <c r="L213" s="70">
        <v>0.5</v>
      </c>
      <c r="M213" s="70">
        <v>0.16</v>
      </c>
    </row>
    <row r="214" spans="11:13">
      <c r="K214" s="76">
        <v>44124</v>
      </c>
      <c r="L214" s="70">
        <v>0.5</v>
      </c>
      <c r="M214" s="70">
        <v>0.16</v>
      </c>
    </row>
    <row r="215" spans="11:13">
      <c r="K215" s="76">
        <v>44125</v>
      </c>
      <c r="L215" s="70">
        <v>0.5</v>
      </c>
      <c r="M215" s="70">
        <v>0.16</v>
      </c>
    </row>
    <row r="216" spans="11:13">
      <c r="K216" s="76">
        <v>44126</v>
      </c>
      <c r="L216" s="70">
        <v>0.5</v>
      </c>
      <c r="M216" s="70">
        <v>0.16</v>
      </c>
    </row>
    <row r="217" spans="11:13">
      <c r="K217" s="76">
        <v>44127</v>
      </c>
      <c r="L217" s="70">
        <v>0.5</v>
      </c>
      <c r="M217" s="70">
        <v>0.16</v>
      </c>
    </row>
    <row r="218" spans="11:13">
      <c r="K218" s="76">
        <v>44128</v>
      </c>
      <c r="L218" s="70">
        <v>0.5</v>
      </c>
      <c r="M218" s="70">
        <v>0.16</v>
      </c>
    </row>
    <row r="219" spans="11:13">
      <c r="K219" s="76">
        <v>44129</v>
      </c>
      <c r="L219" s="70">
        <v>0.5</v>
      </c>
      <c r="M219" s="70">
        <v>0.16</v>
      </c>
    </row>
    <row r="220" spans="11:13">
      <c r="K220" s="76">
        <v>44130</v>
      </c>
      <c r="L220" s="70">
        <v>0.5</v>
      </c>
      <c r="M220" s="70">
        <v>0.16</v>
      </c>
    </row>
    <row r="221" spans="11:13">
      <c r="K221" s="76">
        <v>44131</v>
      </c>
      <c r="L221" s="70">
        <v>0.5</v>
      </c>
      <c r="M221" s="70">
        <v>0.16</v>
      </c>
    </row>
    <row r="222" spans="11:13">
      <c r="K222" s="76">
        <v>44132</v>
      </c>
      <c r="L222" s="70">
        <v>0.5</v>
      </c>
      <c r="M222" s="70">
        <v>0.16</v>
      </c>
    </row>
    <row r="223" spans="11:13">
      <c r="K223" s="76">
        <v>44133</v>
      </c>
      <c r="L223" s="70">
        <v>0.5</v>
      </c>
      <c r="M223" s="70">
        <v>0.16</v>
      </c>
    </row>
    <row r="224" spans="11:13">
      <c r="K224" s="76">
        <v>44134</v>
      </c>
      <c r="L224" s="70">
        <v>0.5</v>
      </c>
      <c r="M224" s="70">
        <v>0.16</v>
      </c>
    </row>
    <row r="225" spans="11:13">
      <c r="K225" s="76">
        <v>44135</v>
      </c>
      <c r="L225" s="70">
        <v>0.5</v>
      </c>
      <c r="M225" s="70">
        <v>0.16</v>
      </c>
    </row>
    <row r="226" spans="11:13">
      <c r="K226" s="76">
        <v>44136</v>
      </c>
      <c r="L226" s="70">
        <v>0.5</v>
      </c>
      <c r="M226" s="70">
        <v>0.16</v>
      </c>
    </row>
    <row r="227" spans="11:13">
      <c r="K227" s="76">
        <v>44137</v>
      </c>
      <c r="L227" s="70">
        <v>0.5</v>
      </c>
      <c r="M227" s="70">
        <v>0.16</v>
      </c>
    </row>
    <row r="228" spans="11:13">
      <c r="K228" s="76">
        <v>44138</v>
      </c>
      <c r="L228" s="70">
        <v>0.5</v>
      </c>
      <c r="M228" s="70">
        <v>0.16</v>
      </c>
    </row>
    <row r="229" spans="11:13">
      <c r="K229" s="76">
        <v>44139</v>
      </c>
      <c r="L229" s="70">
        <v>0.5</v>
      </c>
      <c r="M229" s="70">
        <v>0.16</v>
      </c>
    </row>
    <row r="230" spans="11:13">
      <c r="K230" s="76">
        <v>44140</v>
      </c>
      <c r="L230" s="70">
        <v>0.5</v>
      </c>
      <c r="M230" s="70">
        <v>0.16</v>
      </c>
    </row>
    <row r="231" spans="11:13">
      <c r="K231" s="76">
        <v>44141</v>
      </c>
      <c r="L231" s="70">
        <v>0.5</v>
      </c>
      <c r="M231" s="70">
        <v>0.16</v>
      </c>
    </row>
    <row r="232" spans="11:13">
      <c r="K232" s="76">
        <v>44142</v>
      </c>
      <c r="L232" s="70">
        <v>0.5</v>
      </c>
      <c r="M232" s="70">
        <v>0.16</v>
      </c>
    </row>
    <row r="233" spans="11:13">
      <c r="K233" s="76">
        <v>44143</v>
      </c>
      <c r="L233" s="70">
        <v>0.5</v>
      </c>
      <c r="M233" s="70">
        <v>0.16</v>
      </c>
    </row>
    <row r="234" spans="11:13">
      <c r="K234" s="76">
        <v>44144</v>
      </c>
      <c r="L234" s="70">
        <v>0.5</v>
      </c>
      <c r="M234" s="70">
        <v>0.16</v>
      </c>
    </row>
    <row r="235" spans="11:13">
      <c r="K235" s="76">
        <v>44145</v>
      </c>
      <c r="L235" s="70">
        <v>0.5</v>
      </c>
      <c r="M235" s="70">
        <v>0.16</v>
      </c>
    </row>
    <row r="236" spans="11:13">
      <c r="K236" s="76">
        <v>44146</v>
      </c>
      <c r="L236" s="70">
        <v>0.5</v>
      </c>
      <c r="M236" s="70">
        <v>0.16</v>
      </c>
    </row>
    <row r="237" spans="11:13">
      <c r="K237" s="76">
        <v>44147</v>
      </c>
      <c r="L237" s="70">
        <v>0.5</v>
      </c>
      <c r="M237" s="70">
        <v>0.16</v>
      </c>
    </row>
    <row r="238" spans="11:13">
      <c r="K238" s="76">
        <v>44148</v>
      </c>
      <c r="L238" s="70">
        <v>0.5</v>
      </c>
      <c r="M238" s="70">
        <v>0.16</v>
      </c>
    </row>
    <row r="239" spans="11:13">
      <c r="K239" s="76">
        <v>44149</v>
      </c>
      <c r="L239" s="70">
        <v>0.5</v>
      </c>
      <c r="M239" s="70">
        <v>0.16</v>
      </c>
    </row>
    <row r="240" spans="11:13">
      <c r="K240" s="76">
        <v>44150</v>
      </c>
      <c r="L240" s="70">
        <v>0.5</v>
      </c>
      <c r="M240" s="70">
        <v>0.16</v>
      </c>
    </row>
    <row r="241" spans="11:13">
      <c r="K241" s="76">
        <v>44151</v>
      </c>
      <c r="L241" s="70">
        <v>0.5</v>
      </c>
      <c r="M241" s="70">
        <v>0.16</v>
      </c>
    </row>
    <row r="242" spans="11:13">
      <c r="K242" s="76">
        <v>44152</v>
      </c>
      <c r="L242" s="70">
        <v>0.5</v>
      </c>
      <c r="M242" s="70">
        <v>0.16</v>
      </c>
    </row>
    <row r="243" spans="11:13">
      <c r="K243" s="76">
        <v>44153</v>
      </c>
      <c r="L243" s="70">
        <v>0.5</v>
      </c>
      <c r="M243" s="70">
        <v>0.16</v>
      </c>
    </row>
    <row r="244" spans="11:13">
      <c r="K244" s="76">
        <v>44154</v>
      </c>
      <c r="L244" s="70">
        <v>0.5</v>
      </c>
      <c r="M244" s="70">
        <v>0.16</v>
      </c>
    </row>
    <row r="245" spans="11:13">
      <c r="K245" s="76">
        <v>44155</v>
      </c>
      <c r="L245" s="70">
        <v>0.5</v>
      </c>
      <c r="M245" s="70">
        <v>0.16</v>
      </c>
    </row>
    <row r="246" spans="11:13">
      <c r="K246" s="76">
        <v>44156</v>
      </c>
      <c r="L246" s="70">
        <v>0.5</v>
      </c>
      <c r="M246" s="70">
        <v>0.16</v>
      </c>
    </row>
    <row r="247" spans="11:13">
      <c r="K247" s="76">
        <v>44157</v>
      </c>
      <c r="L247" s="70">
        <v>0.5</v>
      </c>
      <c r="M247" s="70">
        <v>0.16</v>
      </c>
    </row>
    <row r="248" spans="11:13">
      <c r="K248" s="76">
        <v>44158</v>
      </c>
      <c r="L248" s="70">
        <v>0.5</v>
      </c>
      <c r="M248" s="70">
        <v>0.16</v>
      </c>
    </row>
    <row r="249" spans="11:13">
      <c r="K249" s="76">
        <v>44159</v>
      </c>
      <c r="L249" s="70">
        <v>0.5</v>
      </c>
      <c r="M249" s="70">
        <v>0.16</v>
      </c>
    </row>
    <row r="250" spans="11:13">
      <c r="K250" s="76">
        <v>44160</v>
      </c>
      <c r="L250" s="70">
        <v>0.5</v>
      </c>
      <c r="M250" s="70">
        <v>0.16</v>
      </c>
    </row>
    <row r="251" spans="11:13">
      <c r="K251" s="76">
        <v>44161</v>
      </c>
      <c r="L251" s="70">
        <v>0.5</v>
      </c>
      <c r="M251" s="70">
        <v>0.16</v>
      </c>
    </row>
    <row r="252" spans="11:13">
      <c r="K252" s="76">
        <v>44162</v>
      </c>
      <c r="L252" s="70">
        <v>0.5</v>
      </c>
      <c r="M252" s="70">
        <v>0.16</v>
      </c>
    </row>
    <row r="253" spans="11:13">
      <c r="K253" s="76">
        <v>44163</v>
      </c>
      <c r="L253" s="70">
        <v>0.5</v>
      </c>
      <c r="M253" s="70">
        <v>0.16</v>
      </c>
    </row>
    <row r="254" spans="11:13">
      <c r="K254" s="76">
        <v>44164</v>
      </c>
      <c r="L254" s="70">
        <v>0.5</v>
      </c>
      <c r="M254" s="70">
        <v>0.16</v>
      </c>
    </row>
    <row r="255" spans="11:13">
      <c r="K255" s="76">
        <v>44165</v>
      </c>
      <c r="L255" s="70">
        <v>0.5</v>
      </c>
      <c r="M255" s="70">
        <v>0.16</v>
      </c>
    </row>
    <row r="256" spans="11:13">
      <c r="K256" s="76">
        <v>44166</v>
      </c>
      <c r="L256" s="70">
        <v>0.5</v>
      </c>
      <c r="M256" s="70">
        <v>0.16</v>
      </c>
    </row>
    <row r="257" spans="11:13">
      <c r="K257" s="76">
        <v>44167</v>
      </c>
      <c r="L257" s="70">
        <v>0.5</v>
      </c>
      <c r="M257" s="70">
        <v>0.16</v>
      </c>
    </row>
    <row r="258" spans="11:13">
      <c r="K258" s="76">
        <v>44168</v>
      </c>
      <c r="L258" s="70">
        <v>0.5</v>
      </c>
      <c r="M258" s="70">
        <v>0.16</v>
      </c>
    </row>
    <row r="259" spans="11:13">
      <c r="K259" s="76">
        <v>44169</v>
      </c>
      <c r="L259" s="70">
        <v>0.5</v>
      </c>
      <c r="M259" s="70">
        <v>0.16</v>
      </c>
    </row>
    <row r="260" spans="11:13">
      <c r="K260" s="76">
        <v>44170</v>
      </c>
      <c r="L260" s="70">
        <v>0.5</v>
      </c>
      <c r="M260" s="70">
        <v>0.16</v>
      </c>
    </row>
    <row r="261" spans="11:13">
      <c r="K261" s="76">
        <v>44171</v>
      </c>
      <c r="L261" s="70">
        <v>0.5</v>
      </c>
      <c r="M261" s="70">
        <v>0.16</v>
      </c>
    </row>
    <row r="262" spans="11:13">
      <c r="K262" s="76">
        <v>44172</v>
      </c>
      <c r="L262" s="70">
        <v>0.5</v>
      </c>
      <c r="M262" s="70">
        <v>0.16</v>
      </c>
    </row>
    <row r="263" spans="11:13">
      <c r="K263" s="76">
        <v>44173</v>
      </c>
      <c r="L263" s="70">
        <v>0.5</v>
      </c>
      <c r="M263" s="70">
        <v>0.16</v>
      </c>
    </row>
    <row r="264" spans="11:13">
      <c r="K264" s="76">
        <v>44174</v>
      </c>
      <c r="L264" s="70">
        <v>0.5</v>
      </c>
      <c r="M264" s="70">
        <v>0.16</v>
      </c>
    </row>
    <row r="265" spans="11:13">
      <c r="K265" s="76">
        <v>44175</v>
      </c>
      <c r="L265" s="70">
        <v>0.5</v>
      </c>
      <c r="M265" s="70">
        <v>0.16</v>
      </c>
    </row>
    <row r="266" spans="11:13">
      <c r="K266" s="76">
        <v>44176</v>
      </c>
      <c r="L266" s="70">
        <v>0.5</v>
      </c>
      <c r="M266" s="70">
        <v>0.16</v>
      </c>
    </row>
    <row r="267" spans="11:13">
      <c r="K267" s="76">
        <v>44177</v>
      </c>
      <c r="L267" s="70">
        <v>0.5</v>
      </c>
      <c r="M267" s="70">
        <v>0.16</v>
      </c>
    </row>
    <row r="268" spans="11:13">
      <c r="K268" s="76">
        <v>44178</v>
      </c>
      <c r="L268" s="70">
        <v>0.5</v>
      </c>
      <c r="M268" s="70">
        <v>0.16</v>
      </c>
    </row>
    <row r="269" spans="11:13">
      <c r="K269" s="76">
        <v>44179</v>
      </c>
      <c r="L269" s="70">
        <v>0.5</v>
      </c>
      <c r="M269" s="70">
        <v>0.16</v>
      </c>
    </row>
    <row r="270" spans="11:13">
      <c r="K270" s="76">
        <v>44180</v>
      </c>
      <c r="L270" s="70">
        <v>0.5</v>
      </c>
      <c r="M270" s="70">
        <v>0.16</v>
      </c>
    </row>
    <row r="271" spans="11:13">
      <c r="K271" s="76">
        <v>44181</v>
      </c>
      <c r="L271" s="70">
        <v>0.5</v>
      </c>
      <c r="M271" s="70">
        <v>0.16</v>
      </c>
    </row>
    <row r="272" spans="11:13">
      <c r="K272" s="76">
        <v>44182</v>
      </c>
      <c r="L272" s="70">
        <v>0.5</v>
      </c>
      <c r="M272" s="70">
        <v>0.16</v>
      </c>
    </row>
    <row r="273" spans="11:13">
      <c r="K273" s="76">
        <v>44183</v>
      </c>
      <c r="L273" s="70">
        <v>0.5</v>
      </c>
      <c r="M273" s="70">
        <v>0.16</v>
      </c>
    </row>
    <row r="274" spans="11:13">
      <c r="K274" s="76">
        <v>44184</v>
      </c>
      <c r="L274" s="70">
        <v>0.5</v>
      </c>
      <c r="M274" s="70">
        <v>0.16</v>
      </c>
    </row>
    <row r="275" spans="11:13">
      <c r="K275" s="76">
        <v>44185</v>
      </c>
      <c r="L275" s="70">
        <v>0.5</v>
      </c>
      <c r="M275" s="70">
        <v>0.16</v>
      </c>
    </row>
    <row r="276" spans="11:13">
      <c r="K276" s="76">
        <v>44186</v>
      </c>
      <c r="L276" s="70">
        <v>0.5</v>
      </c>
      <c r="M276" s="70">
        <v>0.16</v>
      </c>
    </row>
    <row r="277" spans="11:13">
      <c r="K277" s="76">
        <v>44187</v>
      </c>
      <c r="L277" s="70">
        <v>0.5</v>
      </c>
      <c r="M277" s="70">
        <v>0.16</v>
      </c>
    </row>
    <row r="278" spans="11:13">
      <c r="K278" s="76">
        <v>44188</v>
      </c>
      <c r="L278" s="70">
        <v>0.5</v>
      </c>
      <c r="M278" s="70">
        <v>0.16</v>
      </c>
    </row>
    <row r="279" spans="11:13">
      <c r="K279" s="76">
        <v>44189</v>
      </c>
      <c r="L279" s="70">
        <v>0.5</v>
      </c>
      <c r="M279" s="70">
        <v>0.16</v>
      </c>
    </row>
    <row r="280" spans="11:13">
      <c r="K280" s="76">
        <v>44190</v>
      </c>
      <c r="L280" s="70">
        <v>0.5</v>
      </c>
      <c r="M280" s="70">
        <v>0.16</v>
      </c>
    </row>
    <row r="281" spans="11:13">
      <c r="K281" s="76">
        <v>44191</v>
      </c>
      <c r="L281" s="70">
        <v>0.5</v>
      </c>
      <c r="M281" s="70">
        <v>0.16</v>
      </c>
    </row>
    <row r="282" spans="11:13">
      <c r="K282" s="76">
        <v>44192</v>
      </c>
      <c r="L282" s="70">
        <v>0.5</v>
      </c>
      <c r="M282" s="70">
        <v>0.16</v>
      </c>
    </row>
    <row r="283" spans="11:13">
      <c r="K283" s="76">
        <v>44193</v>
      </c>
      <c r="L283" s="70">
        <v>0.5</v>
      </c>
      <c r="M283" s="70">
        <v>0.16</v>
      </c>
    </row>
    <row r="284" spans="11:13">
      <c r="K284" s="76">
        <v>44194</v>
      </c>
      <c r="L284" s="70">
        <v>0.5</v>
      </c>
      <c r="M284" s="70">
        <v>0.16</v>
      </c>
    </row>
    <row r="285" spans="11:13">
      <c r="K285" s="76">
        <v>44195</v>
      </c>
      <c r="L285" s="70">
        <v>0.5</v>
      </c>
      <c r="M285" s="70">
        <v>0.16</v>
      </c>
    </row>
    <row r="286" spans="11:13">
      <c r="K286" s="76">
        <v>44196</v>
      </c>
      <c r="L286" s="70">
        <v>0.5</v>
      </c>
      <c r="M286" s="70">
        <v>0.16</v>
      </c>
    </row>
    <row r="287" spans="11:13">
      <c r="K287" s="76">
        <v>44197</v>
      </c>
      <c r="L287" s="70">
        <v>0.5</v>
      </c>
      <c r="M287" s="70">
        <v>0.16</v>
      </c>
    </row>
    <row r="288" spans="11:13">
      <c r="K288" s="76">
        <v>44198</v>
      </c>
      <c r="L288" s="70">
        <v>0.5</v>
      </c>
      <c r="M288" s="70">
        <v>0.16</v>
      </c>
    </row>
    <row r="289" spans="11:13">
      <c r="K289" s="76">
        <v>44199</v>
      </c>
      <c r="L289" s="70">
        <v>0.5</v>
      </c>
      <c r="M289" s="70">
        <v>0.16</v>
      </c>
    </row>
    <row r="290" spans="11:13">
      <c r="K290" s="76">
        <v>44200</v>
      </c>
      <c r="L290" s="70">
        <v>0.5</v>
      </c>
      <c r="M290" s="70">
        <v>0.16</v>
      </c>
    </row>
    <row r="291" spans="11:13">
      <c r="K291" s="76">
        <v>44201</v>
      </c>
      <c r="L291" s="70">
        <v>0.5</v>
      </c>
      <c r="M291" s="70">
        <v>0.16</v>
      </c>
    </row>
    <row r="292" spans="11:13">
      <c r="K292" s="76">
        <v>44202</v>
      </c>
      <c r="L292" s="70">
        <v>0.5</v>
      </c>
      <c r="M292" s="70">
        <v>0.16</v>
      </c>
    </row>
    <row r="293" spans="11:13">
      <c r="K293" s="76">
        <v>44203</v>
      </c>
      <c r="L293" s="70">
        <v>0.5</v>
      </c>
      <c r="M293" s="70">
        <v>0.16</v>
      </c>
    </row>
    <row r="294" spans="11:13">
      <c r="K294" s="76">
        <v>44204</v>
      </c>
      <c r="L294" s="70">
        <v>0.5</v>
      </c>
      <c r="M294" s="70">
        <v>0.16</v>
      </c>
    </row>
    <row r="295" spans="11:13">
      <c r="K295" s="76">
        <v>44205</v>
      </c>
      <c r="L295" s="70">
        <v>0.5</v>
      </c>
      <c r="M295" s="70">
        <v>0.16</v>
      </c>
    </row>
    <row r="296" spans="11:13">
      <c r="K296" s="76">
        <v>44206</v>
      </c>
      <c r="L296" s="70">
        <v>0.5</v>
      </c>
      <c r="M296" s="70">
        <v>0.16</v>
      </c>
    </row>
    <row r="297" spans="11:13">
      <c r="K297" s="76">
        <v>44207</v>
      </c>
      <c r="L297" s="70">
        <v>0.5</v>
      </c>
      <c r="M297" s="70">
        <v>0.16</v>
      </c>
    </row>
    <row r="298" spans="11:13">
      <c r="K298" s="76">
        <v>44208</v>
      </c>
      <c r="L298" s="70">
        <v>0.5</v>
      </c>
      <c r="M298" s="70">
        <v>0.16</v>
      </c>
    </row>
    <row r="299" spans="11:13">
      <c r="K299" s="76">
        <v>44209</v>
      </c>
      <c r="L299" s="70">
        <v>0.5</v>
      </c>
      <c r="M299" s="70">
        <v>0.16</v>
      </c>
    </row>
    <row r="300" spans="11:13">
      <c r="K300" s="76">
        <v>44210</v>
      </c>
      <c r="L300" s="70">
        <v>0.5</v>
      </c>
      <c r="M300" s="70">
        <v>0.16</v>
      </c>
    </row>
    <row r="301" spans="11:13">
      <c r="K301" s="76">
        <v>44211</v>
      </c>
      <c r="L301" s="70">
        <v>0.5</v>
      </c>
      <c r="M301" s="70">
        <v>0.16</v>
      </c>
    </row>
    <row r="302" spans="11:13">
      <c r="K302" s="76">
        <v>44212</v>
      </c>
      <c r="L302" s="70">
        <v>0.5</v>
      </c>
      <c r="M302" s="70">
        <v>0.16</v>
      </c>
    </row>
    <row r="303" spans="11:13">
      <c r="K303" s="76">
        <v>44213</v>
      </c>
      <c r="L303" s="70">
        <v>0.5</v>
      </c>
      <c r="M303" s="70">
        <v>0.16</v>
      </c>
    </row>
    <row r="304" spans="11:13">
      <c r="K304" s="76">
        <v>44214</v>
      </c>
      <c r="L304" s="70">
        <v>0.5</v>
      </c>
      <c r="M304" s="70">
        <v>0.16</v>
      </c>
    </row>
    <row r="305" spans="11:13">
      <c r="K305" s="76">
        <v>44215</v>
      </c>
      <c r="L305" s="70">
        <v>0.5</v>
      </c>
      <c r="M305" s="70">
        <v>0.16</v>
      </c>
    </row>
    <row r="306" spans="11:13">
      <c r="K306" s="76">
        <v>44216</v>
      </c>
      <c r="L306" s="70">
        <v>0.5</v>
      </c>
      <c r="M306" s="70">
        <v>0.16</v>
      </c>
    </row>
    <row r="307" spans="11:13">
      <c r="K307" s="76">
        <v>44217</v>
      </c>
      <c r="L307" s="70">
        <v>0.5</v>
      </c>
      <c r="M307" s="70">
        <v>0.16</v>
      </c>
    </row>
    <row r="308" spans="11:13">
      <c r="K308" s="76">
        <v>44218</v>
      </c>
      <c r="L308" s="70">
        <v>0.5</v>
      </c>
      <c r="M308" s="70">
        <v>0.16</v>
      </c>
    </row>
    <row r="309" spans="11:13">
      <c r="K309" s="76">
        <v>44219</v>
      </c>
      <c r="L309" s="70">
        <v>0.5</v>
      </c>
      <c r="M309" s="70">
        <v>0.16</v>
      </c>
    </row>
    <row r="310" spans="11:13">
      <c r="K310" s="76">
        <v>44220</v>
      </c>
      <c r="L310" s="70">
        <v>0.5</v>
      </c>
      <c r="M310" s="70">
        <v>0.16</v>
      </c>
    </row>
    <row r="311" spans="11:13">
      <c r="K311" s="76">
        <v>44221</v>
      </c>
      <c r="L311" s="70">
        <v>0.5</v>
      </c>
      <c r="M311" s="70">
        <v>0.16</v>
      </c>
    </row>
    <row r="312" spans="11:13">
      <c r="K312" s="76">
        <v>44222</v>
      </c>
      <c r="L312" s="70">
        <v>0.5</v>
      </c>
      <c r="M312" s="70">
        <v>0.16</v>
      </c>
    </row>
    <row r="313" spans="11:13">
      <c r="K313" s="76">
        <v>44223</v>
      </c>
      <c r="L313" s="70">
        <v>0.5</v>
      </c>
      <c r="M313" s="70">
        <v>0.16</v>
      </c>
    </row>
    <row r="314" spans="11:13">
      <c r="K314" s="76">
        <v>44224</v>
      </c>
      <c r="L314" s="70">
        <v>0.5</v>
      </c>
      <c r="M314" s="70">
        <v>0.16</v>
      </c>
    </row>
    <row r="315" spans="11:13">
      <c r="K315" s="76">
        <v>44225</v>
      </c>
      <c r="L315" s="70">
        <v>0.5</v>
      </c>
      <c r="M315" s="70">
        <v>0.16</v>
      </c>
    </row>
    <row r="316" spans="11:13">
      <c r="K316" s="76">
        <v>44226</v>
      </c>
      <c r="L316" s="70">
        <v>0.5</v>
      </c>
      <c r="M316" s="70">
        <v>0.16</v>
      </c>
    </row>
    <row r="317" spans="11:13">
      <c r="K317" s="76">
        <v>44227</v>
      </c>
      <c r="L317" s="70">
        <v>0.5</v>
      </c>
      <c r="M317" s="70">
        <v>0.16</v>
      </c>
    </row>
    <row r="318" spans="11:13">
      <c r="K318" s="76">
        <v>44228</v>
      </c>
      <c r="L318" s="70">
        <v>0.5</v>
      </c>
      <c r="M318" s="70">
        <v>0.16</v>
      </c>
    </row>
    <row r="319" spans="11:13">
      <c r="K319" s="76">
        <v>44229</v>
      </c>
      <c r="L319" s="70">
        <v>0.5</v>
      </c>
      <c r="M319" s="70">
        <v>0.16</v>
      </c>
    </row>
    <row r="320" spans="11:13">
      <c r="K320" s="76">
        <v>44230</v>
      </c>
      <c r="L320" s="70">
        <v>0.5</v>
      </c>
      <c r="M320" s="70">
        <v>0.16</v>
      </c>
    </row>
    <row r="321" spans="11:13">
      <c r="K321" s="76">
        <v>44231</v>
      </c>
      <c r="L321" s="70">
        <v>0.5</v>
      </c>
      <c r="M321" s="70">
        <v>0.16</v>
      </c>
    </row>
    <row r="322" spans="11:13">
      <c r="K322" s="76">
        <v>44232</v>
      </c>
      <c r="L322" s="70">
        <v>0.5</v>
      </c>
      <c r="M322" s="70">
        <v>0.16</v>
      </c>
    </row>
    <row r="323" spans="11:13">
      <c r="K323" s="76">
        <v>44233</v>
      </c>
      <c r="L323" s="70">
        <v>0.5</v>
      </c>
      <c r="M323" s="70">
        <v>0.16</v>
      </c>
    </row>
    <row r="324" spans="11:13">
      <c r="K324" s="76">
        <v>44234</v>
      </c>
      <c r="L324" s="70">
        <v>0.5</v>
      </c>
      <c r="M324" s="70">
        <v>0.16</v>
      </c>
    </row>
    <row r="325" spans="11:13">
      <c r="K325" s="76">
        <v>44235</v>
      </c>
      <c r="L325" s="70">
        <v>0.5</v>
      </c>
      <c r="M325" s="70">
        <v>0.16</v>
      </c>
    </row>
    <row r="326" spans="11:13">
      <c r="K326" s="76">
        <v>44236</v>
      </c>
      <c r="L326" s="70">
        <v>0.5</v>
      </c>
      <c r="M326" s="70">
        <v>0.16</v>
      </c>
    </row>
    <row r="327" spans="11:13">
      <c r="K327" s="76">
        <v>44237</v>
      </c>
      <c r="L327" s="70">
        <v>0.5</v>
      </c>
      <c r="M327" s="70">
        <v>0.16</v>
      </c>
    </row>
    <row r="328" spans="11:13">
      <c r="K328" s="76">
        <v>44238</v>
      </c>
      <c r="L328" s="70">
        <v>0.5</v>
      </c>
      <c r="M328" s="70">
        <v>0.16</v>
      </c>
    </row>
    <row r="329" spans="11:13">
      <c r="K329" s="76">
        <v>44239</v>
      </c>
      <c r="L329" s="70">
        <v>0.5</v>
      </c>
      <c r="M329" s="70">
        <v>0.16</v>
      </c>
    </row>
    <row r="330" spans="11:13">
      <c r="K330" s="76">
        <v>44240</v>
      </c>
      <c r="L330" s="70">
        <v>0.5</v>
      </c>
      <c r="M330" s="70">
        <v>0.16</v>
      </c>
    </row>
    <row r="331" spans="11:13">
      <c r="K331" s="76">
        <v>44241</v>
      </c>
      <c r="L331" s="70">
        <v>0.5</v>
      </c>
      <c r="M331" s="70">
        <v>0.16</v>
      </c>
    </row>
    <row r="332" spans="11:13">
      <c r="K332" s="76">
        <v>44242</v>
      </c>
      <c r="L332" s="70">
        <v>0.5</v>
      </c>
      <c r="M332" s="70">
        <v>0.16</v>
      </c>
    </row>
    <row r="333" spans="11:13">
      <c r="K333" s="76">
        <v>44243</v>
      </c>
      <c r="L333" s="70">
        <v>0.5</v>
      </c>
      <c r="M333" s="70">
        <v>0.16</v>
      </c>
    </row>
    <row r="334" spans="11:13">
      <c r="K334" s="76">
        <v>44244</v>
      </c>
      <c r="L334" s="70">
        <v>0.5</v>
      </c>
      <c r="M334" s="70">
        <v>0.16</v>
      </c>
    </row>
    <row r="335" spans="11:13">
      <c r="K335" s="76">
        <v>44245</v>
      </c>
      <c r="L335" s="70">
        <v>0.5</v>
      </c>
      <c r="M335" s="70">
        <v>0.16</v>
      </c>
    </row>
    <row r="336" spans="11:13">
      <c r="K336" s="76">
        <v>44246</v>
      </c>
      <c r="L336" s="70">
        <v>0.5</v>
      </c>
      <c r="M336" s="70">
        <v>0.16</v>
      </c>
    </row>
    <row r="337" spans="11:13">
      <c r="K337" s="76">
        <v>44247</v>
      </c>
      <c r="L337" s="70">
        <v>0.5</v>
      </c>
      <c r="M337" s="70">
        <v>0.16</v>
      </c>
    </row>
    <row r="338" spans="11:13">
      <c r="K338" s="76">
        <v>44248</v>
      </c>
      <c r="L338" s="70">
        <v>0.5</v>
      </c>
      <c r="M338" s="70">
        <v>0.16</v>
      </c>
    </row>
    <row r="339" spans="11:13">
      <c r="K339" s="76">
        <v>44249</v>
      </c>
      <c r="L339" s="70">
        <v>0.5</v>
      </c>
      <c r="M339" s="70">
        <v>0.16</v>
      </c>
    </row>
    <row r="340" spans="11:13">
      <c r="K340" s="76">
        <v>44250</v>
      </c>
      <c r="L340" s="70">
        <v>0.5</v>
      </c>
      <c r="M340" s="70">
        <v>0.16</v>
      </c>
    </row>
    <row r="341" spans="11:13">
      <c r="K341" s="76">
        <v>44251</v>
      </c>
      <c r="L341" s="70">
        <v>0.5</v>
      </c>
      <c r="M341" s="70">
        <v>0.16</v>
      </c>
    </row>
    <row r="342" spans="11:13">
      <c r="K342" s="76">
        <v>44252</v>
      </c>
      <c r="L342" s="70">
        <v>0.5</v>
      </c>
      <c r="M342" s="70">
        <v>0.16</v>
      </c>
    </row>
    <row r="343" spans="11:13">
      <c r="K343" s="76">
        <v>44253</v>
      </c>
      <c r="L343" s="70">
        <v>0.5</v>
      </c>
      <c r="M343" s="70">
        <v>0.16</v>
      </c>
    </row>
    <row r="344" spans="11:13">
      <c r="K344" s="76">
        <v>44254</v>
      </c>
      <c r="L344" s="70">
        <v>0.5</v>
      </c>
      <c r="M344" s="70">
        <v>0.16</v>
      </c>
    </row>
    <row r="345" spans="11:13">
      <c r="K345" s="76">
        <v>44255</v>
      </c>
      <c r="L345" s="70">
        <v>0.5</v>
      </c>
      <c r="M345" s="70">
        <v>0.16</v>
      </c>
    </row>
    <row r="346" spans="11:13">
      <c r="K346" s="76">
        <v>44256</v>
      </c>
      <c r="L346" s="70">
        <v>0.5</v>
      </c>
      <c r="M346" s="70">
        <v>0.16</v>
      </c>
    </row>
    <row r="347" spans="11:13">
      <c r="K347" s="76">
        <v>44257</v>
      </c>
      <c r="L347" s="70">
        <v>0.5</v>
      </c>
      <c r="M347" s="70">
        <v>0.16</v>
      </c>
    </row>
    <row r="348" spans="11:13">
      <c r="K348" s="76">
        <v>44258</v>
      </c>
      <c r="L348" s="70">
        <v>0.5</v>
      </c>
      <c r="M348" s="70">
        <v>0.16</v>
      </c>
    </row>
    <row r="349" spans="11:13">
      <c r="K349" s="76">
        <v>44259</v>
      </c>
      <c r="L349" s="70">
        <v>0.5</v>
      </c>
      <c r="M349" s="70">
        <v>0.16</v>
      </c>
    </row>
    <row r="350" spans="11:13">
      <c r="K350" s="76">
        <v>44260</v>
      </c>
      <c r="L350" s="70">
        <v>0.5</v>
      </c>
      <c r="M350" s="70">
        <v>0.16</v>
      </c>
    </row>
    <row r="351" spans="11:13">
      <c r="K351" s="76">
        <v>44261</v>
      </c>
      <c r="L351" s="70">
        <v>0.5</v>
      </c>
      <c r="M351" s="70">
        <v>0.16</v>
      </c>
    </row>
    <row r="352" spans="11:13">
      <c r="K352" s="76">
        <v>44262</v>
      </c>
      <c r="L352" s="70">
        <v>0.5</v>
      </c>
      <c r="M352" s="70">
        <v>0.16</v>
      </c>
    </row>
    <row r="353" spans="11:13">
      <c r="K353" s="76">
        <v>44263</v>
      </c>
      <c r="L353" s="70">
        <v>0.5</v>
      </c>
      <c r="M353" s="70">
        <v>0.16</v>
      </c>
    </row>
    <row r="354" spans="11:13">
      <c r="K354" s="76">
        <v>44264</v>
      </c>
      <c r="L354" s="70">
        <v>0.5</v>
      </c>
      <c r="M354" s="70">
        <v>0.16</v>
      </c>
    </row>
    <row r="355" spans="11:13">
      <c r="K355" s="76">
        <v>44265</v>
      </c>
      <c r="L355" s="70">
        <v>0.5</v>
      </c>
      <c r="M355" s="70">
        <v>0.16</v>
      </c>
    </row>
    <row r="356" spans="11:13">
      <c r="K356" s="76">
        <v>44266</v>
      </c>
      <c r="L356" s="70">
        <v>0.5</v>
      </c>
      <c r="M356" s="70">
        <v>0.16</v>
      </c>
    </row>
    <row r="357" spans="11:13">
      <c r="K357" s="76">
        <v>44267</v>
      </c>
      <c r="L357" s="70">
        <v>0.5</v>
      </c>
      <c r="M357" s="70">
        <v>0.16</v>
      </c>
    </row>
    <row r="358" spans="11:13">
      <c r="K358" s="76">
        <v>44268</v>
      </c>
      <c r="L358" s="70">
        <v>0.5</v>
      </c>
      <c r="M358" s="70">
        <v>0.16</v>
      </c>
    </row>
    <row r="359" spans="11:13">
      <c r="K359" s="76">
        <v>44269</v>
      </c>
      <c r="L359" s="70">
        <v>0.5</v>
      </c>
      <c r="M359" s="70">
        <v>0.16</v>
      </c>
    </row>
    <row r="360" spans="11:13">
      <c r="K360" s="76">
        <v>44270</v>
      </c>
      <c r="L360" s="70">
        <v>0.5</v>
      </c>
      <c r="M360" s="70">
        <v>0.16</v>
      </c>
    </row>
    <row r="361" spans="11:13">
      <c r="K361" s="76">
        <v>44271</v>
      </c>
      <c r="L361" s="70">
        <v>0.5</v>
      </c>
      <c r="M361" s="70">
        <v>0.16</v>
      </c>
    </row>
    <row r="362" spans="11:13">
      <c r="K362" s="76">
        <v>44272</v>
      </c>
      <c r="L362" s="70">
        <v>0.5</v>
      </c>
      <c r="M362" s="70">
        <v>0.16</v>
      </c>
    </row>
    <row r="363" spans="11:13">
      <c r="K363" s="76">
        <v>44273</v>
      </c>
      <c r="L363" s="70">
        <v>0.5</v>
      </c>
      <c r="M363" s="70">
        <v>0.16</v>
      </c>
    </row>
    <row r="364" spans="11:13">
      <c r="K364" s="76">
        <v>44274</v>
      </c>
      <c r="L364" s="70">
        <v>0.5</v>
      </c>
      <c r="M364" s="70">
        <v>0.16</v>
      </c>
    </row>
    <row r="365" spans="11:13">
      <c r="K365" s="76">
        <v>44275</v>
      </c>
      <c r="L365" s="70">
        <v>0.5</v>
      </c>
      <c r="M365" s="70">
        <v>0.16</v>
      </c>
    </row>
    <row r="366" spans="11:13">
      <c r="K366" s="76">
        <v>44276</v>
      </c>
      <c r="L366" s="70">
        <v>0.5</v>
      </c>
      <c r="M366" s="70">
        <v>0.16</v>
      </c>
    </row>
    <row r="367" spans="11:13">
      <c r="K367" s="76">
        <v>44277</v>
      </c>
      <c r="L367" s="70">
        <v>0.5</v>
      </c>
      <c r="M367" s="70">
        <v>0.16</v>
      </c>
    </row>
    <row r="368" spans="11:13">
      <c r="K368" s="76">
        <v>44278</v>
      </c>
      <c r="L368" s="70">
        <v>0.5</v>
      </c>
      <c r="M368" s="70">
        <v>0.16</v>
      </c>
    </row>
    <row r="369" spans="11:13">
      <c r="K369" s="76">
        <v>44279</v>
      </c>
      <c r="L369" s="70">
        <v>0.5</v>
      </c>
      <c r="M369" s="70">
        <v>0.16</v>
      </c>
    </row>
    <row r="370" spans="11:13">
      <c r="K370" s="76">
        <v>44280</v>
      </c>
      <c r="L370" s="70">
        <v>0.5</v>
      </c>
      <c r="M370" s="70">
        <v>0.16</v>
      </c>
    </row>
    <row r="371" spans="11:13">
      <c r="K371" s="76">
        <v>44281</v>
      </c>
      <c r="L371" s="70">
        <v>0.5</v>
      </c>
      <c r="M371" s="70">
        <v>0.16</v>
      </c>
    </row>
    <row r="372" spans="11:13">
      <c r="K372" s="76">
        <v>44282</v>
      </c>
      <c r="L372" s="70">
        <v>0.5</v>
      </c>
      <c r="M372" s="70">
        <v>0.16</v>
      </c>
    </row>
    <row r="373" spans="11:13">
      <c r="K373" s="76">
        <v>44283</v>
      </c>
      <c r="L373" s="70">
        <v>0.5</v>
      </c>
      <c r="M373" s="70">
        <v>0.16</v>
      </c>
    </row>
    <row r="374" spans="11:13">
      <c r="K374" s="76">
        <v>44284</v>
      </c>
      <c r="L374" s="70">
        <v>0.5</v>
      </c>
      <c r="M374" s="70">
        <v>0.16</v>
      </c>
    </row>
    <row r="375" spans="11:13">
      <c r="K375" s="76">
        <v>44285</v>
      </c>
      <c r="L375" s="70">
        <v>0.5</v>
      </c>
      <c r="M375" s="70">
        <v>0.16</v>
      </c>
    </row>
    <row r="376" spans="11:13">
      <c r="K376" s="76">
        <v>44286</v>
      </c>
      <c r="L376" s="70">
        <v>0.5</v>
      </c>
      <c r="M376" s="70">
        <v>0.16</v>
      </c>
    </row>
    <row r="377" spans="11:13">
      <c r="K377" s="76">
        <v>44287</v>
      </c>
      <c r="L377" s="70">
        <v>0.5</v>
      </c>
      <c r="M377" s="70">
        <v>0.16</v>
      </c>
    </row>
    <row r="378" spans="11:13">
      <c r="K378" s="76">
        <v>44288</v>
      </c>
      <c r="L378" s="70">
        <v>0.5</v>
      </c>
      <c r="M378" s="70">
        <v>0.16</v>
      </c>
    </row>
    <row r="379" spans="11:13">
      <c r="K379" s="76">
        <v>44289</v>
      </c>
      <c r="L379" s="70">
        <v>0.5</v>
      </c>
      <c r="M379" s="70">
        <v>0.16</v>
      </c>
    </row>
    <row r="380" spans="11:13">
      <c r="K380" s="76">
        <v>44290</v>
      </c>
      <c r="L380" s="70">
        <v>0.5</v>
      </c>
      <c r="M380" s="70">
        <v>0.16</v>
      </c>
    </row>
    <row r="381" spans="11:13">
      <c r="K381" s="76">
        <v>44291</v>
      </c>
      <c r="L381" s="70">
        <v>0.5</v>
      </c>
      <c r="M381" s="70">
        <v>0.16</v>
      </c>
    </row>
    <row r="382" spans="11:13">
      <c r="K382" s="76">
        <v>44292</v>
      </c>
      <c r="L382" s="70">
        <v>0.5</v>
      </c>
      <c r="M382" s="70">
        <v>0.16</v>
      </c>
    </row>
    <row r="383" spans="11:13">
      <c r="K383" s="76">
        <v>44293</v>
      </c>
      <c r="L383" s="70">
        <v>0.5</v>
      </c>
      <c r="M383" s="70">
        <v>0.16</v>
      </c>
    </row>
    <row r="384" spans="11:13">
      <c r="K384" s="76">
        <v>44294</v>
      </c>
      <c r="L384" s="70">
        <v>0.5</v>
      </c>
      <c r="M384" s="70">
        <v>0.16</v>
      </c>
    </row>
    <row r="385" spans="11:13">
      <c r="K385" s="76">
        <v>44295</v>
      </c>
      <c r="L385" s="70">
        <v>0.5</v>
      </c>
      <c r="M385" s="70">
        <v>0.16</v>
      </c>
    </row>
    <row r="386" spans="11:13">
      <c r="K386" s="76">
        <v>44296</v>
      </c>
      <c r="L386" s="70">
        <v>0.5</v>
      </c>
      <c r="M386" s="70">
        <v>0.16</v>
      </c>
    </row>
    <row r="387" spans="11:13">
      <c r="K387" s="76">
        <v>44297</v>
      </c>
      <c r="L387" s="70">
        <v>0.5</v>
      </c>
      <c r="M387" s="70">
        <v>0.16</v>
      </c>
    </row>
    <row r="388" spans="11:13">
      <c r="K388" s="76">
        <v>44298</v>
      </c>
      <c r="L388" s="70">
        <v>0.5</v>
      </c>
      <c r="M388" s="70">
        <v>0.16</v>
      </c>
    </row>
    <row r="389" spans="11:13">
      <c r="K389" s="76">
        <v>44299</v>
      </c>
      <c r="L389" s="70">
        <v>0.5</v>
      </c>
      <c r="M389" s="70">
        <v>0.16</v>
      </c>
    </row>
    <row r="390" spans="11:13">
      <c r="K390" s="76">
        <v>44300</v>
      </c>
      <c r="L390" s="70">
        <v>0.5</v>
      </c>
      <c r="M390" s="70">
        <v>0.16</v>
      </c>
    </row>
    <row r="391" spans="11:13">
      <c r="K391" s="76">
        <v>44301</v>
      </c>
      <c r="L391" s="70">
        <v>0.5</v>
      </c>
      <c r="M391" s="70">
        <v>0.16</v>
      </c>
    </row>
    <row r="392" spans="11:13">
      <c r="K392" s="76">
        <v>44302</v>
      </c>
      <c r="L392" s="70">
        <v>0.5</v>
      </c>
      <c r="M392" s="70">
        <v>0.16</v>
      </c>
    </row>
    <row r="393" spans="11:13">
      <c r="K393" s="76">
        <v>44303</v>
      </c>
      <c r="L393" s="70">
        <v>0.5</v>
      </c>
      <c r="M393" s="70">
        <v>0.16</v>
      </c>
    </row>
    <row r="394" spans="11:13">
      <c r="K394" s="76">
        <v>44304</v>
      </c>
      <c r="L394" s="70">
        <v>0.5</v>
      </c>
      <c r="M394" s="70">
        <v>0.16</v>
      </c>
    </row>
    <row r="395" spans="11:13">
      <c r="K395" s="76">
        <v>44305</v>
      </c>
      <c r="L395" s="70">
        <v>0.5</v>
      </c>
      <c r="M395" s="70">
        <v>0.16</v>
      </c>
    </row>
    <row r="396" spans="11:13">
      <c r="K396" s="76">
        <v>44306</v>
      </c>
      <c r="L396" s="70">
        <v>0.5</v>
      </c>
      <c r="M396" s="70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L7:M8"/>
  <sheetViews>
    <sheetView zoomScaleNormal="100" workbookViewId="0">
      <selection activeCell="M9" sqref="M9"/>
    </sheetView>
  </sheetViews>
  <sheetFormatPr baseColWidth="10" defaultRowHeight="16"/>
  <cols>
    <col min="12" max="12" width="16.1640625" customWidth="1"/>
  </cols>
  <sheetData>
    <row r="7" spans="12:13">
      <c r="L7" s="33" t="s">
        <v>63</v>
      </c>
      <c r="M7" s="79">
        <f>compute!B61-compute!B54</f>
        <v>835</v>
      </c>
    </row>
    <row r="8" spans="12:13">
      <c r="L8" s="33" t="s">
        <v>64</v>
      </c>
      <c r="M8" s="79">
        <f>compute!B67-compute!B61</f>
        <v>647</v>
      </c>
    </row>
  </sheetData>
  <dataConsolidate/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K8" sqref="K8"/>
    </sheetView>
  </sheetViews>
  <sheetFormatPr baseColWidth="10" defaultRowHeight="16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>
      <c r="A5" s="17"/>
      <c r="B5" s="24"/>
      <c r="C5" s="40" t="s">
        <v>15</v>
      </c>
      <c r="D5" s="24"/>
      <c r="E5" s="17"/>
      <c r="F5" s="18"/>
      <c r="G5" s="41" t="s">
        <v>14</v>
      </c>
      <c r="H5" s="22"/>
      <c r="I5" s="21"/>
    </row>
    <row r="6" spans="1:12" ht="86" customHeight="1">
      <c r="A6" s="17"/>
      <c r="B6" s="24"/>
      <c r="C6" s="59">
        <f ca="1">compute!U9</f>
        <v>11030</v>
      </c>
      <c r="D6" s="24"/>
      <c r="E6" s="17"/>
      <c r="F6" s="18"/>
      <c r="G6" s="82">
        <f ca="1">compute!U12</f>
        <v>33424.242424242424</v>
      </c>
      <c r="H6" s="22"/>
      <c r="I6" s="21"/>
    </row>
    <row r="7" spans="1:12" s="50" customFormat="1" ht="35" customHeight="1">
      <c r="A7" s="43"/>
      <c r="B7" s="44"/>
      <c r="C7" s="45" t="s">
        <v>12</v>
      </c>
      <c r="D7" s="44"/>
      <c r="E7" s="43"/>
      <c r="F7" s="46"/>
      <c r="G7" s="47" t="s">
        <v>13</v>
      </c>
      <c r="H7" s="48"/>
      <c r="I7" s="49"/>
    </row>
    <row r="8" spans="1:12" s="50" customFormat="1" ht="37" customHeight="1">
      <c r="A8" s="43"/>
      <c r="B8" s="44"/>
      <c r="C8" s="45" t="str">
        <f ca="1">compute!V87</f>
        <v>doubing in 80.1 days</v>
      </c>
      <c r="D8" s="44"/>
      <c r="E8" s="43"/>
      <c r="F8" s="46"/>
      <c r="G8" s="47" t="str">
        <f ca="1">compute!V89</f>
        <v>+0.9% per day</v>
      </c>
      <c r="H8" s="48"/>
      <c r="I8" s="49"/>
    </row>
    <row r="9" spans="1:12" ht="2" customHeight="1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>
      <c r="A10" s="17"/>
      <c r="B10" s="17"/>
      <c r="C10" s="17"/>
      <c r="D10" s="17"/>
      <c r="E10" s="17"/>
      <c r="F10" s="17"/>
      <c r="G10" s="17"/>
      <c r="H10" s="21"/>
      <c r="I10" s="21"/>
    </row>
    <row r="11" spans="1:1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>
      <c r="A12" s="17"/>
      <c r="B12" s="18"/>
      <c r="C12" s="41" t="s">
        <v>14</v>
      </c>
      <c r="D12" s="18"/>
      <c r="E12" s="17"/>
      <c r="F12" s="18"/>
      <c r="G12" s="41" t="s">
        <v>14</v>
      </c>
      <c r="H12" s="22"/>
      <c r="I12" s="21"/>
    </row>
    <row r="13" spans="1:12" ht="28" customHeight="1">
      <c r="A13" s="17"/>
      <c r="B13" s="18"/>
      <c r="C13" s="18"/>
      <c r="D13" s="18"/>
      <c r="E13" s="17"/>
      <c r="F13" s="18"/>
      <c r="G13" s="42" t="s">
        <v>16</v>
      </c>
      <c r="H13" s="22"/>
      <c r="I13" s="21"/>
    </row>
    <row r="14" spans="1:12" ht="59" customHeight="1">
      <c r="A14" s="17"/>
      <c r="B14" s="18"/>
      <c r="C14" s="20">
        <f ca="1">compute!U15</f>
        <v>7.0977381059476735E-2</v>
      </c>
      <c r="D14" s="18"/>
      <c r="E14" s="17"/>
      <c r="F14" s="18"/>
      <c r="G14" s="19">
        <f ca="1">compute!U18</f>
        <v>7.3189586841082761</v>
      </c>
      <c r="H14" s="22"/>
      <c r="I14" s="21"/>
    </row>
    <row r="15" spans="1:12" ht="32" customHeight="1">
      <c r="A15" s="17"/>
      <c r="B15" s="18"/>
      <c r="C15" s="47" t="s">
        <v>17</v>
      </c>
      <c r="D15" s="18"/>
      <c r="E15" s="17"/>
      <c r="F15" s="18"/>
      <c r="G15" s="47" t="s">
        <v>18</v>
      </c>
      <c r="H15" s="22"/>
      <c r="I15" s="21"/>
    </row>
    <row r="16" spans="1:12" ht="40" customHeight="1">
      <c r="A16" s="17"/>
      <c r="B16" s="18"/>
      <c r="C16" s="42" t="s">
        <v>13</v>
      </c>
      <c r="D16" s="18"/>
      <c r="E16" s="17"/>
      <c r="F16" s="18"/>
      <c r="G16" s="42" t="s">
        <v>19</v>
      </c>
      <c r="H16" s="22"/>
      <c r="I16" s="21"/>
    </row>
    <row r="17" spans="1:9" ht="10" customHeight="1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>
      <c r="A19" s="77"/>
      <c r="B19" s="77"/>
      <c r="C19" s="77"/>
      <c r="D19" s="77"/>
      <c r="E19" s="77"/>
      <c r="F19" s="77"/>
      <c r="G19" s="77"/>
      <c r="H19" s="78"/>
      <c r="I19" s="78"/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X91"/>
  <sheetViews>
    <sheetView topLeftCell="A50" workbookViewId="0">
      <selection sqref="A1:B74"/>
    </sheetView>
  </sheetViews>
  <sheetFormatPr baseColWidth="10" defaultRowHeight="16"/>
  <cols>
    <col min="1" max="1" width="15.1640625" style="92" customWidth="1"/>
    <col min="2" max="2" width="13.33203125" customWidth="1"/>
    <col min="3" max="3" width="13.33203125" style="75" customWidth="1"/>
    <col min="4" max="4" width="12.5" style="28" customWidth="1"/>
    <col min="5" max="5" width="11.1640625" style="39" customWidth="1"/>
    <col min="6" max="6" width="11.1640625" style="79" customWidth="1"/>
    <col min="7" max="7" width="16.6640625" style="79" customWidth="1"/>
    <col min="8" max="8" width="15.6640625" style="79" customWidth="1"/>
    <col min="9" max="9" width="11.6640625" style="79" customWidth="1"/>
    <col min="10" max="11" width="10.6640625" style="79" customWidth="1"/>
    <col min="12" max="13" width="15.83203125" style="28" customWidth="1"/>
    <col min="14" max="14" width="12.6640625" style="16" customWidth="1"/>
    <col min="15" max="15" width="12.83203125" style="28" customWidth="1"/>
    <col min="16" max="16" width="14" customWidth="1"/>
    <col min="17" max="17" width="15.33203125" customWidth="1"/>
    <col min="18" max="18" width="11.5" style="4" customWidth="1"/>
    <col min="19" max="19" width="8.1640625" style="4" customWidth="1"/>
    <col min="20" max="21" width="18.1640625" style="3" customWidth="1"/>
    <col min="22" max="22" width="87.83203125" customWidth="1"/>
  </cols>
  <sheetData>
    <row r="1" spans="1:24">
      <c r="A1" s="91" t="s">
        <v>40</v>
      </c>
      <c r="B1" s="86" t="s">
        <v>44</v>
      </c>
      <c r="C1" s="71"/>
    </row>
    <row r="2" spans="1:24" ht="17">
      <c r="A2" s="91" t="s">
        <v>41</v>
      </c>
      <c r="B2" s="84">
        <v>470914</v>
      </c>
      <c r="C2" s="72"/>
    </row>
    <row r="3" spans="1:24">
      <c r="A3" s="91" t="s">
        <v>43</v>
      </c>
      <c r="B3" s="87" t="s">
        <v>35</v>
      </c>
      <c r="C3" s="71"/>
    </row>
    <row r="4" spans="1:24" s="2" customFormat="1" ht="81" customHeight="1" thickBot="1">
      <c r="A4" s="93" t="s">
        <v>0</v>
      </c>
      <c r="B4" s="63" t="s">
        <v>1</v>
      </c>
      <c r="C4" s="73" t="s">
        <v>52</v>
      </c>
      <c r="D4" s="51" t="s">
        <v>31</v>
      </c>
      <c r="E4" s="37" t="s">
        <v>39</v>
      </c>
      <c r="F4" s="80" t="s">
        <v>58</v>
      </c>
      <c r="G4" s="80" t="s">
        <v>60</v>
      </c>
      <c r="H4" s="80" t="s">
        <v>61</v>
      </c>
      <c r="I4" s="80" t="s">
        <v>6</v>
      </c>
      <c r="J4" s="80" t="s">
        <v>4</v>
      </c>
      <c r="K4" s="80" t="s">
        <v>62</v>
      </c>
      <c r="L4" s="25" t="s">
        <v>56</v>
      </c>
      <c r="M4" s="25" t="s">
        <v>57</v>
      </c>
      <c r="N4" s="13" t="s">
        <v>8</v>
      </c>
      <c r="O4" s="25" t="s">
        <v>9</v>
      </c>
      <c r="P4" s="6" t="s">
        <v>2</v>
      </c>
      <c r="Q4" s="6" t="s">
        <v>3</v>
      </c>
      <c r="R4" s="7" t="s">
        <v>7</v>
      </c>
      <c r="S4" s="7" t="s">
        <v>5</v>
      </c>
      <c r="T4" s="10" t="s">
        <v>10</v>
      </c>
      <c r="U4" s="10" t="s">
        <v>21</v>
      </c>
      <c r="V4" s="30" t="s">
        <v>20</v>
      </c>
    </row>
    <row r="5" spans="1:24" ht="17">
      <c r="A5" s="91">
        <v>43913</v>
      </c>
      <c r="B5" s="86">
        <v>152</v>
      </c>
      <c r="C5" s="74">
        <f>Table2[[#This Row],[cases]]/$B$2</f>
        <v>3.227765579277745E-4</v>
      </c>
      <c r="D5" s="26" t="e">
        <f>(Table2[[#This Row],[cases]]-B4)/B4</f>
        <v>#VALUE!</v>
      </c>
      <c r="E5" s="38" t="e">
        <f t="shared" ref="E5:E21" si="0">(LN(2)/LN(B5/B4))</f>
        <v>#VALUE!</v>
      </c>
      <c r="F5" s="81">
        <f>Table2[[#This Row],[cases]]*100/$T$19</f>
        <v>460.60606060606062</v>
      </c>
      <c r="G5" s="56">
        <f>Table2[[#This Row],[cases]]*100/$T$13</f>
        <v>389.74358974358972</v>
      </c>
      <c r="H5" s="56">
        <f>Table2[[#This Row],[cases]]*100/$T$16</f>
        <v>562.96296296296293</v>
      </c>
      <c r="I5" s="56">
        <f>Table2[[#This Row],[infection count, high end of estimate range]]-Table2[[#This Row],[infection count, low end of estimate range]]</f>
        <v>173.21937321937321</v>
      </c>
      <c r="J5" s="56">
        <f>(Table2[[#This Row],[infection count, low end of estimate range]]+Table2[[#This Row],[infection count, high end of estimate range]])/2</f>
        <v>476.35327635327633</v>
      </c>
      <c r="K5" s="26">
        <f>Table2[[#This Row],[estimated infections]]/$T$6</f>
        <v>9.7811078159931665E-4</v>
      </c>
      <c r="L5" s="26">
        <f>Table2[[#This Row],[infection count, low end of estimate range]]/$T$6</f>
        <v>8.2763219981480632E-4</v>
      </c>
      <c r="M5" s="26">
        <f>Table2[[#This Row],[infection count, high end of estimate range]]/$T$6</f>
        <v>1.1954687330658314E-3</v>
      </c>
      <c r="N5" s="14">
        <f>Table2[[#This Row],[infection percentage, high end of estimate range]]-Table2[[#This Row],[infection percentage, low end of estimate range]]</f>
        <v>3.6783653325102512E-4</v>
      </c>
      <c r="O5" s="26">
        <f>(Table2[[#This Row],[infection percentage, low end of estimate range]]+Table2[[#This Row],[infection percentage, high end of estimate range]])/2</f>
        <v>1.0115504664403188E-3</v>
      </c>
      <c r="P5" s="12">
        <f>$T$6/(Table2[[#This Row],[cases]]*5)</f>
        <v>619.62368421052633</v>
      </c>
      <c r="Q5" s="12">
        <f>$T$6/(Table2[[#This Row],[cases]]*7)</f>
        <v>442.58834586466168</v>
      </c>
      <c r="R5" s="3">
        <f>Table2[[#This Row],[1-in-X odds, estimating 5x cases infected]]-Table2[[#This Row],[1-in-X odds, estimating 7x cases infected]]</f>
        <v>177.03533834586466</v>
      </c>
      <c r="S5" s="5">
        <f>(Table2[[#This Row],[1-in-X odds, estimating 5x cases infected]]+Table2[[#This Row],[1-in-X odds, estimating 7x cases infected]])/2</f>
        <v>531.10601503759403</v>
      </c>
      <c r="T5" s="11" t="s">
        <v>11</v>
      </c>
      <c r="U5" s="11" t="s">
        <v>26</v>
      </c>
      <c r="V5" s="3"/>
      <c r="X5" s="1" t="s">
        <v>46</v>
      </c>
    </row>
    <row r="6" spans="1:24">
      <c r="A6" s="91">
        <v>43914</v>
      </c>
      <c r="B6" s="86">
        <v>196</v>
      </c>
      <c r="C6" s="71">
        <f>Table2[[#This Row],[cases]]/$B$2</f>
        <v>4.1621187732791972E-4</v>
      </c>
      <c r="D6" s="26">
        <f>(Table2[[#This Row],[cases]]-B5)/B5</f>
        <v>0.28947368421052633</v>
      </c>
      <c r="E6" s="38">
        <f t="shared" si="0"/>
        <v>2.7264126877891832</v>
      </c>
      <c r="F6" s="81">
        <f>Table2[[#This Row],[cases]]*100/$T$19</f>
        <v>593.93939393939399</v>
      </c>
      <c r="G6" s="56">
        <f>Table2[[#This Row],[cases]]*100/$T$13</f>
        <v>502.56410256410254</v>
      </c>
      <c r="H6" s="56">
        <f>Table2[[#This Row],[cases]]*100/$T$16</f>
        <v>725.92592592592598</v>
      </c>
      <c r="I6" s="56">
        <f>Table2[[#This Row],[infection count, high end of estimate range]]-Table2[[#This Row],[infection count, low end of estimate range]]</f>
        <v>223.36182336182344</v>
      </c>
      <c r="J6" s="56">
        <f>(Table2[[#This Row],[infection count, low end of estimate range]]+Table2[[#This Row],[infection count, high end of estimate range]])/2</f>
        <v>614.24501424501432</v>
      </c>
      <c r="K6" s="26">
        <f>Table2[[#This Row],[estimated infections]]/$T$6</f>
        <v>1.2612481131149085E-3</v>
      </c>
      <c r="L6" s="26">
        <f>Table2[[#This Row],[infection count, low end of estimate range]]/$T$6</f>
        <v>1.0672099418664609E-3</v>
      </c>
      <c r="M6" s="26">
        <f>Table2[[#This Row],[infection count, high end of estimate range]]/$T$6</f>
        <v>1.5415254715848881E-3</v>
      </c>
      <c r="N6" s="14">
        <f>Table2[[#This Row],[infection percentage, high end of estimate range]]-Table2[[#This Row],[infection percentage, low end of estimate range]]</f>
        <v>4.7431552971842722E-4</v>
      </c>
      <c r="O6" s="26">
        <f>(Table2[[#This Row],[infection percentage, low end of estimate range]]+Table2[[#This Row],[infection percentage, high end of estimate range]])/2</f>
        <v>1.3043677067256744E-3</v>
      </c>
      <c r="P6" s="12">
        <f>$T$6/(Table2[[#This Row],[cases]]*5)</f>
        <v>480.52448979591838</v>
      </c>
      <c r="Q6" s="12">
        <f>$T$6/(Table2[[#This Row],[cases]]*7)</f>
        <v>343.23177842565599</v>
      </c>
      <c r="R6" s="3">
        <f>Table2[[#This Row],[1-in-X odds, estimating 5x cases infected]]-Table2[[#This Row],[1-in-X odds, estimating 7x cases infected]]</f>
        <v>137.2927113702624</v>
      </c>
      <c r="S6" s="3">
        <f>(Table2[[#This Row],[1-in-X odds, estimating 5x cases infected]]+Table2[[#This Row],[1-in-X odds, estimating 7x cases infected]])/2</f>
        <v>411.87813411078719</v>
      </c>
      <c r="T6" s="3">
        <f>B2</f>
        <v>470914</v>
      </c>
      <c r="U6" s="29">
        <f ca="1">OFFSET(compute!A5,COUNTA(compute!A5:A10052)-1,0)</f>
        <v>43983</v>
      </c>
      <c r="V6" s="3"/>
      <c r="X6" t="str">
        <f>"Number of Confirmed COVID-19 Cases " &amp; B1</f>
        <v>Number of Confirmed COVID-19 Cases Miami</v>
      </c>
    </row>
    <row r="7" spans="1:24">
      <c r="A7" s="91">
        <v>43915</v>
      </c>
      <c r="B7" s="86">
        <v>256</v>
      </c>
      <c r="C7" s="71">
        <f>Table2[[#This Row],[cases]]/$B$2</f>
        <v>5.4362367650993598E-4</v>
      </c>
      <c r="D7" s="26">
        <f>(Table2[[#This Row],[cases]]-B6)/B6</f>
        <v>0.30612244897959184</v>
      </c>
      <c r="E7" s="38">
        <f t="shared" si="0"/>
        <v>2.5954465348422167</v>
      </c>
      <c r="F7" s="81">
        <f>Table2[[#This Row],[cases]]*100/$T$19</f>
        <v>775.75757575757575</v>
      </c>
      <c r="G7" s="56">
        <f>Table2[[#This Row],[cases]]*100/$T$13</f>
        <v>656.41025641025647</v>
      </c>
      <c r="H7" s="56">
        <f>Table2[[#This Row],[cases]]*100/$T$16</f>
        <v>948.14814814814815</v>
      </c>
      <c r="I7" s="56">
        <f>Table2[[#This Row],[infection count, high end of estimate range]]-Table2[[#This Row],[infection count, low end of estimate range]]</f>
        <v>291.73789173789169</v>
      </c>
      <c r="J7" s="56">
        <f>(Table2[[#This Row],[infection count, low end of estimate range]]+Table2[[#This Row],[infection count, high end of estimate range]])/2</f>
        <v>802.27920227920231</v>
      </c>
      <c r="K7" s="26">
        <f>Table2[[#This Row],[estimated infections]]/$T$6</f>
        <v>1.6473444742725334E-3</v>
      </c>
      <c r="L7" s="26">
        <f>Table2[[#This Row],[infection count, low end of estimate range]]/$T$6</f>
        <v>1.3939068628459898E-3</v>
      </c>
      <c r="M7" s="26">
        <f>Table2[[#This Row],[infection count, high end of estimate range]]/$T$6</f>
        <v>2.0134210241108739E-3</v>
      </c>
      <c r="N7" s="14">
        <f>Table2[[#This Row],[infection percentage, high end of estimate range]]-Table2[[#This Row],[infection percentage, low end of estimate range]]</f>
        <v>6.1951416126488409E-4</v>
      </c>
      <c r="O7" s="26">
        <f>(Table2[[#This Row],[infection percentage, low end of estimate range]]+Table2[[#This Row],[infection percentage, high end of estimate range]])/2</f>
        <v>1.7036639434784319E-3</v>
      </c>
      <c r="P7" s="12">
        <f>$T$6/(Table2[[#This Row],[cases]]*5)</f>
        <v>367.90156250000001</v>
      </c>
      <c r="Q7" s="12">
        <f>$T$6/(Table2[[#This Row],[cases]]*7)</f>
        <v>262.78683035714283</v>
      </c>
      <c r="R7" s="3">
        <f>Table2[[#This Row],[1-in-X odds, estimating 5x cases infected]]-Table2[[#This Row],[1-in-X odds, estimating 7x cases infected]]</f>
        <v>105.11473214285718</v>
      </c>
      <c r="S7" s="3">
        <f>(Table2[[#This Row],[1-in-X odds, estimating 5x cases infected]]+Table2[[#This Row],[1-in-X odds, estimating 7x cases infected]])/2</f>
        <v>315.34419642857142</v>
      </c>
      <c r="V7" s="3"/>
    </row>
    <row r="8" spans="1:24">
      <c r="A8" s="91">
        <v>43916</v>
      </c>
      <c r="B8" s="86">
        <v>345</v>
      </c>
      <c r="C8" s="71">
        <f>Table2[[#This Row],[cases]]/$B$2</f>
        <v>7.3261784529659343E-4</v>
      </c>
      <c r="D8" s="26">
        <f>(Table2[[#This Row],[cases]]-B7)/B7</f>
        <v>0.34765625</v>
      </c>
      <c r="E8" s="38">
        <f t="shared" si="0"/>
        <v>2.3231364203342348</v>
      </c>
      <c r="F8" s="81">
        <f>Table2[[#This Row],[cases]]*100/$T$19</f>
        <v>1045.4545454545455</v>
      </c>
      <c r="G8" s="56">
        <f>Table2[[#This Row],[cases]]*100/$T$13</f>
        <v>884.61538461538464</v>
      </c>
      <c r="H8" s="56">
        <f>Table2[[#This Row],[cases]]*100/$T$16</f>
        <v>1277.7777777777778</v>
      </c>
      <c r="I8" s="56">
        <f>Table2[[#This Row],[infection count, high end of estimate range]]-Table2[[#This Row],[infection count, low end of estimate range]]</f>
        <v>393.16239316239319</v>
      </c>
      <c r="J8" s="56">
        <f>(Table2[[#This Row],[infection count, low end of estimate range]]+Table2[[#This Row],[infection count, high end of estimate range]])/2</f>
        <v>1081.1965811965813</v>
      </c>
      <c r="K8" s="26">
        <f>Table2[[#This Row],[estimated infections]]/$T$6</f>
        <v>2.220054076656344E-3</v>
      </c>
      <c r="L8" s="26">
        <f>Table2[[#This Row],[infection count, low end of estimate range]]/$T$6</f>
        <v>1.878507295632291E-3</v>
      </c>
      <c r="M8" s="26">
        <f>Table2[[#This Row],[infection count, high end of estimate range]]/$T$6</f>
        <v>2.7133994270244202E-3</v>
      </c>
      <c r="N8" s="14">
        <f>Table2[[#This Row],[infection percentage, high end of estimate range]]-Table2[[#This Row],[infection percentage, low end of estimate range]]</f>
        <v>8.3489213139212922E-4</v>
      </c>
      <c r="O8" s="26">
        <f>(Table2[[#This Row],[infection percentage, low end of estimate range]]+Table2[[#This Row],[infection percentage, high end of estimate range]])/2</f>
        <v>2.2959533613283556E-3</v>
      </c>
      <c r="P8" s="12">
        <f>$T$6/(Table2[[#This Row],[cases]]*5)</f>
        <v>272.99362318840582</v>
      </c>
      <c r="Q8" s="12">
        <f>$T$6/(Table2[[#This Row],[cases]]*7)</f>
        <v>194.99544513457556</v>
      </c>
      <c r="R8" s="3">
        <f>Table2[[#This Row],[1-in-X odds, estimating 5x cases infected]]-Table2[[#This Row],[1-in-X odds, estimating 7x cases infected]]</f>
        <v>77.998178053830259</v>
      </c>
      <c r="S8" s="3">
        <f>(Table2[[#This Row],[1-in-X odds, estimating 5x cases infected]]+Table2[[#This Row],[1-in-X odds, estimating 7x cases infected]])/2</f>
        <v>233.99453416149069</v>
      </c>
      <c r="T8" s="34" t="s">
        <v>33</v>
      </c>
      <c r="U8" s="34" t="s">
        <v>25</v>
      </c>
      <c r="V8" s="3"/>
    </row>
    <row r="9" spans="1:24">
      <c r="A9" s="91">
        <v>43917</v>
      </c>
      <c r="B9" s="86">
        <v>464</v>
      </c>
      <c r="C9" s="71">
        <f>Table2[[#This Row],[cases]]/$B$2</f>
        <v>9.8531791367425896E-4</v>
      </c>
      <c r="D9" s="26">
        <f>(Table2[[#This Row],[cases]]-B8)/B8</f>
        <v>0.34492753623188405</v>
      </c>
      <c r="E9" s="38">
        <f t="shared" si="0"/>
        <v>2.3390256608477276</v>
      </c>
      <c r="F9" s="81">
        <f>Table2[[#This Row],[cases]]*100/$T$19</f>
        <v>1406.060606060606</v>
      </c>
      <c r="G9" s="56">
        <f>Table2[[#This Row],[cases]]*100/$T$13</f>
        <v>1189.7435897435898</v>
      </c>
      <c r="H9" s="56">
        <f>Table2[[#This Row],[cases]]*100/$T$16</f>
        <v>1718.5185185185185</v>
      </c>
      <c r="I9" s="56">
        <f>Table2[[#This Row],[infection count, high end of estimate range]]-Table2[[#This Row],[infection count, low end of estimate range]]</f>
        <v>528.77492877492864</v>
      </c>
      <c r="J9" s="56">
        <f>(Table2[[#This Row],[infection count, low end of estimate range]]+Table2[[#This Row],[infection count, high end of estimate range]])/2</f>
        <v>1454.131054131054</v>
      </c>
      <c r="K9" s="26">
        <f>Table2[[#This Row],[estimated infections]]/$T$6</f>
        <v>2.9858118596189664E-3</v>
      </c>
      <c r="L9" s="26">
        <f>Table2[[#This Row],[infection count, low end of estimate range]]/$T$6</f>
        <v>2.5264561889083567E-3</v>
      </c>
      <c r="M9" s="26">
        <f>Table2[[#This Row],[infection count, high end of estimate range]]/$T$6</f>
        <v>3.6493256062009594E-3</v>
      </c>
      <c r="N9" s="14">
        <f>Table2[[#This Row],[infection percentage, high end of estimate range]]-Table2[[#This Row],[infection percentage, low end of estimate range]]</f>
        <v>1.1228694172926027E-3</v>
      </c>
      <c r="O9" s="26">
        <f>(Table2[[#This Row],[infection percentage, low end of estimate range]]+Table2[[#This Row],[infection percentage, high end of estimate range]])/2</f>
        <v>3.087890897554658E-3</v>
      </c>
      <c r="P9" s="12">
        <f>$T$6/(Table2[[#This Row],[cases]]*5)</f>
        <v>202.9801724137931</v>
      </c>
      <c r="Q9" s="12">
        <f>$T$6/(Table2[[#This Row],[cases]]*7)</f>
        <v>144.98583743842366</v>
      </c>
      <c r="R9" s="3">
        <f>Table2[[#This Row],[1-in-X odds, estimating 5x cases infected]]-Table2[[#This Row],[1-in-X odds, estimating 7x cases infected]]</f>
        <v>57.994334975369441</v>
      </c>
      <c r="S9" s="3">
        <f>(Table2[[#This Row],[1-in-X odds, estimating 5x cases infected]]+Table2[[#This Row],[1-in-X odds, estimating 7x cases infected]])/2</f>
        <v>173.98300492610838</v>
      </c>
      <c r="T9" s="34" t="str">
        <f>B3</f>
        <v>evening</v>
      </c>
      <c r="U9" s="3">
        <f ca="1">OFFSET(compute!B4,COUNTA(compute!B4:B10052)-1,0)</f>
        <v>11030</v>
      </c>
      <c r="V9" s="3"/>
    </row>
    <row r="10" spans="1:24">
      <c r="A10" s="91">
        <v>43918</v>
      </c>
      <c r="B10" s="86">
        <v>603</v>
      </c>
      <c r="C10" s="71">
        <f>Table2[[#This Row],[cases]]/$B$2</f>
        <v>1.2804885817792632E-3</v>
      </c>
      <c r="D10" s="26">
        <f>(Table2[[#This Row],[cases]]-B9)/B9</f>
        <v>0.29956896551724138</v>
      </c>
      <c r="E10" s="38">
        <f t="shared" si="0"/>
        <v>2.6452703321760542</v>
      </c>
      <c r="F10" s="81">
        <f>Table2[[#This Row],[cases]]*100/$T$19</f>
        <v>1827.2727272727273</v>
      </c>
      <c r="G10" s="56">
        <f>Table2[[#This Row],[cases]]*100/$T$13</f>
        <v>1546.1538461538462</v>
      </c>
      <c r="H10" s="56">
        <f>Table2[[#This Row],[cases]]*100/$T$16</f>
        <v>2233.3333333333335</v>
      </c>
      <c r="I10" s="56">
        <f>Table2[[#This Row],[infection count, high end of estimate range]]-Table2[[#This Row],[infection count, low end of estimate range]]</f>
        <v>687.1794871794873</v>
      </c>
      <c r="J10" s="56">
        <f>(Table2[[#This Row],[infection count, low end of estimate range]]+Table2[[#This Row],[infection count, high end of estimate range]])/2</f>
        <v>1889.7435897435898</v>
      </c>
      <c r="K10" s="26">
        <f>Table2[[#This Row],[estimated infections]]/$T$6</f>
        <v>3.8802684296341313E-3</v>
      </c>
      <c r="L10" s="26">
        <f>Table2[[#This Row],[infection count, low end of estimate range]]/$T$6</f>
        <v>3.2833040558442649E-3</v>
      </c>
      <c r="M10" s="26">
        <f>Table2[[#This Row],[infection count, high end of estimate range]]/$T$6</f>
        <v>4.7425503028861605E-3</v>
      </c>
      <c r="N10" s="14">
        <f>Table2[[#This Row],[infection percentage, high end of estimate range]]-Table2[[#This Row],[infection percentage, low end of estimate range]]</f>
        <v>1.4592462470418956E-3</v>
      </c>
      <c r="O10" s="26">
        <f>(Table2[[#This Row],[infection percentage, low end of estimate range]]+Table2[[#This Row],[infection percentage, high end of estimate range]])/2</f>
        <v>4.0129271793652131E-3</v>
      </c>
      <c r="P10" s="12">
        <f>$T$6/(Table2[[#This Row],[cases]]*5)</f>
        <v>156.19038142620232</v>
      </c>
      <c r="Q10" s="12">
        <f>$T$6/(Table2[[#This Row],[cases]]*7)</f>
        <v>111.56455816157309</v>
      </c>
      <c r="R10" s="3">
        <f>Table2[[#This Row],[1-in-X odds, estimating 5x cases infected]]-Table2[[#This Row],[1-in-X odds, estimating 7x cases infected]]</f>
        <v>44.625823264629233</v>
      </c>
      <c r="S10" s="3">
        <f>(Table2[[#This Row],[1-in-X odds, estimating 5x cases infected]]+Table2[[#This Row],[1-in-X odds, estimating 7x cases infected]])/2</f>
        <v>133.87746979388771</v>
      </c>
      <c r="V10" s="3"/>
    </row>
    <row r="11" spans="1:24">
      <c r="A11" s="91">
        <v>43919</v>
      </c>
      <c r="B11" s="86">
        <v>812</v>
      </c>
      <c r="C11" s="71">
        <f>Table2[[#This Row],[cases]]/$B$2</f>
        <v>1.7243063489299532E-3</v>
      </c>
      <c r="D11" s="26">
        <f>(Table2[[#This Row],[cases]]-B10)/B10</f>
        <v>0.34660033167495852</v>
      </c>
      <c r="E11" s="38">
        <f t="shared" si="0"/>
        <v>2.329255523549266</v>
      </c>
      <c r="F11" s="81">
        <f>Table2[[#This Row],[cases]]*100/$T$19</f>
        <v>2460.6060606060605</v>
      </c>
      <c r="G11" s="56">
        <f>Table2[[#This Row],[cases]]*100/$T$13</f>
        <v>2082.0512820512822</v>
      </c>
      <c r="H11" s="56">
        <f>Table2[[#This Row],[cases]]*100/$T$16</f>
        <v>3007.4074074074074</v>
      </c>
      <c r="I11" s="56">
        <f>Table2[[#This Row],[infection count, high end of estimate range]]-Table2[[#This Row],[infection count, low end of estimate range]]</f>
        <v>925.35612535612518</v>
      </c>
      <c r="J11" s="56">
        <f>(Table2[[#This Row],[infection count, low end of estimate range]]+Table2[[#This Row],[infection count, high end of estimate range]])/2</f>
        <v>2544.729344729345</v>
      </c>
      <c r="K11" s="26">
        <f>Table2[[#This Row],[estimated infections]]/$T$6</f>
        <v>5.2251707543331917E-3</v>
      </c>
      <c r="L11" s="26">
        <f>Table2[[#This Row],[infection count, low end of estimate range]]/$T$6</f>
        <v>4.421298330589624E-3</v>
      </c>
      <c r="M11" s="26">
        <f>Table2[[#This Row],[infection count, high end of estimate range]]/$T$6</f>
        <v>6.3863198108516789E-3</v>
      </c>
      <c r="N11" s="14">
        <f>Table2[[#This Row],[infection percentage, high end of estimate range]]-Table2[[#This Row],[infection percentage, low end of estimate range]]</f>
        <v>1.9650214802620549E-3</v>
      </c>
      <c r="O11" s="26">
        <f>(Table2[[#This Row],[infection percentage, low end of estimate range]]+Table2[[#This Row],[infection percentage, high end of estimate range]])/2</f>
        <v>5.4038090707206514E-3</v>
      </c>
      <c r="P11" s="12">
        <f>$T$6/(Table2[[#This Row],[cases]]*5)</f>
        <v>115.98866995073891</v>
      </c>
      <c r="Q11" s="12">
        <f>$T$6/(Table2[[#This Row],[cases]]*7)</f>
        <v>82.849049964813517</v>
      </c>
      <c r="R11" s="3">
        <f>Table2[[#This Row],[1-in-X odds, estimating 5x cases infected]]-Table2[[#This Row],[1-in-X odds, estimating 7x cases infected]]</f>
        <v>33.139619985925393</v>
      </c>
      <c r="S11" s="3">
        <f>(Table2[[#This Row],[1-in-X odds, estimating 5x cases infected]]+Table2[[#This Row],[1-in-X odds, estimating 7x cases infected]])/2</f>
        <v>99.41885995777622</v>
      </c>
      <c r="T11" s="3" t="s">
        <v>36</v>
      </c>
      <c r="U11" s="34" t="s">
        <v>27</v>
      </c>
      <c r="V11" s="3"/>
    </row>
    <row r="12" spans="1:24">
      <c r="A12" s="91">
        <v>43920</v>
      </c>
      <c r="B12" s="86">
        <v>931</v>
      </c>
      <c r="C12" s="71">
        <f>Table2[[#This Row],[cases]]/$B$2</f>
        <v>1.9770064173076189E-3</v>
      </c>
      <c r="D12" s="26">
        <f>(Table2[[#This Row],[cases]]-B11)/B11</f>
        <v>0.14655172413793102</v>
      </c>
      <c r="E12" s="38">
        <f t="shared" si="0"/>
        <v>5.0683867188519347</v>
      </c>
      <c r="F12" s="81">
        <f>Table2[[#This Row],[cases]]*100/$T$19</f>
        <v>2821.212121212121</v>
      </c>
      <c r="G12" s="56">
        <f>Table2[[#This Row],[cases]]*100/$T$13</f>
        <v>2387.1794871794873</v>
      </c>
      <c r="H12" s="56">
        <f>Table2[[#This Row],[cases]]*100/$T$16</f>
        <v>3448.1481481481483</v>
      </c>
      <c r="I12" s="56">
        <f>Table2[[#This Row],[infection count, high end of estimate range]]-Table2[[#This Row],[infection count, low end of estimate range]]</f>
        <v>1060.968660968661</v>
      </c>
      <c r="J12" s="56">
        <f>(Table2[[#This Row],[infection count, low end of estimate range]]+Table2[[#This Row],[infection count, high end of estimate range]])/2</f>
        <v>2917.663817663818</v>
      </c>
      <c r="K12" s="26">
        <f>Table2[[#This Row],[estimated infections]]/$T$6</f>
        <v>5.9909285372958141E-3</v>
      </c>
      <c r="L12" s="26">
        <f>Table2[[#This Row],[infection count, low end of estimate range]]/$T$6</f>
        <v>5.0692472238656897E-3</v>
      </c>
      <c r="M12" s="26">
        <f>Table2[[#This Row],[infection count, high end of estimate range]]/$T$6</f>
        <v>7.3222459900282181E-3</v>
      </c>
      <c r="N12" s="14">
        <f>Table2[[#This Row],[infection percentage, high end of estimate range]]-Table2[[#This Row],[infection percentage, low end of estimate range]]</f>
        <v>2.2529987661625284E-3</v>
      </c>
      <c r="O12" s="26">
        <f>(Table2[[#This Row],[infection percentage, low end of estimate range]]+Table2[[#This Row],[infection percentage, high end of estimate range]])/2</f>
        <v>6.1957466069469539E-3</v>
      </c>
      <c r="P12" s="12">
        <f>$T$6/(Table2[[#This Row],[cases]]*5)</f>
        <v>101.16305048335124</v>
      </c>
      <c r="Q12" s="12">
        <f>$T$6/(Table2[[#This Row],[cases]]*7)</f>
        <v>72.259321773822307</v>
      </c>
      <c r="R12" s="3">
        <f>Table2[[#This Row],[1-in-X odds, estimating 5x cases infected]]-Table2[[#This Row],[1-in-X odds, estimating 7x cases infected]]</f>
        <v>28.903728709528934</v>
      </c>
      <c r="S12" s="3">
        <f>(Table2[[#This Row],[1-in-X odds, estimating 5x cases infected]]+Table2[[#This Row],[1-in-X odds, estimating 7x cases infected]])/2</f>
        <v>86.711186128586775</v>
      </c>
      <c r="T12" s="34" t="s">
        <v>37</v>
      </c>
      <c r="U12" s="35">
        <f ca="1">OFFSET(compute!F4,COUNTA(compute!F:F)-1,0)</f>
        <v>33424.242424242424</v>
      </c>
      <c r="V12" s="3"/>
    </row>
    <row r="13" spans="1:24">
      <c r="A13" s="91">
        <v>43921</v>
      </c>
      <c r="B13" s="88">
        <v>1179</v>
      </c>
      <c r="C13" s="71">
        <f>Table2[[#This Row],[cases]]/$B$2</f>
        <v>2.5036418539266191E-3</v>
      </c>
      <c r="D13" s="26">
        <f>(Table2[[#This Row],[cases]]-B12)/B12</f>
        <v>0.26638023630504831</v>
      </c>
      <c r="E13" s="38">
        <f t="shared" si="0"/>
        <v>2.9350418410450274</v>
      </c>
      <c r="F13" s="81">
        <f>Table2[[#This Row],[cases]]*100/$T$19</f>
        <v>3572.7272727272725</v>
      </c>
      <c r="G13" s="56">
        <f>Table2[[#This Row],[cases]]*100/$T$13</f>
        <v>3023.0769230769229</v>
      </c>
      <c r="H13" s="56">
        <f>Table2[[#This Row],[cases]]*100/$T$16</f>
        <v>4366.666666666667</v>
      </c>
      <c r="I13" s="56">
        <f>Table2[[#This Row],[infection count, high end of estimate range]]-Table2[[#This Row],[infection count, low end of estimate range]]</f>
        <v>1343.5897435897441</v>
      </c>
      <c r="J13" s="56">
        <f>(Table2[[#This Row],[infection count, low end of estimate range]]+Table2[[#This Row],[infection count, high end of estimate range]])/2</f>
        <v>3694.8717948717949</v>
      </c>
      <c r="K13" s="26">
        <f>Table2[[#This Row],[estimated infections]]/$T$6</f>
        <v>7.5867934967473304E-3</v>
      </c>
      <c r="L13" s="26">
        <f>Table2[[#This Row],[infection count, low end of estimate range]]/$T$6</f>
        <v>6.4195944972477411E-3</v>
      </c>
      <c r="M13" s="26">
        <f>Table2[[#This Row],[infection count, high end of estimate range]]/$T$6</f>
        <v>9.2727476071356278E-3</v>
      </c>
      <c r="N13" s="14">
        <f>Table2[[#This Row],[infection percentage, high end of estimate range]]-Table2[[#This Row],[infection percentage, low end of estimate range]]</f>
        <v>2.8531531098878868E-3</v>
      </c>
      <c r="O13" s="26">
        <f>(Table2[[#This Row],[infection percentage, low end of estimate range]]+Table2[[#This Row],[infection percentage, high end of estimate range]])/2</f>
        <v>7.846171052191684E-3</v>
      </c>
      <c r="P13" s="12">
        <f>$T$6/(Table2[[#This Row],[cases]]*5)</f>
        <v>79.883630195080571</v>
      </c>
      <c r="Q13" s="12">
        <f>$T$6/(Table2[[#This Row],[cases]]*7)</f>
        <v>57.059735853628986</v>
      </c>
      <c r="R13" s="3">
        <f>Table2[[#This Row],[1-in-X odds, estimating 5x cases infected]]-Table2[[#This Row],[1-in-X odds, estimating 7x cases infected]]</f>
        <v>22.823894341451584</v>
      </c>
      <c r="S13" s="3">
        <f>(Table2[[#This Row],[1-in-X odds, estimating 5x cases infected]]+Table2[[#This Row],[1-in-X odds, estimating 7x cases infected]])/2</f>
        <v>68.471683024354775</v>
      </c>
      <c r="T13" s="3">
        <v>39</v>
      </c>
      <c r="V13" s="3"/>
    </row>
    <row r="14" spans="1:24">
      <c r="A14" s="91">
        <v>43922</v>
      </c>
      <c r="B14" s="88">
        <v>1371</v>
      </c>
      <c r="C14" s="71">
        <f>Table2[[#This Row],[cases]]/$B$2</f>
        <v>2.9113596113090712E-3</v>
      </c>
      <c r="D14" s="26">
        <f>(Table2[[#This Row],[cases]]-B13)/B13</f>
        <v>0.16284987277353691</v>
      </c>
      <c r="E14" s="38">
        <f t="shared" si="0"/>
        <v>4.594218989141579</v>
      </c>
      <c r="F14" s="81">
        <f>Table2[[#This Row],[cases]]*100/$T$19</f>
        <v>4154.545454545455</v>
      </c>
      <c r="G14" s="56">
        <f>Table2[[#This Row],[cases]]*100/$T$13</f>
        <v>3515.3846153846152</v>
      </c>
      <c r="H14" s="56">
        <f>Table2[[#This Row],[cases]]*100/$T$16</f>
        <v>5077.7777777777774</v>
      </c>
      <c r="I14" s="56">
        <f>Table2[[#This Row],[infection count, high end of estimate range]]-Table2[[#This Row],[infection count, low end of estimate range]]</f>
        <v>1562.3931623931621</v>
      </c>
      <c r="J14" s="56">
        <f>(Table2[[#This Row],[infection count, low end of estimate range]]+Table2[[#This Row],[infection count, high end of estimate range]])/2</f>
        <v>4296.5811965811963</v>
      </c>
      <c r="K14" s="26">
        <f>Table2[[#This Row],[estimated infections]]/$T$6</f>
        <v>8.8223018524517319E-3</v>
      </c>
      <c r="L14" s="26">
        <f>Table2[[#This Row],[infection count, low end of estimate range]]/$T$6</f>
        <v>7.465024644382234E-3</v>
      </c>
      <c r="M14" s="26">
        <f>Table2[[#This Row],[infection count, high end of estimate range]]/$T$6</f>
        <v>1.0782813375218782E-2</v>
      </c>
      <c r="N14" s="14">
        <f>Table2[[#This Row],[infection percentage, high end of estimate range]]-Table2[[#This Row],[infection percentage, low end of estimate range]]</f>
        <v>3.3177887308365479E-3</v>
      </c>
      <c r="O14" s="26">
        <f>(Table2[[#This Row],[infection percentage, low end of estimate range]]+Table2[[#This Row],[infection percentage, high end of estimate range]])/2</f>
        <v>9.1239190098005088E-3</v>
      </c>
      <c r="P14" s="12">
        <f>$T$6/(Table2[[#This Row],[cases]]*5)</f>
        <v>68.696425966447848</v>
      </c>
      <c r="Q14" s="12">
        <f>$T$6/(Table2[[#This Row],[cases]]*7)</f>
        <v>49.068875690319892</v>
      </c>
      <c r="R14" s="3">
        <f>Table2[[#This Row],[1-in-X odds, estimating 5x cases infected]]-Table2[[#This Row],[1-in-X odds, estimating 7x cases infected]]</f>
        <v>19.627550276127955</v>
      </c>
      <c r="S14" s="3">
        <f>(Table2[[#This Row],[1-in-X odds, estimating 5x cases infected]]+Table2[[#This Row],[1-in-X odds, estimating 7x cases infected]])/2</f>
        <v>58.882650828383873</v>
      </c>
      <c r="U14" s="34" t="s">
        <v>28</v>
      </c>
      <c r="V14" s="3"/>
    </row>
    <row r="15" spans="1:24">
      <c r="A15" s="91">
        <v>43923</v>
      </c>
      <c r="B15" s="88">
        <v>1677</v>
      </c>
      <c r="C15" s="71">
        <f>Table2[[#This Row],[cases]]/$B$2</f>
        <v>3.5611597871373544E-3</v>
      </c>
      <c r="D15" s="26">
        <f>(Table2[[#This Row],[cases]]-B14)/B14</f>
        <v>0.22319474835886213</v>
      </c>
      <c r="E15" s="38">
        <f t="shared" si="0"/>
        <v>3.4405155090192001</v>
      </c>
      <c r="F15" s="81">
        <f>Table2[[#This Row],[cases]]*100/$T$19</f>
        <v>5081.818181818182</v>
      </c>
      <c r="G15" s="56">
        <f>Table2[[#This Row],[cases]]*100/$T$13</f>
        <v>4300</v>
      </c>
      <c r="H15" s="56">
        <f>Table2[[#This Row],[cases]]*100/$T$16</f>
        <v>6211.1111111111113</v>
      </c>
      <c r="I15" s="56">
        <f>Table2[[#This Row],[infection count, high end of estimate range]]-Table2[[#This Row],[infection count, low end of estimate range]]</f>
        <v>1911.1111111111113</v>
      </c>
      <c r="J15" s="56">
        <f>(Table2[[#This Row],[infection count, low end of estimate range]]+Table2[[#This Row],[infection count, high end of estimate range]])/2</f>
        <v>5255.5555555555557</v>
      </c>
      <c r="K15" s="26">
        <f>Table2[[#This Row],[estimated infections]]/$T$6</f>
        <v>1.079139329435562E-2</v>
      </c>
      <c r="L15" s="26">
        <f>Table2[[#This Row],[infection count, low end of estimate range]]/$T$6</f>
        <v>9.1311789413778318E-3</v>
      </c>
      <c r="M15" s="26">
        <f>Table2[[#This Row],[infection count, high end of estimate range]]/$T$6</f>
        <v>1.3189480693101312E-2</v>
      </c>
      <c r="N15" s="14">
        <f>Table2[[#This Row],[infection percentage, high end of estimate range]]-Table2[[#This Row],[infection percentage, low end of estimate range]]</f>
        <v>4.0583017517234806E-3</v>
      </c>
      <c r="O15" s="26">
        <f>(Table2[[#This Row],[infection percentage, low end of estimate range]]+Table2[[#This Row],[infection percentage, high end of estimate range]])/2</f>
        <v>1.1160329817239571E-2</v>
      </c>
      <c r="P15" s="12">
        <f>$T$6/(Table2[[#This Row],[cases]]*5)</f>
        <v>56.161478831246271</v>
      </c>
      <c r="Q15" s="12">
        <f>$T$6/(Table2[[#This Row],[cases]]*7)</f>
        <v>40.115342022318764</v>
      </c>
      <c r="R15" s="3">
        <f>Table2[[#This Row],[1-in-X odds, estimating 5x cases infected]]-Table2[[#This Row],[1-in-X odds, estimating 7x cases infected]]</f>
        <v>16.046136808927507</v>
      </c>
      <c r="S15" s="3">
        <f>(Table2[[#This Row],[1-in-X odds, estimating 5x cases infected]]+Table2[[#This Row],[1-in-X odds, estimating 7x cases infected]])/2</f>
        <v>48.138410426782514</v>
      </c>
      <c r="T15" s="34" t="s">
        <v>38</v>
      </c>
      <c r="U15" s="27">
        <f ca="1">OFFSET(compute!K4,COUNTA(compute!K:K)-1,0)</f>
        <v>7.0977381059476735E-2</v>
      </c>
      <c r="V15" s="3"/>
    </row>
    <row r="16" spans="1:24">
      <c r="A16" s="91">
        <v>43924</v>
      </c>
      <c r="B16" s="88">
        <v>1959</v>
      </c>
      <c r="C16" s="71">
        <f>Table2[[#This Row],[cases]]/$B$2</f>
        <v>4.1599952432928309E-3</v>
      </c>
      <c r="D16" s="26">
        <f>(Table2[[#This Row],[cases]]-B15)/B15</f>
        <v>0.16815742397137745</v>
      </c>
      <c r="E16" s="38">
        <f t="shared" si="0"/>
        <v>4.4596129019590443</v>
      </c>
      <c r="F16" s="81">
        <f>Table2[[#This Row],[cases]]*100/$T$19</f>
        <v>5936.363636363636</v>
      </c>
      <c r="G16" s="56">
        <f>Table2[[#This Row],[cases]]*100/$T$13</f>
        <v>5023.0769230769229</v>
      </c>
      <c r="H16" s="56">
        <f>Table2[[#This Row],[cases]]*100/$T$16</f>
        <v>7255.5555555555557</v>
      </c>
      <c r="I16" s="56">
        <f>Table2[[#This Row],[infection count, high end of estimate range]]-Table2[[#This Row],[infection count, low end of estimate range]]</f>
        <v>2232.4786324786328</v>
      </c>
      <c r="J16" s="56">
        <f>(Table2[[#This Row],[infection count, low end of estimate range]]+Table2[[#This Row],[infection count, high end of estimate range]])/2</f>
        <v>6139.3162393162393</v>
      </c>
      <c r="K16" s="26">
        <f>Table2[[#This Row],[estimated infections]]/$T$6</f>
        <v>1.2606046191796455E-2</v>
      </c>
      <c r="L16" s="26">
        <f>Table2[[#This Row],[infection count, low end of estimate range]]/$T$6</f>
        <v>1.0666654469981615E-2</v>
      </c>
      <c r="M16" s="26">
        <f>Table2[[#This Row],[infection count, high end of estimate range]]/$T$6</f>
        <v>1.5407389789973447E-2</v>
      </c>
      <c r="N16" s="14">
        <f>Table2[[#This Row],[infection percentage, high end of estimate range]]-Table2[[#This Row],[infection percentage, low end of estimate range]]</f>
        <v>4.740735319991831E-3</v>
      </c>
      <c r="O16" s="26">
        <f>(Table2[[#This Row],[infection percentage, low end of estimate range]]+Table2[[#This Row],[infection percentage, high end of estimate range]])/2</f>
        <v>1.3037022129977531E-2</v>
      </c>
      <c r="P16" s="12">
        <f>$T$6/(Table2[[#This Row],[cases]]*5)</f>
        <v>48.076978050025524</v>
      </c>
      <c r="Q16" s="12">
        <f>$T$6/(Table2[[#This Row],[cases]]*7)</f>
        <v>34.340698607161087</v>
      </c>
      <c r="R16" s="3">
        <f>Table2[[#This Row],[1-in-X odds, estimating 5x cases infected]]-Table2[[#This Row],[1-in-X odds, estimating 7x cases infected]]</f>
        <v>13.736279442864436</v>
      </c>
      <c r="S16" s="3">
        <f>(Table2[[#This Row],[1-in-X odds, estimating 5x cases infected]]+Table2[[#This Row],[1-in-X odds, estimating 7x cases infected]])/2</f>
        <v>41.208838328593302</v>
      </c>
      <c r="T16" s="3">
        <v>27</v>
      </c>
      <c r="V16" s="3"/>
    </row>
    <row r="17" spans="1:22">
      <c r="A17" s="91">
        <v>43925</v>
      </c>
      <c r="B17" s="88">
        <v>2291</v>
      </c>
      <c r="C17" s="71">
        <f>Table2[[#This Row],[cases]]/$B$2</f>
        <v>4.8650071987666535E-3</v>
      </c>
      <c r="D17" s="26">
        <f>(Table2[[#This Row],[cases]]-B16)/B16</f>
        <v>0.16947422154160285</v>
      </c>
      <c r="E17" s="38">
        <f t="shared" si="0"/>
        <v>4.4275202769727011</v>
      </c>
      <c r="F17" s="81">
        <f>Table2[[#This Row],[cases]]*100/$T$19</f>
        <v>6942.424242424242</v>
      </c>
      <c r="G17" s="56">
        <f>Table2[[#This Row],[cases]]*100/$T$13</f>
        <v>5874.3589743589746</v>
      </c>
      <c r="H17" s="56">
        <f>Table2[[#This Row],[cases]]*100/$T$16</f>
        <v>8485.1851851851843</v>
      </c>
      <c r="I17" s="56">
        <f>Table2[[#This Row],[infection count, high end of estimate range]]-Table2[[#This Row],[infection count, low end of estimate range]]</f>
        <v>2610.8262108262097</v>
      </c>
      <c r="J17" s="56">
        <f>(Table2[[#This Row],[infection count, low end of estimate range]]+Table2[[#This Row],[infection count, high end of estimate range]])/2</f>
        <v>7179.7720797720795</v>
      </c>
      <c r="K17" s="26">
        <f>Table2[[#This Row],[estimated infections]]/$T$6</f>
        <v>1.4742446056868646E-2</v>
      </c>
      <c r="L17" s="26">
        <f>Table2[[#This Row],[infection count, low end of estimate range]]/$T$6</f>
        <v>1.2474377432735011E-2</v>
      </c>
      <c r="M17" s="26">
        <f>Table2[[#This Row],[infection count, high end of estimate range]]/$T$6</f>
        <v>1.8018545180617233E-2</v>
      </c>
      <c r="N17" s="14">
        <f>Table2[[#This Row],[infection percentage, high end of estimate range]]-Table2[[#This Row],[infection percentage, low end of estimate range]]</f>
        <v>5.5441677478822223E-3</v>
      </c>
      <c r="O17" s="26">
        <f>(Table2[[#This Row],[infection percentage, low end of estimate range]]+Table2[[#This Row],[infection percentage, high end of estimate range]])/2</f>
        <v>1.5246461306676121E-2</v>
      </c>
      <c r="P17" s="12">
        <f>$T$6/(Table2[[#This Row],[cases]]*5)</f>
        <v>41.109908336970754</v>
      </c>
      <c r="Q17" s="12">
        <f>$T$6/(Table2[[#This Row],[cases]]*7)</f>
        <v>29.364220240693395</v>
      </c>
      <c r="R17" s="3">
        <f>Table2[[#This Row],[1-in-X odds, estimating 5x cases infected]]-Table2[[#This Row],[1-in-X odds, estimating 7x cases infected]]</f>
        <v>11.745688096277359</v>
      </c>
      <c r="S17" s="3">
        <f>(Table2[[#This Row],[1-in-X odds, estimating 5x cases infected]]+Table2[[#This Row],[1-in-X odds, estimating 7x cases infected]])/2</f>
        <v>35.237064288832073</v>
      </c>
      <c r="U17" s="34" t="s">
        <v>29</v>
      </c>
      <c r="V17" s="3"/>
    </row>
    <row r="18" spans="1:22">
      <c r="A18" s="91">
        <v>43926</v>
      </c>
      <c r="B18" s="88">
        <v>2461</v>
      </c>
      <c r="C18" s="71">
        <f>Table2[[#This Row],[cases]]/$B$2</f>
        <v>5.2260072964490333E-3</v>
      </c>
      <c r="D18" s="26">
        <f>(Table2[[#This Row],[cases]]-B17)/B17</f>
        <v>7.4203404626800529E-2</v>
      </c>
      <c r="E18" s="38">
        <f t="shared" si="0"/>
        <v>9.6836169490150699</v>
      </c>
      <c r="F18" s="81">
        <f>Table2[[#This Row],[cases]]*100/$T$19</f>
        <v>7457.575757575758</v>
      </c>
      <c r="G18" s="56">
        <f>Table2[[#This Row],[cases]]*100/$T$13</f>
        <v>6310.2564102564102</v>
      </c>
      <c r="H18" s="56">
        <f>Table2[[#This Row],[cases]]*100/$T$16</f>
        <v>9114.8148148148157</v>
      </c>
      <c r="I18" s="56">
        <f>Table2[[#This Row],[infection count, high end of estimate range]]-Table2[[#This Row],[infection count, low end of estimate range]]</f>
        <v>2804.5584045584055</v>
      </c>
      <c r="J18" s="56">
        <f>(Table2[[#This Row],[infection count, low end of estimate range]]+Table2[[#This Row],[infection count, high end of estimate range]])/2</f>
        <v>7712.5356125356129</v>
      </c>
      <c r="K18" s="26">
        <f>Table2[[#This Row],[estimated infections]]/$T$6</f>
        <v>1.5836385746815253E-2</v>
      </c>
      <c r="L18" s="26">
        <f>Table2[[#This Row],[infection count, low end of estimate range]]/$T$6</f>
        <v>1.3400018708843674E-2</v>
      </c>
      <c r="M18" s="26">
        <f>Table2[[#This Row],[infection count, high end of estimate range]]/$T$6</f>
        <v>1.9355582579440866E-2</v>
      </c>
      <c r="N18" s="14">
        <f>Table2[[#This Row],[infection percentage, high end of estimate range]]-Table2[[#This Row],[infection percentage, low end of estimate range]]</f>
        <v>5.9555638705971921E-3</v>
      </c>
      <c r="O18" s="26">
        <f>(Table2[[#This Row],[infection percentage, low end of estimate range]]+Table2[[#This Row],[infection percentage, high end of estimate range]])/2</f>
        <v>1.6377800644142272E-2</v>
      </c>
      <c r="P18" s="12">
        <f>$T$6/(Table2[[#This Row],[cases]]*5)</f>
        <v>38.270134091832588</v>
      </c>
      <c r="Q18" s="12">
        <f>$T$6/(Table2[[#This Row],[cases]]*7)</f>
        <v>27.335810065594707</v>
      </c>
      <c r="R18" s="3">
        <f>Table2[[#This Row],[1-in-X odds, estimating 5x cases infected]]-Table2[[#This Row],[1-in-X odds, estimating 7x cases infected]]</f>
        <v>10.934324026237881</v>
      </c>
      <c r="S18" s="3">
        <f>(Table2[[#This Row],[1-in-X odds, estimating 5x cases infected]]+Table2[[#This Row],[1-in-X odds, estimating 7x cases infected]])/2</f>
        <v>32.802972078713651</v>
      </c>
      <c r="T18" s="34" t="s">
        <v>59</v>
      </c>
      <c r="U18" s="3">
        <f ca="1">OFFSET(compute!S4,COUNTA(compute!S:S)-1,0)</f>
        <v>7.3189586841082761</v>
      </c>
      <c r="V18" s="3"/>
    </row>
    <row r="19" spans="1:22">
      <c r="A19" s="91">
        <v>43927</v>
      </c>
      <c r="B19" s="88">
        <v>2802</v>
      </c>
      <c r="C19" s="71">
        <f>Table2[[#This Row],[cases]]/$B$2</f>
        <v>5.9501310218001589E-3</v>
      </c>
      <c r="D19" s="26">
        <f>(Table2[[#This Row],[cases]]-B18)/B18</f>
        <v>0.13856156034132466</v>
      </c>
      <c r="E19" s="38">
        <f t="shared" si="0"/>
        <v>5.3415294338518668</v>
      </c>
      <c r="F19" s="81">
        <f>Table2[[#This Row],[cases]]*100/$T$19</f>
        <v>8490.9090909090901</v>
      </c>
      <c r="G19" s="35">
        <f>Table2[[#This Row],[cases]]*100/$T$13</f>
        <v>7184.6153846153848</v>
      </c>
      <c r="H19" s="35">
        <f>Table2[[#This Row],[cases]]*100/$T$16</f>
        <v>10377.777777777777</v>
      </c>
      <c r="I19" s="35">
        <f>Table2[[#This Row],[infection count, high end of estimate range]]-Table2[[#This Row],[infection count, low end of estimate range]]</f>
        <v>3193.1623931623926</v>
      </c>
      <c r="J19" s="35">
        <f>(Table2[[#This Row],[infection count, low end of estimate range]]+Table2[[#This Row],[infection count, high end of estimate range]])/2</f>
        <v>8781.196581196582</v>
      </c>
      <c r="K19" s="26">
        <f>Table2[[#This Row],[estimated infections]]/$T$6</f>
        <v>1.8030700066061087E-2</v>
      </c>
      <c r="L19" s="27">
        <f>Table2[[#This Row],[infection count, low end of estimate range]]/$T$6</f>
        <v>1.5256746209743998E-2</v>
      </c>
      <c r="M19" s="26">
        <f>Table2[[#This Row],[infection count, high end of estimate range]]/$T$6</f>
        <v>2.203752230296355E-2</v>
      </c>
      <c r="N19" s="15">
        <f>Table2[[#This Row],[infection percentage, high end of estimate range]]-Table2[[#This Row],[infection percentage, low end of estimate range]]</f>
        <v>6.7807760932195524E-3</v>
      </c>
      <c r="O19" s="27">
        <f>(Table2[[#This Row],[infection percentage, low end of estimate range]]+Table2[[#This Row],[infection percentage, high end of estimate range]])/2</f>
        <v>1.8647134256353774E-2</v>
      </c>
      <c r="P19" s="3">
        <f>$T$6/(Table2[[#This Row],[cases]]*5)</f>
        <v>33.612705210563881</v>
      </c>
      <c r="Q19" s="3">
        <f>$T$6/(Table2[[#This Row],[cases]]*7)</f>
        <v>24.009075150402772</v>
      </c>
      <c r="R19" s="3">
        <f>Table2[[#This Row],[1-in-X odds, estimating 5x cases infected]]-Table2[[#This Row],[1-in-X odds, estimating 7x cases infected]]</f>
        <v>9.6036300601611089</v>
      </c>
      <c r="S19" s="3">
        <f>(Table2[[#This Row],[1-in-X odds, estimating 5x cases infected]]+Table2[[#This Row],[1-in-X odds, estimating 7x cases infected]])/2</f>
        <v>28.810890180483327</v>
      </c>
      <c r="T19" s="3">
        <v>33</v>
      </c>
      <c r="V19" s="32" t="s">
        <v>23</v>
      </c>
    </row>
    <row r="20" spans="1:22">
      <c r="A20" s="91">
        <v>43928</v>
      </c>
      <c r="B20" s="88">
        <v>3100</v>
      </c>
      <c r="C20" s="71">
        <f>Table2[[#This Row],[cases]]/$B$2</f>
        <v>6.5829429577375061E-3</v>
      </c>
      <c r="D20" s="26">
        <f>(Table2[[#This Row],[cases]]-B19)/B19</f>
        <v>0.10635260528194147</v>
      </c>
      <c r="E20" s="38">
        <f t="shared" si="0"/>
        <v>6.8581809240681908</v>
      </c>
      <c r="F20" s="81">
        <f>Table2[[#This Row],[cases]]*100/$T$19</f>
        <v>9393.939393939394</v>
      </c>
      <c r="G20" s="35">
        <f>Table2[[#This Row],[cases]]*100/$T$13</f>
        <v>7948.7179487179483</v>
      </c>
      <c r="H20" s="35">
        <f>Table2[[#This Row],[cases]]*100/$T$16</f>
        <v>11481.481481481482</v>
      </c>
      <c r="I20" s="35">
        <f>Table2[[#This Row],[infection count, high end of estimate range]]-Table2[[#This Row],[infection count, low end of estimate range]]</f>
        <v>3532.7635327635335</v>
      </c>
      <c r="J20" s="35">
        <f>(Table2[[#This Row],[infection count, low end of estimate range]]+Table2[[#This Row],[infection count, high end of estimate range]])/2</f>
        <v>9715.0997150997155</v>
      </c>
      <c r="K20" s="26">
        <f>Table2[[#This Row],[estimated infections]]/$T$6</f>
        <v>1.9948311993143959E-2</v>
      </c>
      <c r="L20" s="27">
        <f>Table2[[#This Row],[infection count, low end of estimate range]]/$T$6</f>
        <v>1.6879340917275654E-2</v>
      </c>
      <c r="M20" s="26">
        <f>Table2[[#This Row],[infection count, high end of estimate range]]/$T$6</f>
        <v>2.4381270213842617E-2</v>
      </c>
      <c r="N20" s="15">
        <f>Table2[[#This Row],[infection percentage, high end of estimate range]]-Table2[[#This Row],[infection percentage, low end of estimate range]]</f>
        <v>7.5019292965669629E-3</v>
      </c>
      <c r="O20" s="27">
        <f>(Table2[[#This Row],[infection percentage, low end of estimate range]]+Table2[[#This Row],[infection percentage, high end of estimate range]])/2</f>
        <v>2.0630305565559136E-2</v>
      </c>
      <c r="P20" s="3">
        <f>$T$6/(Table2[[#This Row],[cases]]*5)</f>
        <v>30.381548387096775</v>
      </c>
      <c r="Q20" s="3">
        <f>$T$6/(Table2[[#This Row],[cases]]*7)</f>
        <v>21.701105990783411</v>
      </c>
      <c r="R20" s="3">
        <f>Table2[[#This Row],[1-in-X odds, estimating 5x cases infected]]-Table2[[#This Row],[1-in-X odds, estimating 7x cases infected]]</f>
        <v>8.6804423963133637</v>
      </c>
      <c r="S20" s="3">
        <f>(Table2[[#This Row],[1-in-X odds, estimating 5x cases infected]]+Table2[[#This Row],[1-in-X odds, estimating 7x cases infected]])/2</f>
        <v>26.041327188940095</v>
      </c>
      <c r="U20" s="34" t="s">
        <v>30</v>
      </c>
      <c r="V20" s="66" t="s">
        <v>22</v>
      </c>
    </row>
    <row r="21" spans="1:22">
      <c r="A21" s="91">
        <v>43929</v>
      </c>
      <c r="B21" s="88">
        <v>3317</v>
      </c>
      <c r="C21" s="71">
        <f>Table2[[#This Row],[cases]]/$B$2</f>
        <v>7.0437489647791314E-3</v>
      </c>
      <c r="D21" s="26">
        <f>(Table2[[#This Row],[cases]]-B20)/B20</f>
        <v>7.0000000000000007E-2</v>
      </c>
      <c r="E21" s="38">
        <f t="shared" si="0"/>
        <v>10.244768351058712</v>
      </c>
      <c r="F21" s="81">
        <f>Table2[[#This Row],[cases]]*100/$T$19</f>
        <v>10051.515151515152</v>
      </c>
      <c r="G21" s="35">
        <f>Table2[[#This Row],[cases]]*100/$T$13</f>
        <v>8505.1282051282051</v>
      </c>
      <c r="H21" s="35">
        <f>Table2[[#This Row],[cases]]*100/$T$16</f>
        <v>12285.185185185184</v>
      </c>
      <c r="I21" s="35">
        <f>Table2[[#This Row],[infection count, high end of estimate range]]-Table2[[#This Row],[infection count, low end of estimate range]]</f>
        <v>3780.0569800569792</v>
      </c>
      <c r="J21" s="35">
        <f>(Table2[[#This Row],[infection count, low end of estimate range]]+Table2[[#This Row],[infection count, high end of estimate range]])/2</f>
        <v>10395.156695156695</v>
      </c>
      <c r="K21" s="26">
        <f>Table2[[#This Row],[estimated infections]]/$T$6</f>
        <v>2.1344693832664036E-2</v>
      </c>
      <c r="L21" s="27">
        <f>Table2[[#This Row],[infection count, low end of estimate range]]/$T$6</f>
        <v>1.8060894781484954E-2</v>
      </c>
      <c r="M21" s="27">
        <f>Table2[[#This Row],[infection count, high end of estimate range]]/$T$6</f>
        <v>2.6087959128811598E-2</v>
      </c>
      <c r="N21" s="15">
        <f>Table2[[#This Row],[infection percentage, high end of estimate range]]-Table2[[#This Row],[infection percentage, low end of estimate range]]</f>
        <v>8.0270643473266436E-3</v>
      </c>
      <c r="O21" s="27">
        <f>(Table2[[#This Row],[infection percentage, low end of estimate range]]+Table2[[#This Row],[infection percentage, high end of estimate range]])/2</f>
        <v>2.2074426955148274E-2</v>
      </c>
      <c r="P21" s="3">
        <f>$T$6/(Table2[[#This Row],[cases]]*5)</f>
        <v>28.39397045523063</v>
      </c>
      <c r="Q21" s="3">
        <f>$T$6/(Table2[[#This Row],[cases]]*7)</f>
        <v>20.281407468021879</v>
      </c>
      <c r="R21" s="3">
        <f>Table2[[#This Row],[1-in-X odds, estimating 5x cases infected]]-Table2[[#This Row],[1-in-X odds, estimating 7x cases infected]]</f>
        <v>8.1125629872087508</v>
      </c>
      <c r="S21" s="3">
        <f>(Table2[[#This Row],[1-in-X odds, estimating 5x cases infected]]+Table2[[#This Row],[1-in-X odds, estimating 7x cases infected]])/2</f>
        <v>24.337688961626256</v>
      </c>
      <c r="U21" s="3">
        <f ca="1">OFFSET(compute!E4,COUNTA(compute!E:E)-1,0)</f>
        <v>80.130962562467488</v>
      </c>
      <c r="V21" s="31"/>
    </row>
    <row r="22" spans="1:22">
      <c r="A22" s="91">
        <v>43930</v>
      </c>
      <c r="B22" s="88">
        <v>3587</v>
      </c>
      <c r="C22" s="71">
        <f>Table2[[#This Row],[cases]]/$B$2</f>
        <v>7.6171020610982043E-3</v>
      </c>
      <c r="D22" s="26">
        <f>(Table2[[#This Row],[cases]]-B21)/B21</f>
        <v>8.1398854386493816E-2</v>
      </c>
      <c r="E22" s="38">
        <f t="shared" ref="E22" si="1">(LN(2)/LN(B22/B21))</f>
        <v>8.857495313952132</v>
      </c>
      <c r="F22" s="81">
        <f>Table2[[#This Row],[cases]]*100/$T$19</f>
        <v>10869.69696969697</v>
      </c>
      <c r="G22" s="35">
        <f>Table2[[#This Row],[cases]]*100/$T$13</f>
        <v>9197.4358974358965</v>
      </c>
      <c r="H22" s="35">
        <f>Table2[[#This Row],[cases]]*100/$T$16</f>
        <v>13285.185185185184</v>
      </c>
      <c r="I22" s="35">
        <f>Table2[[#This Row],[infection count, high end of estimate range]]-Table2[[#This Row],[infection count, low end of estimate range]]</f>
        <v>4087.7492877492878</v>
      </c>
      <c r="J22" s="35">
        <f>(Table2[[#This Row],[infection count, low end of estimate range]]+Table2[[#This Row],[infection count, high end of estimate range]])/2</f>
        <v>11241.31054131054</v>
      </c>
      <c r="K22" s="26">
        <f>Table2[[#This Row],[estimated infections]]/$T$6</f>
        <v>2.3082127457873348E-2</v>
      </c>
      <c r="L22" s="27">
        <f>Table2[[#This Row],[infection count, low end of estimate range]]/$T$6</f>
        <v>1.9531030925892832E-2</v>
      </c>
      <c r="M22" s="27">
        <f>Table2[[#This Row],[infection count, high end of estimate range]]/$T$6</f>
        <v>2.8211489115178533E-2</v>
      </c>
      <c r="N22" s="15">
        <f>Table2[[#This Row],[infection percentage, high end of estimate range]]-Table2[[#This Row],[infection percentage, low end of estimate range]]</f>
        <v>8.6804581892857002E-3</v>
      </c>
      <c r="O22" s="27">
        <f>(Table2[[#This Row],[infection percentage, low end of estimate range]]+Table2[[#This Row],[infection percentage, high end of estimate range]])/2</f>
        <v>2.3871260020535683E-2</v>
      </c>
      <c r="P22" s="3">
        <f>$T$6/(Table2[[#This Row],[cases]]*5)</f>
        <v>26.256704767214941</v>
      </c>
      <c r="Q22" s="3">
        <f>$T$6/(Table2[[#This Row],[cases]]*7)</f>
        <v>18.754789119439245</v>
      </c>
      <c r="R22" s="3">
        <f>Table2[[#This Row],[1-in-X odds, estimating 5x cases infected]]-Table2[[#This Row],[1-in-X odds, estimating 7x cases infected]]</f>
        <v>7.5019156477756965</v>
      </c>
      <c r="S22" s="3">
        <f>(Table2[[#This Row],[1-in-X odds, estimating 5x cases infected]]+Table2[[#This Row],[1-in-X odds, estimating 7x cases infected]])/2</f>
        <v>22.505746943327093</v>
      </c>
      <c r="V22" s="31"/>
    </row>
    <row r="23" spans="1:22">
      <c r="A23" s="91">
        <v>43931</v>
      </c>
      <c r="B23" s="88">
        <v>3816</v>
      </c>
      <c r="C23" s="71">
        <f>Table2[[#This Row],[cases]]/$B$2</f>
        <v>8.1033904279762328E-3</v>
      </c>
      <c r="D23" s="26">
        <f>(Table2[[#This Row],[cases]]-B22)/B22</f>
        <v>6.3841650404237518E-2</v>
      </c>
      <c r="E23" s="38">
        <f t="shared" ref="E23" si="2">(LN(2)/LN(B23/B22))</f>
        <v>11.20028704389693</v>
      </c>
      <c r="F23" s="81">
        <f>Table2[[#This Row],[cases]]*100/$T$19</f>
        <v>11563.636363636364</v>
      </c>
      <c r="G23" s="35">
        <f>Table2[[#This Row],[cases]]*100/$T$13</f>
        <v>9784.6153846153848</v>
      </c>
      <c r="H23" s="35">
        <f>Table2[[#This Row],[cases]]*100/$T$16</f>
        <v>14133.333333333334</v>
      </c>
      <c r="I23" s="35">
        <f>Table2[[#This Row],[infection count, high end of estimate range]]-Table2[[#This Row],[infection count, low end of estimate range]]</f>
        <v>4348.7179487179492</v>
      </c>
      <c r="J23" s="35">
        <f>(Table2[[#This Row],[infection count, low end of estimate range]]+Table2[[#This Row],[infection count, high end of estimate range]])/2</f>
        <v>11958.974358974359</v>
      </c>
      <c r="K23" s="26">
        <f>Table2[[#This Row],[estimated infections]]/$T$6</f>
        <v>2.455572856962495E-2</v>
      </c>
      <c r="L23" s="27">
        <f>Table2[[#This Row],[infection count, low end of estimate range]]/$T$6</f>
        <v>2.0777924174298034E-2</v>
      </c>
      <c r="M23" s="27">
        <f>Table2[[#This Row],[infection count, high end of estimate range]]/$T$6</f>
        <v>3.0012557140652717E-2</v>
      </c>
      <c r="N23" s="15">
        <f>Table2[[#This Row],[infection percentage, high end of estimate range]]-Table2[[#This Row],[infection percentage, low end of estimate range]]</f>
        <v>9.2346329663546833E-3</v>
      </c>
      <c r="O23" s="27">
        <f>(Table2[[#This Row],[infection percentage, low end of estimate range]]+Table2[[#This Row],[infection percentage, high end of estimate range]])/2</f>
        <v>2.5395240657475376E-2</v>
      </c>
      <c r="P23" s="3">
        <f>$T$6/(Table2[[#This Row],[cases]]*5)</f>
        <v>24.681027253668763</v>
      </c>
      <c r="Q23" s="3">
        <f>$T$6/(Table2[[#This Row],[cases]]*7)</f>
        <v>17.629305181191974</v>
      </c>
      <c r="R23" s="3">
        <f>Table2[[#This Row],[1-in-X odds, estimating 5x cases infected]]-Table2[[#This Row],[1-in-X odds, estimating 7x cases infected]]</f>
        <v>7.0517220724767888</v>
      </c>
      <c r="S23" s="3">
        <f>(Table2[[#This Row],[1-in-X odds, estimating 5x cases infected]]+Table2[[#This Row],[1-in-X odds, estimating 7x cases infected]])/2</f>
        <v>21.15516621743037</v>
      </c>
      <c r="V23" s="31" t="s">
        <v>48</v>
      </c>
    </row>
    <row r="24" spans="1:22">
      <c r="A24" s="91">
        <v>43932</v>
      </c>
      <c r="B24" s="88">
        <v>4091</v>
      </c>
      <c r="C24" s="71">
        <f>Table2[[#This Row],[cases]]/$B$2</f>
        <v>8.6873611742271407E-3</v>
      </c>
      <c r="D24" s="26">
        <f>(Table2[[#This Row],[cases]]-B23)/B23</f>
        <v>7.20649895178197E-2</v>
      </c>
      <c r="E24" s="38">
        <f t="shared" ref="E24" si="3">(LN(2)/LN(B24/B23))</f>
        <v>9.96091676104197</v>
      </c>
      <c r="F24" s="81">
        <f>Table2[[#This Row],[cases]]*100/$T$19</f>
        <v>12396.969696969696</v>
      </c>
      <c r="G24" s="35">
        <f>Table2[[#This Row],[cases]]*100/$T$13</f>
        <v>10489.74358974359</v>
      </c>
      <c r="H24" s="35">
        <f>Table2[[#This Row],[cases]]*100/$T$16</f>
        <v>15151.851851851852</v>
      </c>
      <c r="I24" s="35">
        <f>Table2[[#This Row],[infection count, high end of estimate range]]-Table2[[#This Row],[infection count, low end of estimate range]]</f>
        <v>4662.1082621082624</v>
      </c>
      <c r="J24" s="35">
        <f>(Table2[[#This Row],[infection count, low end of estimate range]]+Table2[[#This Row],[infection count, high end of estimate range]])/2</f>
        <v>12820.79772079772</v>
      </c>
      <c r="K24" s="26">
        <f>Table2[[#This Row],[estimated infections]]/$T$6</f>
        <v>2.6325336891597394E-2</v>
      </c>
      <c r="L24" s="27">
        <f>Table2[[#This Row],[infection count, low end of estimate range]]/$T$6</f>
        <v>2.2275285062120877E-2</v>
      </c>
      <c r="M24" s="27">
        <f>Table2[[#This Row],[infection count, high end of estimate range]]/$T$6</f>
        <v>3.2175411756396821E-2</v>
      </c>
      <c r="N24" s="15">
        <f>Table2[[#This Row],[infection percentage, high end of estimate range]]-Table2[[#This Row],[infection percentage, low end of estimate range]]</f>
        <v>9.9001266942759444E-3</v>
      </c>
      <c r="O24" s="27">
        <f>(Table2[[#This Row],[infection percentage, low end of estimate range]]+Table2[[#This Row],[infection percentage, high end of estimate range]])/2</f>
        <v>2.7225348409258849E-2</v>
      </c>
      <c r="P24" s="3">
        <f>$T$6/(Table2[[#This Row],[cases]]*5)</f>
        <v>23.021950623319483</v>
      </c>
      <c r="Q24" s="3">
        <f>$T$6/(Table2[[#This Row],[cases]]*7)</f>
        <v>16.444250445228203</v>
      </c>
      <c r="R24" s="3">
        <f>Table2[[#This Row],[1-in-X odds, estimating 5x cases infected]]-Table2[[#This Row],[1-in-X odds, estimating 7x cases infected]]</f>
        <v>6.5777001780912805</v>
      </c>
      <c r="S24" s="3">
        <f>(Table2[[#This Row],[1-in-X odds, estimating 5x cases infected]]+Table2[[#This Row],[1-in-X odds, estimating 7x cases infected]])/2</f>
        <v>19.733100534273845</v>
      </c>
      <c r="V24" s="31"/>
    </row>
    <row r="25" spans="1:22">
      <c r="A25" s="91">
        <v>43933</v>
      </c>
      <c r="B25" s="88">
        <v>4273</v>
      </c>
      <c r="C25" s="71">
        <f>Table2[[#This Row],[cases]]/$B$2</f>
        <v>9.0738436317459245E-3</v>
      </c>
      <c r="D25" s="26">
        <f>(Table2[[#This Row],[cases]]-B24)/B24</f>
        <v>4.4487900268882913E-2</v>
      </c>
      <c r="E25" s="38">
        <f t="shared" ref="E25" si="4">(LN(2)/LN(B25/B24))</f>
        <v>15.924637026490627</v>
      </c>
      <c r="F25" s="81">
        <f>Table2[[#This Row],[cases]]*100/$T$19</f>
        <v>12948.484848484848</v>
      </c>
      <c r="G25" s="35">
        <f>Table2[[#This Row],[cases]]*100/$T$13</f>
        <v>10956.410256410256</v>
      </c>
      <c r="H25" s="35">
        <f>Table2[[#This Row],[cases]]*100/$T$16</f>
        <v>15825.925925925925</v>
      </c>
      <c r="I25" s="35">
        <f>Table2[[#This Row],[infection count, high end of estimate range]]-Table2[[#This Row],[infection count, low end of estimate range]]</f>
        <v>4869.5156695156693</v>
      </c>
      <c r="J25" s="35">
        <f>(Table2[[#This Row],[infection count, low end of estimate range]]+Table2[[#This Row],[infection count, high end of estimate range]])/2</f>
        <v>13391.168091168091</v>
      </c>
      <c r="K25" s="26">
        <f>Table2[[#This Row],[estimated infections]]/$T$6</f>
        <v>2.7496495853775525E-2</v>
      </c>
      <c r="L25" s="27">
        <f>Table2[[#This Row],[infection count, low end of estimate range]]/$T$6</f>
        <v>2.3266265722425444E-2</v>
      </c>
      <c r="M25" s="27">
        <f>Table2[[#This Row],[infection count, high end of estimate range]]/$T$6</f>
        <v>3.3606828265725641E-2</v>
      </c>
      <c r="N25" s="15">
        <f>Table2[[#This Row],[infection percentage, high end of estimate range]]-Table2[[#This Row],[infection percentage, low end of estimate range]]</f>
        <v>1.0340562543300198E-2</v>
      </c>
      <c r="O25" s="27">
        <f>(Table2[[#This Row],[infection percentage, low end of estimate range]]+Table2[[#This Row],[infection percentage, high end of estimate range]])/2</f>
        <v>2.8436546994075544E-2</v>
      </c>
      <c r="P25" s="3">
        <f>$T$6/(Table2[[#This Row],[cases]]*5)</f>
        <v>22.04137608237772</v>
      </c>
      <c r="Q25" s="3">
        <f>$T$6/(Table2[[#This Row],[cases]]*7)</f>
        <v>15.743840058841229</v>
      </c>
      <c r="R25" s="3">
        <f>Table2[[#This Row],[1-in-X odds, estimating 5x cases infected]]-Table2[[#This Row],[1-in-X odds, estimating 7x cases infected]]</f>
        <v>6.297536023536491</v>
      </c>
      <c r="S25" s="3">
        <f>(Table2[[#This Row],[1-in-X odds, estimating 5x cases infected]]+Table2[[#This Row],[1-in-X odds, estimating 7x cases infected]])/2</f>
        <v>18.892608070609477</v>
      </c>
      <c r="V25" s="31"/>
    </row>
    <row r="26" spans="1:22">
      <c r="A26" s="91">
        <v>43934</v>
      </c>
      <c r="B26" s="88">
        <v>4487</v>
      </c>
      <c r="C26" s="71">
        <f>Table2[[#This Row],[cases]]/$B$2</f>
        <v>9.5282790488284488E-3</v>
      </c>
      <c r="D26" s="26">
        <f>(Table2[[#This Row],[cases]]-B25)/B25</f>
        <v>5.0081909665340513E-2</v>
      </c>
      <c r="E26" s="38">
        <f t="shared" ref="E26" si="5">(LN(2)/LN(B26/B25))</f>
        <v>14.184021538998522</v>
      </c>
      <c r="F26" s="81">
        <f>Table2[[#This Row],[cases]]*100/$T$19</f>
        <v>13596.969696969696</v>
      </c>
      <c r="G26" s="35">
        <f>Table2[[#This Row],[cases]]*100/$T$13</f>
        <v>11505.128205128205</v>
      </c>
      <c r="H26" s="35">
        <f>Table2[[#This Row],[cases]]*100/$T$16</f>
        <v>16618.518518518518</v>
      </c>
      <c r="I26" s="35">
        <f>Table2[[#This Row],[infection count, high end of estimate range]]-Table2[[#This Row],[infection count, low end of estimate range]]</f>
        <v>5113.3903133903132</v>
      </c>
      <c r="J26" s="35">
        <f>(Table2[[#This Row],[infection count, low end of estimate range]]+Table2[[#This Row],[infection count, high end of estimate range]])/2</f>
        <v>14061.823361823361</v>
      </c>
      <c r="K26" s="26">
        <f>Table2[[#This Row],[estimated infections]]/$T$6</f>
        <v>2.8873572875237719E-2</v>
      </c>
      <c r="L26" s="27">
        <f>Table2[[#This Row],[infection count, low end of estimate range]]/$T$6</f>
        <v>2.4431484740585766E-2</v>
      </c>
      <c r="M26" s="27">
        <f>Table2[[#This Row],[infection count, high end of estimate range]]/$T$6</f>
        <v>3.528992240306833E-2</v>
      </c>
      <c r="N26" s="15">
        <f>Table2[[#This Row],[infection percentage, high end of estimate range]]-Table2[[#This Row],[infection percentage, low end of estimate range]]</f>
        <v>1.0858437662482564E-2</v>
      </c>
      <c r="O26" s="27">
        <f>(Table2[[#This Row],[infection percentage, low end of estimate range]]+Table2[[#This Row],[infection percentage, high end of estimate range]])/2</f>
        <v>2.9860703571827046E-2</v>
      </c>
      <c r="P26" s="3">
        <f>$T$6/(Table2[[#This Row],[cases]]*5)</f>
        <v>20.990149320258524</v>
      </c>
      <c r="Q26" s="3">
        <f>$T$6/(Table2[[#This Row],[cases]]*7)</f>
        <v>14.992963800184661</v>
      </c>
      <c r="R26" s="3">
        <f>Table2[[#This Row],[1-in-X odds, estimating 5x cases infected]]-Table2[[#This Row],[1-in-X odds, estimating 7x cases infected]]</f>
        <v>5.9971855200738631</v>
      </c>
      <c r="S26" s="3">
        <f>(Table2[[#This Row],[1-in-X odds, estimating 5x cases infected]]+Table2[[#This Row],[1-in-X odds, estimating 7x cases infected]])/2</f>
        <v>17.991556560221593</v>
      </c>
      <c r="V26" s="31"/>
    </row>
    <row r="27" spans="1:22">
      <c r="A27" s="91">
        <v>43935</v>
      </c>
      <c r="B27" s="88">
        <v>4648</v>
      </c>
      <c r="C27" s="71">
        <f>Table2[[#This Row],[cases]]/$B$2</f>
        <v>9.8701673766335256E-3</v>
      </c>
      <c r="D27" s="26">
        <f>(Table2[[#This Row],[cases]]-B26)/B26</f>
        <v>3.5881435257410298E-2</v>
      </c>
      <c r="E27" s="38">
        <f t="shared" ref="E27" si="6">(LN(2)/LN(B27/B26))</f>
        <v>19.662247910950395</v>
      </c>
      <c r="F27" s="81">
        <f>Table2[[#This Row],[cases]]*100/$T$19</f>
        <v>14084.848484848484</v>
      </c>
      <c r="G27" s="35">
        <f>Table2[[#This Row],[cases]]*100/$T$13</f>
        <v>11917.948717948719</v>
      </c>
      <c r="H27" s="35">
        <f>Table2[[#This Row],[cases]]*100/$T$16</f>
        <v>17214.814814814814</v>
      </c>
      <c r="I27" s="35">
        <f>Table2[[#This Row],[infection count, high end of estimate range]]-Table2[[#This Row],[infection count, low end of estimate range]]</f>
        <v>5296.8660968660952</v>
      </c>
      <c r="J27" s="35">
        <f>(Table2[[#This Row],[infection count, low end of estimate range]]+Table2[[#This Row],[infection count, high end of estimate range]])/2</f>
        <v>14566.381766381766</v>
      </c>
      <c r="K27" s="26">
        <f>Table2[[#This Row],[estimated infections]]/$T$6</f>
        <v>2.9909598111010682E-2</v>
      </c>
      <c r="L27" s="27">
        <f>Table2[[#This Row],[infection count, low end of estimate range]]/$T$6</f>
        <v>2.5308121478547503E-2</v>
      </c>
      <c r="M27" s="27">
        <f>Table2[[#This Row],[infection count, high end of estimate range]]/$T$6</f>
        <v>3.6556175469013054E-2</v>
      </c>
      <c r="N27" s="15">
        <f>Table2[[#This Row],[infection percentage, high end of estimate range]]-Table2[[#This Row],[infection percentage, low end of estimate range]]</f>
        <v>1.1248053990465551E-2</v>
      </c>
      <c r="O27" s="27">
        <f>(Table2[[#This Row],[infection percentage, low end of estimate range]]+Table2[[#This Row],[infection percentage, high end of estimate range]])/2</f>
        <v>3.0932148473780278E-2</v>
      </c>
      <c r="P27" s="3">
        <f>$T$6/(Table2[[#This Row],[cases]]*5)</f>
        <v>20.263080895008606</v>
      </c>
      <c r="Q27" s="3">
        <f>$T$6/(Table2[[#This Row],[cases]]*7)</f>
        <v>14.473629210720432</v>
      </c>
      <c r="R27" s="3">
        <f>Table2[[#This Row],[1-in-X odds, estimating 5x cases infected]]-Table2[[#This Row],[1-in-X odds, estimating 7x cases infected]]</f>
        <v>5.7894516842881742</v>
      </c>
      <c r="S27" s="3">
        <f>(Table2[[#This Row],[1-in-X odds, estimating 5x cases infected]]+Table2[[#This Row],[1-in-X odds, estimating 7x cases infected]])/2</f>
        <v>17.368355052864519</v>
      </c>
      <c r="V27" s="31"/>
    </row>
    <row r="28" spans="1:22">
      <c r="A28" s="91">
        <v>43936</v>
      </c>
      <c r="B28" s="88">
        <v>4857</v>
      </c>
      <c r="C28" s="71">
        <f>Table2[[#This Row],[cases]]/$B$2</f>
        <v>1.0313985143784215E-2</v>
      </c>
      <c r="D28" s="26">
        <f>(Table2[[#This Row],[cases]]-B27)/B27</f>
        <v>4.4965576592082619E-2</v>
      </c>
      <c r="E28" s="38">
        <f t="shared" ref="E28" si="7">(LN(2)/LN(B28/B27))</f>
        <v>15.759095716636351</v>
      </c>
      <c r="F28" s="81">
        <f>Table2[[#This Row],[cases]]*100/$T$19</f>
        <v>14718.181818181818</v>
      </c>
      <c r="G28" s="35">
        <f>Table2[[#This Row],[cases]]*100/$T$13</f>
        <v>12453.846153846154</v>
      </c>
      <c r="H28" s="35">
        <f>Table2[[#This Row],[cases]]*100/$T$16</f>
        <v>17988.888888888891</v>
      </c>
      <c r="I28" s="35">
        <f>Table2[[#This Row],[infection count, high end of estimate range]]-Table2[[#This Row],[infection count, low end of estimate range]]</f>
        <v>5535.0427350427362</v>
      </c>
      <c r="J28" s="35">
        <f>(Table2[[#This Row],[infection count, low end of estimate range]]+Table2[[#This Row],[infection count, high end of estimate range]])/2</f>
        <v>15221.367521367523</v>
      </c>
      <c r="K28" s="26">
        <f>Table2[[#This Row],[estimated infections]]/$T$6</f>
        <v>3.1254500435709744E-2</v>
      </c>
      <c r="L28" s="27">
        <f>Table2[[#This Row],[infection count, low end of estimate range]]/$T$6</f>
        <v>2.6446115753292861E-2</v>
      </c>
      <c r="M28" s="27">
        <f>Table2[[#This Row],[infection count, high end of estimate range]]/$T$6</f>
        <v>3.8199944976978581E-2</v>
      </c>
      <c r="N28" s="15">
        <f>Table2[[#This Row],[infection percentage, high end of estimate range]]-Table2[[#This Row],[infection percentage, low end of estimate range]]</f>
        <v>1.175382922368572E-2</v>
      </c>
      <c r="O28" s="27">
        <f>(Table2[[#This Row],[infection percentage, low end of estimate range]]+Table2[[#This Row],[infection percentage, high end of estimate range]])/2</f>
        <v>3.2323030365135723E-2</v>
      </c>
      <c r="P28" s="3">
        <f>$T$6/(Table2[[#This Row],[cases]]*5)</f>
        <v>19.391146798435248</v>
      </c>
      <c r="Q28" s="3">
        <f>$T$6/(Table2[[#This Row],[cases]]*7)</f>
        <v>13.850819141739462</v>
      </c>
      <c r="R28" s="3">
        <f>Table2[[#This Row],[1-in-X odds, estimating 5x cases infected]]-Table2[[#This Row],[1-in-X odds, estimating 7x cases infected]]</f>
        <v>5.5403276566957853</v>
      </c>
      <c r="S28" s="3">
        <f>(Table2[[#This Row],[1-in-X odds, estimating 5x cases infected]]+Table2[[#This Row],[1-in-X odds, estimating 7x cases infected]])/2</f>
        <v>16.620982970087354</v>
      </c>
      <c r="V28" s="31"/>
    </row>
    <row r="29" spans="1:22">
      <c r="A29" s="91">
        <v>43937</v>
      </c>
      <c r="B29" s="88">
        <v>5018</v>
      </c>
      <c r="C29" s="71">
        <f>Table2[[#This Row],[cases]]/$B$2</f>
        <v>1.0655873471589292E-2</v>
      </c>
      <c r="D29" s="26">
        <f>(Table2[[#This Row],[cases]]-B28)/B28</f>
        <v>3.3148033765698991E-2</v>
      </c>
      <c r="E29" s="38">
        <f t="shared" ref="E29:E30" si="8">(LN(2)/LN(B29/B28))</f>
        <v>21.255347458768309</v>
      </c>
      <c r="F29" s="81">
        <f>Table2[[#This Row],[cases]]*100/$T$19</f>
        <v>15206.060606060606</v>
      </c>
      <c r="G29" s="35">
        <f>Table2[[#This Row],[cases]]*100/$T$13</f>
        <v>12866.666666666666</v>
      </c>
      <c r="H29" s="35">
        <f>Table2[[#This Row],[cases]]*100/$T$16</f>
        <v>18585.185185185186</v>
      </c>
      <c r="I29" s="35">
        <f>Table2[[#This Row],[infection count, high end of estimate range]]-Table2[[#This Row],[infection count, low end of estimate range]]</f>
        <v>5718.5185185185201</v>
      </c>
      <c r="J29" s="35">
        <f>(Table2[[#This Row],[infection count, low end of estimate range]]+Table2[[#This Row],[infection count, high end of estimate range]])/2</f>
        <v>15725.925925925927</v>
      </c>
      <c r="K29" s="26">
        <f>Table2[[#This Row],[estimated infections]]/$T$6</f>
        <v>3.2290525671482703E-2</v>
      </c>
      <c r="L29" s="27">
        <f>Table2[[#This Row],[infection count, low end of estimate range]]/$T$6</f>
        <v>2.7322752491254595E-2</v>
      </c>
      <c r="M29" s="27">
        <f>Table2[[#This Row],[infection count, high end of estimate range]]/$T$6</f>
        <v>3.9466198042923305E-2</v>
      </c>
      <c r="N29" s="15">
        <f>Table2[[#This Row],[infection percentage, high end of estimate range]]-Table2[[#This Row],[infection percentage, low end of estimate range]]</f>
        <v>1.214344555166871E-2</v>
      </c>
      <c r="O29" s="27">
        <f>(Table2[[#This Row],[infection percentage, low end of estimate range]]+Table2[[#This Row],[infection percentage, high end of estimate range]])/2</f>
        <v>3.3394475267088948E-2</v>
      </c>
      <c r="P29" s="3">
        <f>$T$6/(Table2[[#This Row],[cases]]*5)</f>
        <v>18.768991630131527</v>
      </c>
      <c r="Q29" s="3">
        <f>$T$6/(Table2[[#This Row],[cases]]*7)</f>
        <v>13.40642259295109</v>
      </c>
      <c r="R29" s="3">
        <f>Table2[[#This Row],[1-in-X odds, estimating 5x cases infected]]-Table2[[#This Row],[1-in-X odds, estimating 7x cases infected]]</f>
        <v>5.3625690371804371</v>
      </c>
      <c r="S29" s="3">
        <f>(Table2[[#This Row],[1-in-X odds, estimating 5x cases infected]]+Table2[[#This Row],[1-in-X odds, estimating 7x cases infected]])/2</f>
        <v>16.08770711154131</v>
      </c>
      <c r="V29" s="31"/>
    </row>
    <row r="30" spans="1:22">
      <c r="A30" s="91">
        <v>43938</v>
      </c>
      <c r="B30" s="88">
        <v>5325</v>
      </c>
      <c r="C30" s="71">
        <f>Table2[[#This Row],[cases]]/$B$2</f>
        <v>1.1307797177403942E-2</v>
      </c>
      <c r="D30" s="26">
        <f>(Table2[[#This Row],[cases]]-B29)/B29</f>
        <v>6.1179752889597448E-2</v>
      </c>
      <c r="E30" s="38">
        <f t="shared" si="8"/>
        <v>11.672826375517154</v>
      </c>
      <c r="F30" s="81">
        <f>Table2[[#This Row],[cases]]*100/$T$19</f>
        <v>16136.363636363636</v>
      </c>
      <c r="G30" s="35">
        <f>Table2[[#This Row],[cases]]*100/$T$13</f>
        <v>13653.846153846154</v>
      </c>
      <c r="H30" s="35">
        <f>Table2[[#This Row],[cases]]*100/$T$16</f>
        <v>19722.222222222223</v>
      </c>
      <c r="I30" s="35">
        <f>Table2[[#This Row],[infection count, high end of estimate range]]-Table2[[#This Row],[infection count, low end of estimate range]]</f>
        <v>6068.3760683760684</v>
      </c>
      <c r="J30" s="35">
        <f>(Table2[[#This Row],[infection count, low end of estimate range]]+Table2[[#This Row],[infection count, high end of estimate range]])/2</f>
        <v>16688.034188034188</v>
      </c>
      <c r="K30" s="26">
        <f>Table2[[#This Row],[estimated infections]]/$T$6</f>
        <v>3.4266052052739221E-2</v>
      </c>
      <c r="L30" s="27">
        <f>Table2[[#This Row],[infection count, low end of estimate range]]/$T$6</f>
        <v>2.8994351736933186E-2</v>
      </c>
      <c r="M30" s="27">
        <f>Table2[[#This Row],[infection count, high end of estimate range]]/$T$6</f>
        <v>4.1880730286681267E-2</v>
      </c>
      <c r="N30" s="15">
        <f>Table2[[#This Row],[infection percentage, high end of estimate range]]-Table2[[#This Row],[infection percentage, low end of estimate range]]</f>
        <v>1.2886378549748081E-2</v>
      </c>
      <c r="O30" s="27">
        <f>(Table2[[#This Row],[infection percentage, low end of estimate range]]+Table2[[#This Row],[infection percentage, high end of estimate range]])/2</f>
        <v>3.5437541011807225E-2</v>
      </c>
      <c r="P30" s="3">
        <f>$T$6/(Table2[[#This Row],[cases]]*5)</f>
        <v>17.686910798122067</v>
      </c>
      <c r="Q30" s="3">
        <f>$T$6/(Table2[[#This Row],[cases]]*7)</f>
        <v>12.633507712944333</v>
      </c>
      <c r="R30" s="3">
        <f>Table2[[#This Row],[1-in-X odds, estimating 5x cases infected]]-Table2[[#This Row],[1-in-X odds, estimating 7x cases infected]]</f>
        <v>5.0534030851777345</v>
      </c>
      <c r="S30" s="3">
        <f>(Table2[[#This Row],[1-in-X odds, estimating 5x cases infected]]+Table2[[#This Row],[1-in-X odds, estimating 7x cases infected]])/2</f>
        <v>15.1602092555332</v>
      </c>
      <c r="V30" s="31"/>
    </row>
    <row r="31" spans="1:22">
      <c r="A31" s="91">
        <v>43939</v>
      </c>
      <c r="B31" s="88">
        <v>5473</v>
      </c>
      <c r="C31" s="71">
        <f>Table2[[#This Row],[cases]]/$B$2</f>
        <v>1.1622079615386249E-2</v>
      </c>
      <c r="D31" s="26">
        <f>(Table2[[#This Row],[cases]]-B30)/B30</f>
        <v>2.7793427230046949E-2</v>
      </c>
      <c r="E31" s="38">
        <f t="shared" ref="E31" si="9">(LN(2)/LN(B31/B30))</f>
        <v>25.284238323265988</v>
      </c>
      <c r="F31" s="81">
        <f>Table2[[#This Row],[cases]]*100/$T$19</f>
        <v>16584.848484848484</v>
      </c>
      <c r="G31" s="35">
        <f>Table2[[#This Row],[cases]]*100/$T$13</f>
        <v>14033.333333333334</v>
      </c>
      <c r="H31" s="35">
        <f>Table2[[#This Row],[cases]]*100/$T$16</f>
        <v>20270.370370370369</v>
      </c>
      <c r="I31" s="35">
        <f>Table2[[#This Row],[infection count, high end of estimate range]]-Table2[[#This Row],[infection count, low end of estimate range]]</f>
        <v>6237.0370370370347</v>
      </c>
      <c r="J31" s="35">
        <f>(Table2[[#This Row],[infection count, low end of estimate range]]+Table2[[#This Row],[infection count, high end of estimate range]])/2</f>
        <v>17151.85185185185</v>
      </c>
      <c r="K31" s="26">
        <f>Table2[[#This Row],[estimated infections]]/$T$6</f>
        <v>3.5218423076928025E-2</v>
      </c>
      <c r="L31" s="27">
        <f>Table2[[#This Row],[infection count, low end of estimate range]]/$T$6</f>
        <v>2.9800204142016024E-2</v>
      </c>
      <c r="M31" s="27">
        <f>Table2[[#This Row],[infection count, high end of estimate range]]/$T$6</f>
        <v>4.3044739316245362E-2</v>
      </c>
      <c r="N31" s="15">
        <f>Table2[[#This Row],[infection percentage, high end of estimate range]]-Table2[[#This Row],[infection percentage, low end of estimate range]]</f>
        <v>1.3244535174229338E-2</v>
      </c>
      <c r="O31" s="27">
        <f>(Table2[[#This Row],[infection percentage, low end of estimate range]]+Table2[[#This Row],[infection percentage, high end of estimate range]])/2</f>
        <v>3.6422471729130691E-2</v>
      </c>
      <c r="P31" s="3">
        <f>$T$6/(Table2[[#This Row],[cases]]*5)</f>
        <v>17.208624154942445</v>
      </c>
      <c r="Q31" s="3">
        <f>$T$6/(Table2[[#This Row],[cases]]*7)</f>
        <v>12.29187439638746</v>
      </c>
      <c r="R31" s="3">
        <f>Table2[[#This Row],[1-in-X odds, estimating 5x cases infected]]-Table2[[#This Row],[1-in-X odds, estimating 7x cases infected]]</f>
        <v>4.9167497585549853</v>
      </c>
      <c r="S31" s="3">
        <f>(Table2[[#This Row],[1-in-X odds, estimating 5x cases infected]]+Table2[[#This Row],[1-in-X odds, estimating 7x cases infected]])/2</f>
        <v>14.750249275664952</v>
      </c>
      <c r="V31" s="31"/>
    </row>
    <row r="32" spans="1:22">
      <c r="A32" s="91">
        <v>43940</v>
      </c>
      <c r="B32" s="88">
        <v>5645</v>
      </c>
      <c r="C32" s="71">
        <f>Table2[[#This Row],[cases]]/$B$2</f>
        <v>1.1987326773041361E-2</v>
      </c>
      <c r="D32" s="26">
        <f>(Table2[[#This Row],[cases]]-B31)/B31</f>
        <v>3.1427005298739263E-2</v>
      </c>
      <c r="E32" s="38">
        <f t="shared" ref="E32:E34" si="10">(LN(2)/LN(B32/B31))</f>
        <v>22.400568352945822</v>
      </c>
      <c r="F32" s="81">
        <f>Table2[[#This Row],[cases]]*100/$T$19</f>
        <v>17106.060606060608</v>
      </c>
      <c r="G32" s="35">
        <f>Table2[[#This Row],[cases]]*100/$T$13</f>
        <v>14474.358974358975</v>
      </c>
      <c r="H32" s="35">
        <f>Table2[[#This Row],[cases]]*100/$T$16</f>
        <v>20907.407407407409</v>
      </c>
      <c r="I32" s="35">
        <f>Table2[[#This Row],[infection count, high end of estimate range]]-Table2[[#This Row],[infection count, low end of estimate range]]</f>
        <v>6433.0484330484342</v>
      </c>
      <c r="J32" s="35">
        <f>(Table2[[#This Row],[infection count, low end of estimate range]]+Table2[[#This Row],[infection count, high end of estimate range]])/2</f>
        <v>17690.883190883193</v>
      </c>
      <c r="K32" s="26">
        <f>Table2[[#This Row],[estimated infections]]/$T$6</f>
        <v>3.6325232645579887E-2</v>
      </c>
      <c r="L32" s="27">
        <f>Table2[[#This Row],[infection count, low end of estimate range]]/$T$6</f>
        <v>3.0736735315490673E-2</v>
      </c>
      <c r="M32" s="27">
        <f>Table2[[#This Row],[infection count, high end of estimate range]]/$T$6</f>
        <v>4.4397506566819865E-2</v>
      </c>
      <c r="N32" s="15">
        <f>Table2[[#This Row],[infection percentage, high end of estimate range]]-Table2[[#This Row],[infection percentage, low end of estimate range]]</f>
        <v>1.3660771251329192E-2</v>
      </c>
      <c r="O32" s="27">
        <f>(Table2[[#This Row],[infection percentage, low end of estimate range]]+Table2[[#This Row],[infection percentage, high end of estimate range]])/2</f>
        <v>3.7567120941155267E-2</v>
      </c>
      <c r="P32" s="3">
        <f>$T$6/(Table2[[#This Row],[cases]]*5)</f>
        <v>16.684286979627988</v>
      </c>
      <c r="Q32" s="3">
        <f>$T$6/(Table2[[#This Row],[cases]]*7)</f>
        <v>11.91734784259142</v>
      </c>
      <c r="R32" s="3">
        <f>Table2[[#This Row],[1-in-X odds, estimating 5x cases infected]]-Table2[[#This Row],[1-in-X odds, estimating 7x cases infected]]</f>
        <v>4.7669391370365677</v>
      </c>
      <c r="S32" s="3">
        <f>(Table2[[#This Row],[1-in-X odds, estimating 5x cases infected]]+Table2[[#This Row],[1-in-X odds, estimating 7x cases infected]])/2</f>
        <v>14.300817411109705</v>
      </c>
      <c r="V32" s="31"/>
    </row>
    <row r="33" spans="1:22">
      <c r="A33" s="91">
        <v>43941</v>
      </c>
      <c r="B33" s="88">
        <v>5852</v>
      </c>
      <c r="C33" s="71">
        <f>Table2[[#This Row],[cases]]/$B$2</f>
        <v>1.2426897480219318E-2</v>
      </c>
      <c r="D33" s="26">
        <f>(Table2[[#This Row],[cases]]-B32)/B32</f>
        <v>3.6669619131975202E-2</v>
      </c>
      <c r="E33" s="38">
        <f t="shared" si="10"/>
        <v>19.246985379249875</v>
      </c>
      <c r="F33" s="81">
        <f>Table2[[#This Row],[cases]]*100/$T$19</f>
        <v>17733.333333333332</v>
      </c>
      <c r="G33" s="35">
        <f>Table2[[#This Row],[cases]]*100/$T$13</f>
        <v>15005.128205128205</v>
      </c>
      <c r="H33" s="35">
        <f>Table2[[#This Row],[cases]]*100/$T$16</f>
        <v>21674.074074074073</v>
      </c>
      <c r="I33" s="35">
        <f>Table2[[#This Row],[infection count, high end of estimate range]]-Table2[[#This Row],[infection count, low end of estimate range]]</f>
        <v>6668.9458689458679</v>
      </c>
      <c r="J33" s="35">
        <f>(Table2[[#This Row],[infection count, low end of estimate range]]+Table2[[#This Row],[infection count, high end of estimate range]])/2</f>
        <v>18339.601139601138</v>
      </c>
      <c r="K33" s="26">
        <f>Table2[[#This Row],[estimated infections]]/$T$6</f>
        <v>3.7657265091573688E-2</v>
      </c>
      <c r="L33" s="27">
        <f>Table2[[#This Row],[infection count, low end of estimate range]]/$T$6</f>
        <v>3.1863839692870044E-2</v>
      </c>
      <c r="M33" s="27">
        <f>Table2[[#This Row],[infection count, high end of estimate range]]/$T$6</f>
        <v>4.6025546223034508E-2</v>
      </c>
      <c r="N33" s="15">
        <f>Table2[[#This Row],[infection percentage, high end of estimate range]]-Table2[[#This Row],[infection percentage, low end of estimate range]]</f>
        <v>1.4161706530164464E-2</v>
      </c>
      <c r="O33" s="27">
        <f>(Table2[[#This Row],[infection percentage, low end of estimate range]]+Table2[[#This Row],[infection percentage, high end of estimate range]])/2</f>
        <v>3.8944692957952276E-2</v>
      </c>
      <c r="P33" s="3">
        <f>$T$6/(Table2[[#This Row],[cases]]*5)</f>
        <v>16.094121667805879</v>
      </c>
      <c r="Q33" s="3">
        <f>$T$6/(Table2[[#This Row],[cases]]*7)</f>
        <v>11.495801191289914</v>
      </c>
      <c r="R33" s="3">
        <f>Table2[[#This Row],[1-in-X odds, estimating 5x cases infected]]-Table2[[#This Row],[1-in-X odds, estimating 7x cases infected]]</f>
        <v>4.5983204765159655</v>
      </c>
      <c r="S33" s="3">
        <f>(Table2[[#This Row],[1-in-X odds, estimating 5x cases infected]]+Table2[[#This Row],[1-in-X odds, estimating 7x cases infected]])/2</f>
        <v>13.794961429547897</v>
      </c>
      <c r="V33" s="31"/>
    </row>
    <row r="34" spans="1:22">
      <c r="A34" s="91">
        <v>43942</v>
      </c>
      <c r="B34" s="88">
        <v>6064</v>
      </c>
      <c r="C34" s="71">
        <f>Table2[[#This Row],[cases]]/$B$2</f>
        <v>1.2877085837329109E-2</v>
      </c>
      <c r="D34" s="26">
        <f>(Table2[[#This Row],[cases]]-B33)/B33</f>
        <v>3.6226930963773066E-2</v>
      </c>
      <c r="E34" s="38">
        <f t="shared" si="10"/>
        <v>19.477995929350573</v>
      </c>
      <c r="F34" s="81">
        <f>Table2[[#This Row],[cases]]*100/$T$19</f>
        <v>18375.757575757576</v>
      </c>
      <c r="G34" s="35">
        <f>Table2[[#This Row],[cases]]*100/$T$13</f>
        <v>15548.717948717949</v>
      </c>
      <c r="H34" s="35">
        <f>Table2[[#This Row],[cases]]*100/$T$16</f>
        <v>22459.259259259259</v>
      </c>
      <c r="I34" s="35">
        <f>Table2[[#This Row],[infection count, high end of estimate range]]-Table2[[#This Row],[infection count, low end of estimate range]]</f>
        <v>6910.5413105413099</v>
      </c>
      <c r="J34" s="35">
        <f>(Table2[[#This Row],[infection count, low end of estimate range]]+Table2[[#This Row],[infection count, high end of estimate range]])/2</f>
        <v>19003.988603988604</v>
      </c>
      <c r="K34" s="26">
        <f>Table2[[#This Row],[estimated infections]]/$T$6</f>
        <v>3.9021472234330633E-2</v>
      </c>
      <c r="L34" s="27">
        <f>Table2[[#This Row],[infection count, low end of estimate range]]/$T$6</f>
        <v>3.3018168813664379E-2</v>
      </c>
      <c r="M34" s="27">
        <f>Table2[[#This Row],[infection count, high end of estimate range]]/$T$6</f>
        <v>4.7692910508626327E-2</v>
      </c>
      <c r="N34" s="15">
        <f>Table2[[#This Row],[infection percentage, high end of estimate range]]-Table2[[#This Row],[infection percentage, low end of estimate range]]</f>
        <v>1.4674741694961947E-2</v>
      </c>
      <c r="O34" s="27">
        <f>(Table2[[#This Row],[infection percentage, low end of estimate range]]+Table2[[#This Row],[infection percentage, high end of estimate range]])/2</f>
        <v>4.0355539661145357E-2</v>
      </c>
      <c r="P34" s="3">
        <f>$T$6/(Table2[[#This Row],[cases]]*5)</f>
        <v>15.531464379947229</v>
      </c>
      <c r="Q34" s="3">
        <f>$T$6/(Table2[[#This Row],[cases]]*7)</f>
        <v>11.093903128533736</v>
      </c>
      <c r="R34" s="3">
        <f>Table2[[#This Row],[1-in-X odds, estimating 5x cases infected]]-Table2[[#This Row],[1-in-X odds, estimating 7x cases infected]]</f>
        <v>4.4375612514134932</v>
      </c>
      <c r="S34" s="3">
        <f>(Table2[[#This Row],[1-in-X odds, estimating 5x cases infected]]+Table2[[#This Row],[1-in-X odds, estimating 7x cases infected]])/2</f>
        <v>13.312683754240481</v>
      </c>
      <c r="V34" s="31"/>
    </row>
    <row r="35" spans="1:22">
      <c r="A35" s="91">
        <v>43943</v>
      </c>
      <c r="B35" s="88">
        <v>6227</v>
      </c>
      <c r="C35" s="71">
        <f>Table2[[#This Row],[cases]]/$B$2</f>
        <v>1.3223221225106919E-2</v>
      </c>
      <c r="D35" s="26">
        <f>(Table2[[#This Row],[cases]]-B34)/B34</f>
        <v>2.6879947229551452E-2</v>
      </c>
      <c r="E35" s="38">
        <f t="shared" ref="E35:E44" si="11">(LN(2)/LN(B35/B34))</f>
        <v>26.131817554080403</v>
      </c>
      <c r="F35" s="81">
        <f>Table2[[#This Row],[cases]]*100/$T$19</f>
        <v>18869.696969696968</v>
      </c>
      <c r="G35" s="35">
        <f>Table2[[#This Row],[cases]]*100/$T$13</f>
        <v>15966.666666666666</v>
      </c>
      <c r="H35" s="35">
        <f>Table2[[#This Row],[cases]]*100/$T$16</f>
        <v>23062.962962962964</v>
      </c>
      <c r="I35" s="35">
        <f>Table2[[#This Row],[infection count, high end of estimate range]]-Table2[[#This Row],[infection count, low end of estimate range]]</f>
        <v>7096.2962962962974</v>
      </c>
      <c r="J35" s="35">
        <f>(Table2[[#This Row],[infection count, low end of estimate range]]+Table2[[#This Row],[infection count, high end of estimate range]])/2</f>
        <v>19514.814814814814</v>
      </c>
      <c r="K35" s="26">
        <f>Table2[[#This Row],[estimated infections]]/$T$6</f>
        <v>4.0070367348808845E-2</v>
      </c>
      <c r="L35" s="27">
        <f>Table2[[#This Row],[infection count, low end of estimate range]]/$T$6</f>
        <v>3.39056954489921E-2</v>
      </c>
      <c r="M35" s="27">
        <f>Table2[[#This Row],[infection count, high end of estimate range]]/$T$6</f>
        <v>4.8974893426321928E-2</v>
      </c>
      <c r="N35" s="15">
        <f>Table2[[#This Row],[infection percentage, high end of estimate range]]-Table2[[#This Row],[infection percentage, low end of estimate range]]</f>
        <v>1.5069197977329828E-2</v>
      </c>
      <c r="O35" s="27">
        <f>(Table2[[#This Row],[infection percentage, low end of estimate range]]+Table2[[#This Row],[infection percentage, high end of estimate range]])/2</f>
        <v>4.144029443765701E-2</v>
      </c>
      <c r="P35" s="3">
        <f>$T$6/(Table2[[#This Row],[cases]]*5)</f>
        <v>15.124907660189498</v>
      </c>
      <c r="Q35" s="3">
        <f>$T$6/(Table2[[#This Row],[cases]]*7)</f>
        <v>10.803505471563927</v>
      </c>
      <c r="R35" s="3">
        <f>Table2[[#This Row],[1-in-X odds, estimating 5x cases infected]]-Table2[[#This Row],[1-in-X odds, estimating 7x cases infected]]</f>
        <v>4.3214021886255711</v>
      </c>
      <c r="S35" s="3">
        <f>(Table2[[#This Row],[1-in-X odds, estimating 5x cases infected]]+Table2[[#This Row],[1-in-X odds, estimating 7x cases infected]])/2</f>
        <v>12.964206565876712</v>
      </c>
      <c r="V35" s="31"/>
    </row>
    <row r="36" spans="1:22">
      <c r="A36" s="91">
        <v>43944</v>
      </c>
      <c r="B36" s="88">
        <v>6413</v>
      </c>
      <c r="C36" s="71">
        <f>Table2[[#This Row],[cases]]/$B$2</f>
        <v>1.361819780257117E-2</v>
      </c>
      <c r="D36" s="26">
        <f>(Table2[[#This Row],[cases]]-B35)/B35</f>
        <v>2.9869921310422355E-2</v>
      </c>
      <c r="E36" s="38">
        <f t="shared" si="11"/>
        <v>23.55039768449053</v>
      </c>
      <c r="F36" s="81">
        <f>Table2[[#This Row],[cases]]*100/$T$19</f>
        <v>19433.333333333332</v>
      </c>
      <c r="G36" s="35">
        <f>Table2[[#This Row],[cases]]*100/$T$13</f>
        <v>16443.589743589742</v>
      </c>
      <c r="H36" s="35">
        <f>Table2[[#This Row],[cases]]*100/$T$16</f>
        <v>23751.85185185185</v>
      </c>
      <c r="I36" s="35">
        <f>Table2[[#This Row],[infection count, high end of estimate range]]-Table2[[#This Row],[infection count, low end of estimate range]]</f>
        <v>7308.2621082621081</v>
      </c>
      <c r="J36" s="35">
        <f>(Table2[[#This Row],[infection count, low end of estimate range]]+Table2[[#This Row],[infection count, high end of estimate range]])/2</f>
        <v>20097.720797720795</v>
      </c>
      <c r="K36" s="26">
        <f>Table2[[#This Row],[estimated infections]]/$T$6</f>
        <v>4.1267266068397486E-2</v>
      </c>
      <c r="L36" s="27">
        <f>Table2[[#This Row],[infection count, low end of estimate range]]/$T$6</f>
        <v>3.4918455904028638E-2</v>
      </c>
      <c r="M36" s="27">
        <f>Table2[[#This Row],[infection count, high end of estimate range]]/$T$6</f>
        <v>5.0437769639152481E-2</v>
      </c>
      <c r="N36" s="15">
        <f>Table2[[#This Row],[infection percentage, high end of estimate range]]-Table2[[#This Row],[infection percentage, low end of estimate range]]</f>
        <v>1.5519313735123844E-2</v>
      </c>
      <c r="O36" s="27">
        <f>(Table2[[#This Row],[infection percentage, low end of estimate range]]+Table2[[#This Row],[infection percentage, high end of estimate range]])/2</f>
        <v>4.2678112771590559E-2</v>
      </c>
      <c r="P36" s="3">
        <f>$T$6/(Table2[[#This Row],[cases]]*5)</f>
        <v>14.686231093092157</v>
      </c>
      <c r="Q36" s="3">
        <f>$T$6/(Table2[[#This Row],[cases]]*7)</f>
        <v>10.490165066494397</v>
      </c>
      <c r="R36" s="3">
        <f>Table2[[#This Row],[1-in-X odds, estimating 5x cases infected]]-Table2[[#This Row],[1-in-X odds, estimating 7x cases infected]]</f>
        <v>4.1960660265977605</v>
      </c>
      <c r="S36" s="3">
        <f>(Table2[[#This Row],[1-in-X odds, estimating 5x cases infected]]+Table2[[#This Row],[1-in-X odds, estimating 7x cases infected]])/2</f>
        <v>12.588198079793276</v>
      </c>
      <c r="V36" s="31"/>
    </row>
    <row r="37" spans="1:22">
      <c r="A37" s="91">
        <v>43945</v>
      </c>
      <c r="B37" s="88">
        <v>6658</v>
      </c>
      <c r="C37" s="71">
        <f>Table2[[#This Row],[cases]]/$B$2</f>
        <v>1.4138462649231069E-2</v>
      </c>
      <c r="D37" s="26">
        <f>(Table2[[#This Row],[cases]]-B36)/B36</f>
        <v>3.8203648838297209E-2</v>
      </c>
      <c r="E37" s="38">
        <f t="shared" si="11"/>
        <v>18.487889118218384</v>
      </c>
      <c r="F37" s="81">
        <f>Table2[[#This Row],[cases]]*100/$T$19</f>
        <v>20175.757575757576</v>
      </c>
      <c r="G37" s="35">
        <f>Table2[[#This Row],[cases]]*100/$T$13</f>
        <v>17071.794871794871</v>
      </c>
      <c r="H37" s="35">
        <f>Table2[[#This Row],[cases]]*100/$T$16</f>
        <v>24659.259259259259</v>
      </c>
      <c r="I37" s="35">
        <f>Table2[[#This Row],[infection count, high end of estimate range]]-Table2[[#This Row],[infection count, low end of estimate range]]</f>
        <v>7587.464387464388</v>
      </c>
      <c r="J37" s="35">
        <f>(Table2[[#This Row],[infection count, low end of estimate range]]+Table2[[#This Row],[infection count, high end of estimate range]])/2</f>
        <v>20865.527065527065</v>
      </c>
      <c r="K37" s="26">
        <f>Table2[[#This Row],[estimated infections]]/$T$6</f>
        <v>4.2843826209791123E-2</v>
      </c>
      <c r="L37" s="27">
        <f>Table2[[#This Row],[infection count, low end of estimate range]]/$T$6</f>
        <v>3.6252468331361719E-2</v>
      </c>
      <c r="M37" s="27">
        <f>Table2[[#This Row],[infection count, high end of estimate range]]/$T$6</f>
        <v>5.236467647863359E-2</v>
      </c>
      <c r="N37" s="15">
        <f>Table2[[#This Row],[infection percentage, high end of estimate range]]-Table2[[#This Row],[infection percentage, low end of estimate range]]</f>
        <v>1.6112208147271871E-2</v>
      </c>
      <c r="O37" s="27">
        <f>(Table2[[#This Row],[infection percentage, low end of estimate range]]+Table2[[#This Row],[infection percentage, high end of estimate range]])/2</f>
        <v>4.4308572404997651E-2</v>
      </c>
      <c r="P37" s="3">
        <f>$T$6/(Table2[[#This Row],[cases]]*5)</f>
        <v>14.145809552418143</v>
      </c>
      <c r="Q37" s="3">
        <f>$T$6/(Table2[[#This Row],[cases]]*7)</f>
        <v>10.104149680298674</v>
      </c>
      <c r="R37" s="3">
        <f>Table2[[#This Row],[1-in-X odds, estimating 5x cases infected]]-Table2[[#This Row],[1-in-X odds, estimating 7x cases infected]]</f>
        <v>4.0416598721194692</v>
      </c>
      <c r="S37" s="3">
        <f>(Table2[[#This Row],[1-in-X odds, estimating 5x cases infected]]+Table2[[#This Row],[1-in-X odds, estimating 7x cases infected]])/2</f>
        <v>12.124979616358409</v>
      </c>
      <c r="V37" s="31"/>
    </row>
    <row r="38" spans="1:22">
      <c r="A38" s="91">
        <v>43946</v>
      </c>
      <c r="B38" s="88">
        <v>6710</v>
      </c>
      <c r="C38" s="71">
        <f>Table2[[#This Row],[cases]]/$B$2</f>
        <v>1.424888620852215E-2</v>
      </c>
      <c r="D38" s="26">
        <f>(Table2[[#This Row],[cases]]-B37)/B37</f>
        <v>7.8101531991589066E-3</v>
      </c>
      <c r="E38" s="38">
        <f t="shared" si="11"/>
        <v>89.095622829796753</v>
      </c>
      <c r="F38" s="81">
        <f>Table2[[#This Row],[cases]]*100/$T$19</f>
        <v>20333.333333333332</v>
      </c>
      <c r="G38" s="35">
        <f>Table2[[#This Row],[cases]]*100/$T$13</f>
        <v>17205.128205128207</v>
      </c>
      <c r="H38" s="35">
        <f>Table2[[#This Row],[cases]]*100/$T$16</f>
        <v>24851.85185185185</v>
      </c>
      <c r="I38" s="35">
        <f>Table2[[#This Row],[infection count, high end of estimate range]]-Table2[[#This Row],[infection count, low end of estimate range]]</f>
        <v>7646.7236467236435</v>
      </c>
      <c r="J38" s="35">
        <f>(Table2[[#This Row],[infection count, low end of estimate range]]+Table2[[#This Row],[infection count, high end of estimate range]])/2</f>
        <v>21028.490028490029</v>
      </c>
      <c r="K38" s="26">
        <f>Table2[[#This Row],[estimated infections]]/$T$6</f>
        <v>4.3178443056127724E-2</v>
      </c>
      <c r="L38" s="27">
        <f>Table2[[#This Row],[infection count, low end of estimate range]]/$T$6</f>
        <v>3.6535605662877314E-2</v>
      </c>
      <c r="M38" s="27">
        <f>Table2[[#This Row],[infection count, high end of estimate range]]/$T$6</f>
        <v>5.2773652624156113E-2</v>
      </c>
      <c r="N38" s="15">
        <f>Table2[[#This Row],[infection percentage, high end of estimate range]]-Table2[[#This Row],[infection percentage, low end of estimate range]]</f>
        <v>1.6238046961278799E-2</v>
      </c>
      <c r="O38" s="27">
        <f>(Table2[[#This Row],[infection percentage, low end of estimate range]]+Table2[[#This Row],[infection percentage, high end of estimate range]])/2</f>
        <v>4.4654629143516714E-2</v>
      </c>
      <c r="P38" s="3">
        <f>$T$6/(Table2[[#This Row],[cases]]*5)</f>
        <v>14.036184798807749</v>
      </c>
      <c r="Q38" s="3">
        <f>$T$6/(Table2[[#This Row],[cases]]*7)</f>
        <v>10.025846284862679</v>
      </c>
      <c r="R38" s="3">
        <f>Table2[[#This Row],[1-in-X odds, estimating 5x cases infected]]-Table2[[#This Row],[1-in-X odds, estimating 7x cases infected]]</f>
        <v>4.0103385139450705</v>
      </c>
      <c r="S38" s="3">
        <f>(Table2[[#This Row],[1-in-X odds, estimating 5x cases infected]]+Table2[[#This Row],[1-in-X odds, estimating 7x cases infected]])/2</f>
        <v>12.031015541835213</v>
      </c>
      <c r="V38" s="31"/>
    </row>
    <row r="39" spans="1:22">
      <c r="A39" s="91">
        <v>43947</v>
      </c>
      <c r="B39" s="88">
        <v>7001</v>
      </c>
      <c r="C39" s="71">
        <f>Table2[[#This Row],[cases]]/$B$2</f>
        <v>1.486683343455493E-2</v>
      </c>
      <c r="D39" s="26">
        <f>(Table2[[#This Row],[cases]]-B38)/B38</f>
        <v>4.3368107302533529E-2</v>
      </c>
      <c r="E39" s="38">
        <f t="shared" si="11"/>
        <v>16.326999709277924</v>
      </c>
      <c r="F39" s="81">
        <f>Table2[[#This Row],[cases]]*100/$T$19</f>
        <v>21215.151515151516</v>
      </c>
      <c r="G39" s="35">
        <f>Table2[[#This Row],[cases]]*100/$T$13</f>
        <v>17951.282051282051</v>
      </c>
      <c r="H39" s="35">
        <f>Table2[[#This Row],[cases]]*100/$T$16</f>
        <v>25929.629629629631</v>
      </c>
      <c r="I39" s="35">
        <f>Table2[[#This Row],[infection count, high end of estimate range]]-Table2[[#This Row],[infection count, low end of estimate range]]</f>
        <v>7978.3475783475806</v>
      </c>
      <c r="J39" s="35">
        <f>(Table2[[#This Row],[infection count, low end of estimate range]]+Table2[[#This Row],[infection count, high end of estimate range]])/2</f>
        <v>21940.455840455841</v>
      </c>
      <c r="K39" s="26">
        <f>Table2[[#This Row],[estimated infections]]/$T$6</f>
        <v>4.505101040774221E-2</v>
      </c>
      <c r="L39" s="27">
        <f>Table2[[#This Row],[infection count, low end of estimate range]]/$T$6</f>
        <v>3.8120085729628023E-2</v>
      </c>
      <c r="M39" s="27">
        <f>Table2[[#This Row],[infection count, high end of estimate range]]/$T$6</f>
        <v>5.5062346053907148E-2</v>
      </c>
      <c r="N39" s="15">
        <f>Table2[[#This Row],[infection percentage, high end of estimate range]]-Table2[[#This Row],[infection percentage, low end of estimate range]]</f>
        <v>1.6942260324279125E-2</v>
      </c>
      <c r="O39" s="27">
        <f>(Table2[[#This Row],[infection percentage, low end of estimate range]]+Table2[[#This Row],[infection percentage, high end of estimate range]])/2</f>
        <v>4.6591215891767582E-2</v>
      </c>
      <c r="P39" s="3">
        <f>$T$6/(Table2[[#This Row],[cases]]*5)</f>
        <v>13.452763890872733</v>
      </c>
      <c r="Q39" s="3">
        <f>$T$6/(Table2[[#This Row],[cases]]*7)</f>
        <v>9.6091170649090945</v>
      </c>
      <c r="R39" s="3">
        <f>Table2[[#This Row],[1-in-X odds, estimating 5x cases infected]]-Table2[[#This Row],[1-in-X odds, estimating 7x cases infected]]</f>
        <v>3.8436468259636385</v>
      </c>
      <c r="S39" s="3">
        <f>(Table2[[#This Row],[1-in-X odds, estimating 5x cases infected]]+Table2[[#This Row],[1-in-X odds, estimating 7x cases infected]])/2</f>
        <v>11.530940477890914</v>
      </c>
      <c r="V39" s="31"/>
    </row>
    <row r="40" spans="1:22">
      <c r="A40" s="91">
        <v>43948</v>
      </c>
      <c r="B40" s="88">
        <v>7159</v>
      </c>
      <c r="C40" s="71">
        <f>Table2[[#This Row],[cases]]/$B$2</f>
        <v>1.5202351172400905E-2</v>
      </c>
      <c r="D40" s="26">
        <f>(Table2[[#This Row],[cases]]-B39)/B39</f>
        <v>2.2568204542208255E-2</v>
      </c>
      <c r="E40" s="38">
        <f t="shared" si="11"/>
        <v>31.058723813341835</v>
      </c>
      <c r="F40" s="81">
        <f>Table2[[#This Row],[cases]]*100/$T$19</f>
        <v>21693.939393939392</v>
      </c>
      <c r="G40" s="35">
        <f>Table2[[#This Row],[cases]]*100/$T$13</f>
        <v>18356.410256410258</v>
      </c>
      <c r="H40" s="35">
        <f>Table2[[#This Row],[cases]]*100/$T$16</f>
        <v>26514.814814814814</v>
      </c>
      <c r="I40" s="35">
        <f>Table2[[#This Row],[infection count, high end of estimate range]]-Table2[[#This Row],[infection count, low end of estimate range]]</f>
        <v>8158.4045584045562</v>
      </c>
      <c r="J40" s="35">
        <f>(Table2[[#This Row],[infection count, low end of estimate range]]+Table2[[#This Row],[infection count, high end of estimate range]])/2</f>
        <v>22435.612535612534</v>
      </c>
      <c r="K40" s="26">
        <f>Table2[[#This Row],[estimated infections]]/$T$6</f>
        <v>4.6067730825457287E-2</v>
      </c>
      <c r="L40" s="27">
        <f>Table2[[#This Row],[infection count, low end of estimate range]]/$T$6</f>
        <v>3.8980387621540789E-2</v>
      </c>
      <c r="M40" s="27">
        <f>Table2[[#This Row],[infection count, high end of estimate range]]/$T$6</f>
        <v>5.6305004342225573E-2</v>
      </c>
      <c r="N40" s="15">
        <f>Table2[[#This Row],[infection percentage, high end of estimate range]]-Table2[[#This Row],[infection percentage, low end of estimate range]]</f>
        <v>1.7324616720684784E-2</v>
      </c>
      <c r="O40" s="27">
        <f>(Table2[[#This Row],[infection percentage, low end of estimate range]]+Table2[[#This Row],[infection percentage, high end of estimate range]])/2</f>
        <v>4.7642695981883185E-2</v>
      </c>
      <c r="P40" s="3">
        <f>$T$6/(Table2[[#This Row],[cases]]*5)</f>
        <v>13.155859756949294</v>
      </c>
      <c r="Q40" s="3">
        <f>$T$6/(Table2[[#This Row],[cases]]*7)</f>
        <v>9.3970426835352097</v>
      </c>
      <c r="R40" s="3">
        <f>Table2[[#This Row],[1-in-X odds, estimating 5x cases infected]]-Table2[[#This Row],[1-in-X odds, estimating 7x cases infected]]</f>
        <v>3.7588170734140842</v>
      </c>
      <c r="S40" s="3">
        <f>(Table2[[#This Row],[1-in-X odds, estimating 5x cases infected]]+Table2[[#This Row],[1-in-X odds, estimating 7x cases infected]])/2</f>
        <v>11.276451220242251</v>
      </c>
      <c r="V40" s="31"/>
    </row>
    <row r="41" spans="1:22">
      <c r="A41" s="91">
        <v>43949</v>
      </c>
      <c r="B41" s="88">
        <v>7364</v>
      </c>
      <c r="C41" s="71">
        <f>Table2[[#This Row],[cases]]/$B$2</f>
        <v>1.5637674819606127E-2</v>
      </c>
      <c r="D41" s="26">
        <f>(Table2[[#This Row],[cases]]-B40)/B40</f>
        <v>2.8635284257577873E-2</v>
      </c>
      <c r="E41" s="38">
        <f t="shared" si="11"/>
        <v>24.550994839858753</v>
      </c>
      <c r="F41" s="81">
        <f>Table2[[#This Row],[cases]]*100/$T$19</f>
        <v>22315.151515151516</v>
      </c>
      <c r="G41" s="35">
        <f>Table2[[#This Row],[cases]]*100/$T$13</f>
        <v>18882.051282051281</v>
      </c>
      <c r="H41" s="35">
        <f>Table2[[#This Row],[cases]]*100/$T$16</f>
        <v>27274.074074074073</v>
      </c>
      <c r="I41" s="35">
        <f>Table2[[#This Row],[infection count, high end of estimate range]]-Table2[[#This Row],[infection count, low end of estimate range]]</f>
        <v>8392.0227920227917</v>
      </c>
      <c r="J41" s="35">
        <f>(Table2[[#This Row],[infection count, low end of estimate range]]+Table2[[#This Row],[infection count, high end of estimate range]])/2</f>
        <v>23078.062678062677</v>
      </c>
      <c r="K41" s="26">
        <f>Table2[[#This Row],[estimated infections]]/$T$6</f>
        <v>4.7386893392745842E-2</v>
      </c>
      <c r="L41" s="27">
        <f>Table2[[#This Row],[infection count, low end of estimate range]]/$T$6</f>
        <v>4.009660210155417E-2</v>
      </c>
      <c r="M41" s="27">
        <f>Table2[[#This Row],[infection count, high end of estimate range]]/$T$6</f>
        <v>5.791731414668936E-2</v>
      </c>
      <c r="N41" s="15">
        <f>Table2[[#This Row],[infection percentage, high end of estimate range]]-Table2[[#This Row],[infection percentage, low end of estimate range]]</f>
        <v>1.782071204513519E-2</v>
      </c>
      <c r="O41" s="27">
        <f>(Table2[[#This Row],[infection percentage, low end of estimate range]]+Table2[[#This Row],[infection percentage, high end of estimate range]])/2</f>
        <v>4.9006958124121765E-2</v>
      </c>
      <c r="P41" s="3">
        <f>$T$6/(Table2[[#This Row],[cases]]*5)</f>
        <v>12.789625203693644</v>
      </c>
      <c r="Q41" s="3">
        <f>$T$6/(Table2[[#This Row],[cases]]*7)</f>
        <v>9.13544657406689</v>
      </c>
      <c r="R41" s="3">
        <f>Table2[[#This Row],[1-in-X odds, estimating 5x cases infected]]-Table2[[#This Row],[1-in-X odds, estimating 7x cases infected]]</f>
        <v>3.6541786296267542</v>
      </c>
      <c r="S41" s="3">
        <f>(Table2[[#This Row],[1-in-X odds, estimating 5x cases infected]]+Table2[[#This Row],[1-in-X odds, estimating 7x cases infected]])/2</f>
        <v>10.962535888880268</v>
      </c>
      <c r="V41" s="31"/>
    </row>
    <row r="42" spans="1:22">
      <c r="A42" s="91">
        <v>43950</v>
      </c>
      <c r="B42" s="88">
        <v>7418</v>
      </c>
      <c r="C42" s="71">
        <f>Table2[[#This Row],[cases]]/$B$2</f>
        <v>1.5752345438869941E-2</v>
      </c>
      <c r="D42" s="26">
        <f>(Table2[[#This Row],[cases]]-B41)/B41</f>
        <v>7.3329712112982079E-3</v>
      </c>
      <c r="E42" s="38">
        <f t="shared" si="11"/>
        <v>94.870889301226129</v>
      </c>
      <c r="F42" s="81">
        <f>Table2[[#This Row],[cases]]*100/$T$19</f>
        <v>22478.78787878788</v>
      </c>
      <c r="G42" s="35">
        <f>Table2[[#This Row],[cases]]*100/$T$13</f>
        <v>19020.51282051282</v>
      </c>
      <c r="H42" s="35">
        <f>Table2[[#This Row],[cases]]*100/$T$16</f>
        <v>27474.074074074073</v>
      </c>
      <c r="I42" s="35">
        <f>Table2[[#This Row],[infection count, high end of estimate range]]-Table2[[#This Row],[infection count, low end of estimate range]]</f>
        <v>8453.5612535612527</v>
      </c>
      <c r="J42" s="35">
        <f>(Table2[[#This Row],[infection count, low end of estimate range]]+Table2[[#This Row],[infection count, high end of estimate range]])/2</f>
        <v>23247.293447293447</v>
      </c>
      <c r="K42" s="26">
        <f>Table2[[#This Row],[estimated infections]]/$T$6</f>
        <v>4.7734380117787703E-2</v>
      </c>
      <c r="L42" s="27">
        <f>Table2[[#This Row],[infection count, low end of estimate range]]/$T$6</f>
        <v>4.0390629330435752E-2</v>
      </c>
      <c r="M42" s="27">
        <f>Table2[[#This Row],[infection count, high end of estimate range]]/$T$6</f>
        <v>5.8342020143962746E-2</v>
      </c>
      <c r="N42" s="15">
        <f>Table2[[#This Row],[infection percentage, high end of estimate range]]-Table2[[#This Row],[infection percentage, low end of estimate range]]</f>
        <v>1.7951390813526993E-2</v>
      </c>
      <c r="O42" s="27">
        <f>(Table2[[#This Row],[infection percentage, low end of estimate range]]+Table2[[#This Row],[infection percentage, high end of estimate range]])/2</f>
        <v>4.9366324737199249E-2</v>
      </c>
      <c r="P42" s="3">
        <f>$T$6/(Table2[[#This Row],[cases]]*5)</f>
        <v>12.696521973577784</v>
      </c>
      <c r="Q42" s="3">
        <f>$T$6/(Table2[[#This Row],[cases]]*7)</f>
        <v>9.0689442668412745</v>
      </c>
      <c r="R42" s="3">
        <f>Table2[[#This Row],[1-in-X odds, estimating 5x cases infected]]-Table2[[#This Row],[1-in-X odds, estimating 7x cases infected]]</f>
        <v>3.6275777067365098</v>
      </c>
      <c r="S42" s="3">
        <f>(Table2[[#This Row],[1-in-X odds, estimating 5x cases infected]]+Table2[[#This Row],[1-in-X odds, estimating 7x cases infected]])/2</f>
        <v>10.882733120209529</v>
      </c>
      <c r="V42" s="31"/>
    </row>
    <row r="43" spans="1:22">
      <c r="A43" s="91">
        <v>43951</v>
      </c>
      <c r="B43" s="88">
        <v>7490</v>
      </c>
      <c r="C43" s="71">
        <f>Table2[[#This Row],[cases]]/$B$2</f>
        <v>1.5905239597888362E-2</v>
      </c>
      <c r="D43" s="26">
        <f>(Table2[[#This Row],[cases]]-B42)/B42</f>
        <v>9.7061202480452947E-3</v>
      </c>
      <c r="E43" s="38">
        <f t="shared" si="11"/>
        <v>71.759429333057724</v>
      </c>
      <c r="F43" s="81">
        <f>Table2[[#This Row],[cases]]*100/$T$19</f>
        <v>22696.969696969696</v>
      </c>
      <c r="G43" s="35">
        <f>Table2[[#This Row],[cases]]*100/$T$13</f>
        <v>19205.128205128207</v>
      </c>
      <c r="H43" s="35">
        <f>Table2[[#This Row],[cases]]*100/$T$16</f>
        <v>27740.740740740741</v>
      </c>
      <c r="I43" s="35">
        <f>Table2[[#This Row],[infection count, high end of estimate range]]-Table2[[#This Row],[infection count, low end of estimate range]]</f>
        <v>8535.612535612534</v>
      </c>
      <c r="J43" s="35">
        <f>(Table2[[#This Row],[infection count, low end of estimate range]]+Table2[[#This Row],[infection count, high end of estimate range]])/2</f>
        <v>23472.934472934474</v>
      </c>
      <c r="K43" s="26">
        <f>Table2[[#This Row],[estimated infections]]/$T$6</f>
        <v>4.8197695751176849E-2</v>
      </c>
      <c r="L43" s="27">
        <f>Table2[[#This Row],[infection count, low end of estimate range]]/$T$6</f>
        <v>4.0782665635611184E-2</v>
      </c>
      <c r="M43" s="27">
        <f>Table2[[#This Row],[infection count, high end of estimate range]]/$T$6</f>
        <v>5.890829480699393E-2</v>
      </c>
      <c r="N43" s="15">
        <f>Table2[[#This Row],[infection percentage, high end of estimate range]]-Table2[[#This Row],[infection percentage, low end of estimate range]]</f>
        <v>1.8125629171382746E-2</v>
      </c>
      <c r="O43" s="27">
        <f>(Table2[[#This Row],[infection percentage, low end of estimate range]]+Table2[[#This Row],[infection percentage, high end of estimate range]])/2</f>
        <v>4.9845480221302557E-2</v>
      </c>
      <c r="P43" s="3">
        <f>$T$6/(Table2[[#This Row],[cases]]*5)</f>
        <v>12.574472630173565</v>
      </c>
      <c r="Q43" s="3">
        <f>$T$6/(Table2[[#This Row],[cases]]*7)</f>
        <v>8.9817661644096898</v>
      </c>
      <c r="R43" s="3">
        <f>Table2[[#This Row],[1-in-X odds, estimating 5x cases infected]]-Table2[[#This Row],[1-in-X odds, estimating 7x cases infected]]</f>
        <v>3.5927064657638752</v>
      </c>
      <c r="S43" s="3">
        <f>(Table2[[#This Row],[1-in-X odds, estimating 5x cases infected]]+Table2[[#This Row],[1-in-X odds, estimating 7x cases infected]])/2</f>
        <v>10.778119397291627</v>
      </c>
      <c r="V43" s="31"/>
    </row>
    <row r="44" spans="1:22">
      <c r="A44" s="91">
        <v>43952</v>
      </c>
      <c r="B44" s="88">
        <v>7685</v>
      </c>
      <c r="C44" s="71">
        <f>Table2[[#This Row],[cases]]/$B$2</f>
        <v>1.6319327945229913E-2</v>
      </c>
      <c r="D44" s="26">
        <f>(Table2[[#This Row],[cases]]-B43)/B43</f>
        <v>2.6034712950600801E-2</v>
      </c>
      <c r="E44" s="38">
        <f t="shared" si="11"/>
        <v>26.969049960532978</v>
      </c>
      <c r="F44" s="81">
        <f>Table2[[#This Row],[cases]]*100/$T$19</f>
        <v>23287.878787878788</v>
      </c>
      <c r="G44" s="35">
        <f>Table2[[#This Row],[cases]]*100/$T$13</f>
        <v>19705.128205128207</v>
      </c>
      <c r="H44" s="35">
        <f>Table2[[#This Row],[cases]]*100/$T$16</f>
        <v>28462.962962962964</v>
      </c>
      <c r="I44" s="35">
        <f>Table2[[#This Row],[infection count, high end of estimate range]]-Table2[[#This Row],[infection count, low end of estimate range]]</f>
        <v>8757.8347578347566</v>
      </c>
      <c r="J44" s="35">
        <f>(Table2[[#This Row],[infection count, low end of estimate range]]+Table2[[#This Row],[infection count, high end of estimate range]])/2</f>
        <v>24084.045584045583</v>
      </c>
      <c r="K44" s="26">
        <f>Table2[[#This Row],[estimated infections]]/$T$6</f>
        <v>4.9452508924939138E-2</v>
      </c>
      <c r="L44" s="27">
        <f>Table2[[#This Row],[infection count, low end of estimate range]]/$T$6</f>
        <v>4.1844430628794657E-2</v>
      </c>
      <c r="M44" s="27">
        <f>Table2[[#This Row],[infection count, high end of estimate range]]/$T$6</f>
        <v>6.0441955352703386E-2</v>
      </c>
      <c r="N44" s="15">
        <f>Table2[[#This Row],[infection percentage, high end of estimate range]]-Table2[[#This Row],[infection percentage, low end of estimate range]]</f>
        <v>1.8597524723908729E-2</v>
      </c>
      <c r="O44" s="27">
        <f>(Table2[[#This Row],[infection percentage, low end of estimate range]]+Table2[[#This Row],[infection percentage, high end of estimate range]])/2</f>
        <v>5.1143192990749022E-2</v>
      </c>
      <c r="P44" s="3">
        <f>$T$6/(Table2[[#This Row],[cases]]*5)</f>
        <v>12.255406636304489</v>
      </c>
      <c r="Q44" s="3">
        <f>$T$6/(Table2[[#This Row],[cases]]*7)</f>
        <v>8.7538618830746344</v>
      </c>
      <c r="R44" s="3">
        <f>Table2[[#This Row],[1-in-X odds, estimating 5x cases infected]]-Table2[[#This Row],[1-in-X odds, estimating 7x cases infected]]</f>
        <v>3.5015447532298545</v>
      </c>
      <c r="S44" s="3">
        <f>(Table2[[#This Row],[1-in-X odds, estimating 5x cases infected]]+Table2[[#This Row],[1-in-X odds, estimating 7x cases infected]])/2</f>
        <v>10.504634259689562</v>
      </c>
      <c r="V44" s="31"/>
    </row>
    <row r="45" spans="1:22">
      <c r="A45" s="91">
        <v>43953</v>
      </c>
      <c r="B45" s="88">
        <v>7836</v>
      </c>
      <c r="C45" s="71">
        <f>Table2[[#This Row],[cases]]/$B$2</f>
        <v>1.6639980973171323E-2</v>
      </c>
      <c r="D45" s="26">
        <f>(Table2[[#This Row],[cases]]-B44)/B44</f>
        <v>1.9648666232921275E-2</v>
      </c>
      <c r="E45" s="38">
        <f t="shared" ref="E45:E54" si="12">(LN(2)/LN(B45/B44))</f>
        <v>35.622509801798749</v>
      </c>
      <c r="F45" s="81">
        <f>Table2[[#This Row],[cases]]*100/$T$19</f>
        <v>23745.454545454544</v>
      </c>
      <c r="G45" s="35">
        <f>Table2[[#This Row],[cases]]*100/$T$13</f>
        <v>20092.307692307691</v>
      </c>
      <c r="H45" s="35">
        <f>Table2[[#This Row],[cases]]*100/$T$16</f>
        <v>29022.222222222223</v>
      </c>
      <c r="I45" s="35">
        <f>Table2[[#This Row],[infection count, high end of estimate range]]-Table2[[#This Row],[infection count, low end of estimate range]]</f>
        <v>8929.9145299145312</v>
      </c>
      <c r="J45" s="35">
        <f>(Table2[[#This Row],[infection count, low end of estimate range]]+Table2[[#This Row],[infection count, high end of estimate range]])/2</f>
        <v>24557.264957264957</v>
      </c>
      <c r="K45" s="26">
        <f>Table2[[#This Row],[estimated infections]]/$T$6</f>
        <v>5.0424184767185819E-2</v>
      </c>
      <c r="L45" s="27">
        <f>Table2[[#This Row],[infection count, low end of estimate range]]/$T$6</f>
        <v>4.2666617879926462E-2</v>
      </c>
      <c r="M45" s="27">
        <f>Table2[[#This Row],[infection count, high end of estimate range]]/$T$6</f>
        <v>6.1629559159893786E-2</v>
      </c>
      <c r="N45" s="15">
        <f>Table2[[#This Row],[infection percentage, high end of estimate range]]-Table2[[#This Row],[infection percentage, low end of estimate range]]</f>
        <v>1.8962941279967324E-2</v>
      </c>
      <c r="O45" s="27">
        <f>(Table2[[#This Row],[infection percentage, low end of estimate range]]+Table2[[#This Row],[infection percentage, high end of estimate range]])/2</f>
        <v>5.2148088519910124E-2</v>
      </c>
      <c r="P45" s="3">
        <f>$T$6/(Table2[[#This Row],[cases]]*5)</f>
        <v>12.019244512506381</v>
      </c>
      <c r="Q45" s="3">
        <f>$T$6/(Table2[[#This Row],[cases]]*7)</f>
        <v>8.5851746517902718</v>
      </c>
      <c r="R45" s="3">
        <f>Table2[[#This Row],[1-in-X odds, estimating 5x cases infected]]-Table2[[#This Row],[1-in-X odds, estimating 7x cases infected]]</f>
        <v>3.4340698607161091</v>
      </c>
      <c r="S45" s="3">
        <f>(Table2[[#This Row],[1-in-X odds, estimating 5x cases infected]]+Table2[[#This Row],[1-in-X odds, estimating 7x cases infected]])/2</f>
        <v>10.302209582148325</v>
      </c>
      <c r="V45" s="31"/>
    </row>
    <row r="46" spans="1:22">
      <c r="A46" s="91">
        <v>43954</v>
      </c>
      <c r="B46" s="88">
        <v>7928</v>
      </c>
      <c r="C46" s="71">
        <f>Table2[[#This Row],[cases]]/$B$2</f>
        <v>1.6835345731917081E-2</v>
      </c>
      <c r="D46" s="26">
        <f>(Table2[[#This Row],[cases]]-B45)/B45</f>
        <v>1.1740684022460439E-2</v>
      </c>
      <c r="E46" s="38">
        <f t="shared" si="12"/>
        <v>59.383957056845482</v>
      </c>
      <c r="F46" s="81">
        <f>Table2[[#This Row],[cases]]*100/$T$19</f>
        <v>24024.242424242424</v>
      </c>
      <c r="G46" s="35">
        <f>Table2[[#This Row],[cases]]*100/$T$13</f>
        <v>20328.205128205129</v>
      </c>
      <c r="H46" s="35">
        <f>Table2[[#This Row],[cases]]*100/$T$16</f>
        <v>29362.962962962964</v>
      </c>
      <c r="I46" s="35">
        <f>Table2[[#This Row],[infection count, high end of estimate range]]-Table2[[#This Row],[infection count, low end of estimate range]]</f>
        <v>9034.7578347578346</v>
      </c>
      <c r="J46" s="35">
        <f>(Table2[[#This Row],[infection count, low end of estimate range]]+Table2[[#This Row],[infection count, high end of estimate range]])/2</f>
        <v>24845.584045584044</v>
      </c>
      <c r="K46" s="26">
        <f>Table2[[#This Row],[estimated infections]]/$T$6</f>
        <v>5.1016199187627516E-2</v>
      </c>
      <c r="L46" s="27">
        <f>Table2[[#This Row],[infection count, low end of estimate range]]/$T$6</f>
        <v>4.3167553158761744E-2</v>
      </c>
      <c r="M46" s="27">
        <f>Table2[[#This Row],[infection count, high end of estimate range]]/$T$6</f>
        <v>6.2353132340433631E-2</v>
      </c>
      <c r="N46" s="15">
        <f>Table2[[#This Row],[infection percentage, high end of estimate range]]-Table2[[#This Row],[infection percentage, low end of estimate range]]</f>
        <v>1.9185579181671887E-2</v>
      </c>
      <c r="O46" s="27">
        <f>(Table2[[#This Row],[infection percentage, low end of estimate range]]+Table2[[#This Row],[infection percentage, high end of estimate range]])/2</f>
        <v>5.2760342749597691E-2</v>
      </c>
      <c r="P46" s="3">
        <f>$T$6/(Table2[[#This Row],[cases]]*5)</f>
        <v>11.879767911200807</v>
      </c>
      <c r="Q46" s="3">
        <f>$T$6/(Table2[[#This Row],[cases]]*7)</f>
        <v>8.4855485080005764</v>
      </c>
      <c r="R46" s="3">
        <f>Table2[[#This Row],[1-in-X odds, estimating 5x cases infected]]-Table2[[#This Row],[1-in-X odds, estimating 7x cases infected]]</f>
        <v>3.3942194032002302</v>
      </c>
      <c r="S46" s="3">
        <f>(Table2[[#This Row],[1-in-X odds, estimating 5x cases infected]]+Table2[[#This Row],[1-in-X odds, estimating 7x cases infected]])/2</f>
        <v>10.182658209600692</v>
      </c>
      <c r="V46" s="31"/>
    </row>
    <row r="47" spans="1:22">
      <c r="A47" s="91">
        <v>43955</v>
      </c>
      <c r="B47" s="88">
        <v>8166</v>
      </c>
      <c r="C47" s="71">
        <f>Table2[[#This Row],[cases]]/$B$2</f>
        <v>1.7340745868672413E-2</v>
      </c>
      <c r="D47" s="26">
        <f>(Table2[[#This Row],[cases]]-B46)/B46</f>
        <v>3.0020181634712411E-2</v>
      </c>
      <c r="E47" s="38">
        <f t="shared" si="12"/>
        <v>23.434238408786449</v>
      </c>
      <c r="F47" s="81">
        <f>Table2[[#This Row],[cases]]*100/$T$19</f>
        <v>24745.454545454544</v>
      </c>
      <c r="G47" s="35">
        <f>Table2[[#This Row],[cases]]*100/$T$13</f>
        <v>20938.461538461539</v>
      </c>
      <c r="H47" s="35">
        <f>Table2[[#This Row],[cases]]*100/$T$16</f>
        <v>30244.444444444445</v>
      </c>
      <c r="I47" s="35">
        <f>Table2[[#This Row],[infection count, high end of estimate range]]-Table2[[#This Row],[infection count, low end of estimate range]]</f>
        <v>9305.9829059829062</v>
      </c>
      <c r="J47" s="35">
        <f>(Table2[[#This Row],[infection count, low end of estimate range]]+Table2[[#This Row],[infection count, high end of estimate range]])/2</f>
        <v>25591.452991452992</v>
      </c>
      <c r="K47" s="26">
        <f>Table2[[#This Row],[estimated infections]]/$T$6</f>
        <v>5.2547714753552757E-2</v>
      </c>
      <c r="L47" s="27">
        <f>Table2[[#This Row],[infection count, low end of estimate range]]/$T$6</f>
        <v>4.4463450945313877E-2</v>
      </c>
      <c r="M47" s="27">
        <f>Table2[[#This Row],[infection count, high end of estimate range]]/$T$6</f>
        <v>6.4224984698786708E-2</v>
      </c>
      <c r="N47" s="15">
        <f>Table2[[#This Row],[infection percentage, high end of estimate range]]-Table2[[#This Row],[infection percentage, low end of estimate range]]</f>
        <v>1.9761533753472831E-2</v>
      </c>
      <c r="O47" s="27">
        <f>(Table2[[#This Row],[infection percentage, low end of estimate range]]+Table2[[#This Row],[infection percentage, high end of estimate range]])/2</f>
        <v>5.4344217822050289E-2</v>
      </c>
      <c r="P47" s="3">
        <f>$T$6/(Table2[[#This Row],[cases]]*5)</f>
        <v>11.533529267695322</v>
      </c>
      <c r="Q47" s="3">
        <f>$T$6/(Table2[[#This Row],[cases]]*7)</f>
        <v>8.2382351912109435</v>
      </c>
      <c r="R47" s="3">
        <f>Table2[[#This Row],[1-in-X odds, estimating 5x cases infected]]-Table2[[#This Row],[1-in-X odds, estimating 7x cases infected]]</f>
        <v>3.2952940764843781</v>
      </c>
      <c r="S47" s="3">
        <f>(Table2[[#This Row],[1-in-X odds, estimating 5x cases infected]]+Table2[[#This Row],[1-in-X odds, estimating 7x cases infected]])/2</f>
        <v>9.8858822294531326</v>
      </c>
      <c r="V47" s="31"/>
    </row>
    <row r="48" spans="1:22">
      <c r="A48" s="91">
        <v>43956</v>
      </c>
      <c r="B48" s="88">
        <v>8275</v>
      </c>
      <c r="C48" s="71">
        <f>Table2[[#This Row],[cases]]/$B$2</f>
        <v>1.7572210637186409E-2</v>
      </c>
      <c r="D48" s="26">
        <f>(Table2[[#This Row],[cases]]-B47)/B47</f>
        <v>1.3348028410482488E-2</v>
      </c>
      <c r="E48" s="38">
        <f t="shared" si="12"/>
        <v>52.274613886566158</v>
      </c>
      <c r="F48" s="81">
        <f>Table2[[#This Row],[cases]]*100/$T$19</f>
        <v>25075.757575757576</v>
      </c>
      <c r="G48" s="35">
        <f>Table2[[#This Row],[cases]]*100/$T$13</f>
        <v>21217.948717948719</v>
      </c>
      <c r="H48" s="35">
        <f>Table2[[#This Row],[cases]]*100/$T$16</f>
        <v>30648.14814814815</v>
      </c>
      <c r="I48" s="35">
        <f>Table2[[#This Row],[infection count, high end of estimate range]]-Table2[[#This Row],[infection count, low end of estimate range]]</f>
        <v>9430.1994301994309</v>
      </c>
      <c r="J48" s="35">
        <f>(Table2[[#This Row],[infection count, low end of estimate range]]+Table2[[#This Row],[infection count, high end of estimate range]])/2</f>
        <v>25933.048433048432</v>
      </c>
      <c r="K48" s="26">
        <f>Table2[[#This Row],[estimated infections]]/$T$6</f>
        <v>5.3249123142989116E-2</v>
      </c>
      <c r="L48" s="27">
        <f>Table2[[#This Row],[infection count, low end of estimate range]]/$T$6</f>
        <v>4.5056950351760022E-2</v>
      </c>
      <c r="M48" s="27">
        <f>Table2[[#This Row],[infection count, high end of estimate range]]/$T$6</f>
        <v>6.5082261619208923E-2</v>
      </c>
      <c r="N48" s="15">
        <f>Table2[[#This Row],[infection percentage, high end of estimate range]]-Table2[[#This Row],[infection percentage, low end of estimate range]]</f>
        <v>2.00253112674489E-2</v>
      </c>
      <c r="O48" s="27">
        <f>(Table2[[#This Row],[infection percentage, low end of estimate range]]+Table2[[#This Row],[infection percentage, high end of estimate range]])/2</f>
        <v>5.5069605985484472E-2</v>
      </c>
      <c r="P48" s="3">
        <f>$T$6/(Table2[[#This Row],[cases]]*5)</f>
        <v>11.381607250755287</v>
      </c>
      <c r="Q48" s="3">
        <f>$T$6/(Table2[[#This Row],[cases]]*7)</f>
        <v>8.1297194648252056</v>
      </c>
      <c r="R48" s="3">
        <f>Table2[[#This Row],[1-in-X odds, estimating 5x cases infected]]-Table2[[#This Row],[1-in-X odds, estimating 7x cases infected]]</f>
        <v>3.2518877859300819</v>
      </c>
      <c r="S48" s="3">
        <f>(Table2[[#This Row],[1-in-X odds, estimating 5x cases infected]]+Table2[[#This Row],[1-in-X odds, estimating 7x cases infected]])/2</f>
        <v>9.7556633577902474</v>
      </c>
      <c r="V48" s="31"/>
    </row>
    <row r="49" spans="1:22">
      <c r="A49" s="91">
        <v>43957</v>
      </c>
      <c r="B49" s="88">
        <v>8386</v>
      </c>
      <c r="C49" s="71">
        <f>Table2[[#This Row],[cases]]/$B$2</f>
        <v>1.7807922465673139E-2</v>
      </c>
      <c r="D49" s="26">
        <f>(Table2[[#This Row],[cases]]-B48)/B48</f>
        <v>1.3413897280966768E-2</v>
      </c>
      <c r="E49" s="38">
        <f t="shared" si="12"/>
        <v>52.019614008401071</v>
      </c>
      <c r="F49" s="81">
        <f>Table2[[#This Row],[cases]]*100/$T$19</f>
        <v>25412.121212121212</v>
      </c>
      <c r="G49" s="35">
        <f>Table2[[#This Row],[cases]]*100/$T$13</f>
        <v>21502.564102564102</v>
      </c>
      <c r="H49" s="35">
        <f>Table2[[#This Row],[cases]]*100/$T$16</f>
        <v>31059.259259259259</v>
      </c>
      <c r="I49" s="35">
        <f>Table2[[#This Row],[infection count, high end of estimate range]]-Table2[[#This Row],[infection count, low end of estimate range]]</f>
        <v>9556.6951566951575</v>
      </c>
      <c r="J49" s="35">
        <f>(Table2[[#This Row],[infection count, low end of estimate range]]+Table2[[#This Row],[infection count, high end of estimate range]])/2</f>
        <v>26280.911680911682</v>
      </c>
      <c r="K49" s="26">
        <f>Table2[[#This Row],[estimated infections]]/$T$6</f>
        <v>5.3963401411130721E-2</v>
      </c>
      <c r="L49" s="27">
        <f>Table2[[#This Row],[infection count, low end of estimate range]]/$T$6</f>
        <v>4.5661339655572147E-2</v>
      </c>
      <c r="M49" s="27">
        <f>Table2[[#This Row],[infection count, high end of estimate range]]/$T$6</f>
        <v>6.5955268391381994E-2</v>
      </c>
      <c r="N49" s="15">
        <f>Table2[[#This Row],[infection percentage, high end of estimate range]]-Table2[[#This Row],[infection percentage, low end of estimate range]]</f>
        <v>2.0293928735809846E-2</v>
      </c>
      <c r="O49" s="27">
        <f>(Table2[[#This Row],[infection percentage, low end of estimate range]]+Table2[[#This Row],[infection percentage, high end of estimate range]])/2</f>
        <v>5.5808304023477071E-2</v>
      </c>
      <c r="P49" s="3">
        <f>$T$6/(Table2[[#This Row],[cases]]*5)</f>
        <v>11.230956355831147</v>
      </c>
      <c r="Q49" s="3">
        <f>$T$6/(Table2[[#This Row],[cases]]*7)</f>
        <v>8.0221116827365329</v>
      </c>
      <c r="R49" s="3">
        <f>Table2[[#This Row],[1-in-X odds, estimating 5x cases infected]]-Table2[[#This Row],[1-in-X odds, estimating 7x cases infected]]</f>
        <v>3.2088446730946139</v>
      </c>
      <c r="S49" s="3">
        <f>(Table2[[#This Row],[1-in-X odds, estimating 5x cases infected]]+Table2[[#This Row],[1-in-X odds, estimating 7x cases infected]])/2</f>
        <v>9.6265340192838398</v>
      </c>
      <c r="V49" s="31"/>
    </row>
    <row r="50" spans="1:22">
      <c r="A50" s="91">
        <v>43958</v>
      </c>
      <c r="B50" s="88">
        <v>8532</v>
      </c>
      <c r="C50" s="71">
        <f>Table2[[#This Row],[cases]]/$B$2</f>
        <v>1.8117957843682711E-2</v>
      </c>
      <c r="D50" s="26">
        <f>(Table2[[#This Row],[cases]]-B49)/B49</f>
        <v>1.7409968995945622E-2</v>
      </c>
      <c r="E50" s="38">
        <f t="shared" si="12"/>
        <v>40.158811241103884</v>
      </c>
      <c r="F50" s="81">
        <f>Table2[[#This Row],[cases]]*100/$T$19</f>
        <v>25854.545454545456</v>
      </c>
      <c r="G50" s="35">
        <f>Table2[[#This Row],[cases]]*100/$T$13</f>
        <v>21876.923076923078</v>
      </c>
      <c r="H50" s="35">
        <f>Table2[[#This Row],[cases]]*100/$T$16</f>
        <v>31600</v>
      </c>
      <c r="I50" s="35">
        <f>Table2[[#This Row],[infection count, high end of estimate range]]-Table2[[#This Row],[infection count, low end of estimate range]]</f>
        <v>9723.076923076922</v>
      </c>
      <c r="J50" s="35">
        <f>(Table2[[#This Row],[infection count, low end of estimate range]]+Table2[[#This Row],[infection count, high end of estimate range]])/2</f>
        <v>26738.461538461539</v>
      </c>
      <c r="K50" s="26">
        <f>Table2[[#This Row],[estimated infections]]/$T$6</f>
        <v>5.4902902556614279E-2</v>
      </c>
      <c r="L50" s="27">
        <f>Table2[[#This Row],[infection count, low end of estimate range]]/$T$6</f>
        <v>4.6456302163289005E-2</v>
      </c>
      <c r="M50" s="27">
        <f>Table2[[#This Row],[infection count, high end of estimate range]]/$T$6</f>
        <v>6.7103547569195218E-2</v>
      </c>
      <c r="N50" s="15">
        <f>Table2[[#This Row],[infection percentage, high end of estimate range]]-Table2[[#This Row],[infection percentage, low end of estimate range]]</f>
        <v>2.0647245405906213E-2</v>
      </c>
      <c r="O50" s="27">
        <f>(Table2[[#This Row],[infection percentage, low end of estimate range]]+Table2[[#This Row],[infection percentage, high end of estimate range]])/2</f>
        <v>5.6779924866242115E-2</v>
      </c>
      <c r="P50" s="3">
        <f>$T$6/(Table2[[#This Row],[cases]]*5)</f>
        <v>11.038771683075481</v>
      </c>
      <c r="Q50" s="3">
        <f>$T$6/(Table2[[#This Row],[cases]]*7)</f>
        <v>7.8848369164824863</v>
      </c>
      <c r="R50" s="3">
        <f>Table2[[#This Row],[1-in-X odds, estimating 5x cases infected]]-Table2[[#This Row],[1-in-X odds, estimating 7x cases infected]]</f>
        <v>3.1539347665929949</v>
      </c>
      <c r="S50" s="3">
        <f>(Table2[[#This Row],[1-in-X odds, estimating 5x cases infected]]+Table2[[#This Row],[1-in-X odds, estimating 7x cases infected]])/2</f>
        <v>9.4618042997789829</v>
      </c>
      <c r="V50" s="31"/>
    </row>
    <row r="51" spans="1:22">
      <c r="A51" s="91">
        <v>43959</v>
      </c>
      <c r="B51" s="88">
        <v>8594</v>
      </c>
      <c r="C51" s="71">
        <f>Table2[[#This Row],[cases]]/$B$2</f>
        <v>1.8249616702837462E-2</v>
      </c>
      <c r="D51" s="26">
        <f>(Table2[[#This Row],[cases]]-B50)/B50</f>
        <v>7.266760431317393E-3</v>
      </c>
      <c r="E51" s="38">
        <f t="shared" si="12"/>
        <v>95.732151243481965</v>
      </c>
      <c r="F51" s="81">
        <f>Table2[[#This Row],[cases]]*100/$T$19</f>
        <v>26042.424242424244</v>
      </c>
      <c r="G51" s="35">
        <f>Table2[[#This Row],[cases]]*100/$T$13</f>
        <v>22035.897435897437</v>
      </c>
      <c r="H51" s="35">
        <f>Table2[[#This Row],[cases]]*100/$T$16</f>
        <v>31829.629629629631</v>
      </c>
      <c r="I51" s="35">
        <f>Table2[[#This Row],[infection count, high end of estimate range]]-Table2[[#This Row],[infection count, low end of estimate range]]</f>
        <v>9793.732193732194</v>
      </c>
      <c r="J51" s="35">
        <f>(Table2[[#This Row],[infection count, low end of estimate range]]+Table2[[#This Row],[infection count, high end of estimate range]])/2</f>
        <v>26932.763532763536</v>
      </c>
      <c r="K51" s="26">
        <f>Table2[[#This Row],[estimated infections]]/$T$6</f>
        <v>5.5301868796477159E-2</v>
      </c>
      <c r="L51" s="27">
        <f>Table2[[#This Row],[infection count, low end of estimate range]]/$T$6</f>
        <v>4.6793888981634515E-2</v>
      </c>
      <c r="M51" s="27">
        <f>Table2[[#This Row],[infection count, high end of estimate range]]/$T$6</f>
        <v>6.7591172973472086E-2</v>
      </c>
      <c r="N51" s="15">
        <f>Table2[[#This Row],[infection percentage, high end of estimate range]]-Table2[[#This Row],[infection percentage, low end of estimate range]]</f>
        <v>2.079728399183757E-2</v>
      </c>
      <c r="O51" s="27">
        <f>(Table2[[#This Row],[infection percentage, low end of estimate range]]+Table2[[#This Row],[infection percentage, high end of estimate range]])/2</f>
        <v>5.7192530977553301E-2</v>
      </c>
      <c r="P51" s="3">
        <f>$T$6/(Table2[[#This Row],[cases]]*5)</f>
        <v>10.959134279730044</v>
      </c>
      <c r="Q51" s="3">
        <f>$T$6/(Table2[[#This Row],[cases]]*7)</f>
        <v>7.8279530569500313</v>
      </c>
      <c r="R51" s="3">
        <f>Table2[[#This Row],[1-in-X odds, estimating 5x cases infected]]-Table2[[#This Row],[1-in-X odds, estimating 7x cases infected]]</f>
        <v>3.1311812227800129</v>
      </c>
      <c r="S51" s="3">
        <f>(Table2[[#This Row],[1-in-X odds, estimating 5x cases infected]]+Table2[[#This Row],[1-in-X odds, estimating 7x cases infected]])/2</f>
        <v>9.3935436683400368</v>
      </c>
      <c r="V51" s="31"/>
    </row>
    <row r="52" spans="1:22">
      <c r="A52" s="91">
        <v>43960</v>
      </c>
      <c r="B52" s="88">
        <v>8715</v>
      </c>
      <c r="C52" s="71">
        <f>Table2[[#This Row],[cases]]/$B$2</f>
        <v>1.8506563831187862E-2</v>
      </c>
      <c r="D52" s="26">
        <f>(Table2[[#This Row],[cases]]-B51)/B51</f>
        <v>1.407959041191529E-2</v>
      </c>
      <c r="E52" s="38">
        <f t="shared" si="12"/>
        <v>49.576401282989799</v>
      </c>
      <c r="F52" s="81">
        <f>Table2[[#This Row],[cases]]*100/$T$19</f>
        <v>26409.090909090908</v>
      </c>
      <c r="G52" s="35">
        <f>Table2[[#This Row],[cases]]*100/$T$13</f>
        <v>22346.153846153848</v>
      </c>
      <c r="H52" s="35">
        <f>Table2[[#This Row],[cases]]*100/$T$16</f>
        <v>32277.777777777777</v>
      </c>
      <c r="I52" s="35">
        <f>Table2[[#This Row],[infection count, high end of estimate range]]-Table2[[#This Row],[infection count, low end of estimate range]]</f>
        <v>9931.6239316239298</v>
      </c>
      <c r="J52" s="35">
        <f>(Table2[[#This Row],[infection count, low end of estimate range]]+Table2[[#This Row],[infection count, high end of estimate range]])/2</f>
        <v>27311.965811965812</v>
      </c>
      <c r="K52" s="26">
        <f>Table2[[#This Row],[estimated infections]]/$T$6</f>
        <v>5.6080496458145029E-2</v>
      </c>
      <c r="L52" s="27">
        <f>Table2[[#This Row],[infection count, low end of estimate range]]/$T$6</f>
        <v>4.7452727772276569E-2</v>
      </c>
      <c r="M52" s="27">
        <f>Table2[[#This Row],[infection count, high end of estimate range]]/$T$6</f>
        <v>6.854282900439948E-2</v>
      </c>
      <c r="N52" s="15">
        <f>Table2[[#This Row],[infection percentage, high end of estimate range]]-Table2[[#This Row],[infection percentage, low end of estimate range]]</f>
        <v>2.1090101232122911E-2</v>
      </c>
      <c r="O52" s="27">
        <f>(Table2[[#This Row],[infection percentage, low end of estimate range]]+Table2[[#This Row],[infection percentage, high end of estimate range]])/2</f>
        <v>5.7997778388338028E-2</v>
      </c>
      <c r="P52" s="3">
        <f>$T$6/(Table2[[#This Row],[cases]]*5)</f>
        <v>10.806976477337923</v>
      </c>
      <c r="Q52" s="3">
        <f>$T$6/(Table2[[#This Row],[cases]]*7)</f>
        <v>7.7192689123842309</v>
      </c>
      <c r="R52" s="3">
        <f>Table2[[#This Row],[1-in-X odds, estimating 5x cases infected]]-Table2[[#This Row],[1-in-X odds, estimating 7x cases infected]]</f>
        <v>3.0877075649536918</v>
      </c>
      <c r="S52" s="3">
        <f>(Table2[[#This Row],[1-in-X odds, estimating 5x cases infected]]+Table2[[#This Row],[1-in-X odds, estimating 7x cases infected]])/2</f>
        <v>9.2631226948610763</v>
      </c>
      <c r="V52" s="31"/>
    </row>
    <row r="53" spans="1:22">
      <c r="A53" s="91">
        <v>43961</v>
      </c>
      <c r="B53" s="88">
        <v>8823</v>
      </c>
      <c r="C53" s="71">
        <f>Table2[[#This Row],[cases]]/$B$2</f>
        <v>1.8735905069715491E-2</v>
      </c>
      <c r="D53" s="26">
        <f>(Table2[[#This Row],[cases]]-B52)/B52</f>
        <v>1.2392426850258176E-2</v>
      </c>
      <c r="E53" s="38">
        <f t="shared" si="12"/>
        <v>56.278988829986361</v>
      </c>
      <c r="F53" s="81">
        <f>Table2[[#This Row],[cases]]*100/$T$19</f>
        <v>26736.363636363636</v>
      </c>
      <c r="G53" s="35">
        <f>Table2[[#This Row],[cases]]*100/$T$13</f>
        <v>22623.076923076922</v>
      </c>
      <c r="H53" s="35">
        <f>Table2[[#This Row],[cases]]*100/$T$16</f>
        <v>32677.777777777777</v>
      </c>
      <c r="I53" s="35">
        <f>Table2[[#This Row],[infection count, high end of estimate range]]-Table2[[#This Row],[infection count, low end of estimate range]]</f>
        <v>10054.700854700855</v>
      </c>
      <c r="J53" s="35">
        <f>(Table2[[#This Row],[infection count, low end of estimate range]]+Table2[[#This Row],[infection count, high end of estimate range]])/2</f>
        <v>27650.427350427351</v>
      </c>
      <c r="K53" s="26">
        <f>Table2[[#This Row],[estimated infections]]/$T$6</f>
        <v>5.6775469908228758E-2</v>
      </c>
      <c r="L53" s="27">
        <f>Table2[[#This Row],[infection count, low end of estimate range]]/$T$6</f>
        <v>4.8040782230039714E-2</v>
      </c>
      <c r="M53" s="27">
        <f>Table2[[#This Row],[infection count, high end of estimate range]]/$T$6</f>
        <v>6.9392240998946253E-2</v>
      </c>
      <c r="N53" s="15">
        <f>Table2[[#This Row],[infection percentage, high end of estimate range]]-Table2[[#This Row],[infection percentage, low end of estimate range]]</f>
        <v>2.1351458768906539E-2</v>
      </c>
      <c r="O53" s="27">
        <f>(Table2[[#This Row],[infection percentage, low end of estimate range]]+Table2[[#This Row],[infection percentage, high end of estimate range]])/2</f>
        <v>5.8716511614492983E-2</v>
      </c>
      <c r="P53" s="3">
        <f>$T$6/(Table2[[#This Row],[cases]]*5)</f>
        <v>10.674691148135555</v>
      </c>
      <c r="Q53" s="3">
        <f>$T$6/(Table2[[#This Row],[cases]]*7)</f>
        <v>7.6247793915253963</v>
      </c>
      <c r="R53" s="3">
        <f>Table2[[#This Row],[1-in-X odds, estimating 5x cases infected]]-Table2[[#This Row],[1-in-X odds, estimating 7x cases infected]]</f>
        <v>3.0499117566101583</v>
      </c>
      <c r="S53" s="3">
        <f>(Table2[[#This Row],[1-in-X odds, estimating 5x cases infected]]+Table2[[#This Row],[1-in-X odds, estimating 7x cases infected]])/2</f>
        <v>9.1497352698304759</v>
      </c>
      <c r="V53" s="31"/>
    </row>
    <row r="54" spans="1:22">
      <c r="A54" s="91">
        <v>43962</v>
      </c>
      <c r="B54" s="88">
        <v>8873</v>
      </c>
      <c r="C54" s="71">
        <f>Table2[[#This Row],[cases]]/$B$2</f>
        <v>1.8842081569033838E-2</v>
      </c>
      <c r="D54" s="26">
        <f>(Table2[[#This Row],[cases]]-B53)/B53</f>
        <v>5.6670066870678909E-3</v>
      </c>
      <c r="E54" s="38">
        <f t="shared" si="12"/>
        <v>122.65899865694688</v>
      </c>
      <c r="F54" s="81">
        <f>Table2[[#This Row],[cases]]*100/$T$19</f>
        <v>26887.878787878788</v>
      </c>
      <c r="G54" s="35">
        <f>Table2[[#This Row],[cases]]*100/$T$13</f>
        <v>22751.282051282051</v>
      </c>
      <c r="H54" s="35">
        <f>Table2[[#This Row],[cases]]*100/$T$16</f>
        <v>32862.962962962964</v>
      </c>
      <c r="I54" s="35">
        <f>Table2[[#This Row],[infection count, high end of estimate range]]-Table2[[#This Row],[infection count, low end of estimate range]]</f>
        <v>10111.680911680913</v>
      </c>
      <c r="J54" s="35">
        <f>(Table2[[#This Row],[infection count, low end of estimate range]]+Table2[[#This Row],[infection count, high end of estimate range]])/2</f>
        <v>27807.122507122505</v>
      </c>
      <c r="K54" s="26">
        <f>Table2[[#This Row],[estimated infections]]/$T$6</f>
        <v>5.7097216875860113E-2</v>
      </c>
      <c r="L54" s="27">
        <f>Table2[[#This Row],[infection count, low end of estimate range]]/$T$6</f>
        <v>4.8313029664189322E-2</v>
      </c>
      <c r="M54" s="27">
        <f>Table2[[#This Row],[infection count, high end of estimate range]]/$T$6</f>
        <v>6.9785487292717913E-2</v>
      </c>
      <c r="N54" s="15">
        <f>Table2[[#This Row],[infection percentage, high end of estimate range]]-Table2[[#This Row],[infection percentage, low end of estimate range]]</f>
        <v>2.1472457628528591E-2</v>
      </c>
      <c r="O54" s="27">
        <f>(Table2[[#This Row],[infection percentage, low end of estimate range]]+Table2[[#This Row],[infection percentage, high end of estimate range]])/2</f>
        <v>5.9049258478453617E-2</v>
      </c>
      <c r="P54" s="3">
        <f>$T$6/(Table2[[#This Row],[cases]]*5)</f>
        <v>10.61453848754649</v>
      </c>
      <c r="Q54" s="3">
        <f>$T$6/(Table2[[#This Row],[cases]]*7)</f>
        <v>7.5818132053903495</v>
      </c>
      <c r="R54" s="3">
        <f>Table2[[#This Row],[1-in-X odds, estimating 5x cases infected]]-Table2[[#This Row],[1-in-X odds, estimating 7x cases infected]]</f>
        <v>3.0327252821561403</v>
      </c>
      <c r="S54" s="3">
        <f>(Table2[[#This Row],[1-in-X odds, estimating 5x cases infected]]+Table2[[#This Row],[1-in-X odds, estimating 7x cases infected]])/2</f>
        <v>9.0981758464684201</v>
      </c>
      <c r="V54" s="31"/>
    </row>
    <row r="55" spans="1:22">
      <c r="A55" s="91">
        <v>43963</v>
      </c>
      <c r="B55" s="88">
        <v>9015</v>
      </c>
      <c r="C55" s="71">
        <f>Table2[[#This Row],[cases]]/$B$2</f>
        <v>1.9143622827097941E-2</v>
      </c>
      <c r="D55" s="26">
        <f>(Table2[[#This Row],[cases]]-B54)/B54</f>
        <v>1.6003606446523159E-2</v>
      </c>
      <c r="E55" s="38">
        <f t="shared" ref="E55" si="13">(LN(2)/LN(B55/B54))</f>
        <v>43.657592657146672</v>
      </c>
      <c r="F55" s="81">
        <f>Table2[[#This Row],[cases]]*100/$T$19</f>
        <v>27318.18181818182</v>
      </c>
      <c r="G55" s="35">
        <f>Table2[[#This Row],[cases]]*100/$T$13</f>
        <v>23115.384615384617</v>
      </c>
      <c r="H55" s="35">
        <f>Table2[[#This Row],[cases]]*100/$T$16</f>
        <v>33388.888888888891</v>
      </c>
      <c r="I55" s="35">
        <f>Table2[[#This Row],[infection count, high end of estimate range]]-Table2[[#This Row],[infection count, low end of estimate range]]</f>
        <v>10273.504273504273</v>
      </c>
      <c r="J55" s="35">
        <f>(Table2[[#This Row],[infection count, low end of estimate range]]+Table2[[#This Row],[infection count, high end of estimate range]])/2</f>
        <v>28252.136752136754</v>
      </c>
      <c r="K55" s="26">
        <f>Table2[[#This Row],[estimated infections]]/$T$6</f>
        <v>5.8010978263933158E-2</v>
      </c>
      <c r="L55" s="27">
        <f>Table2[[#This Row],[infection count, low end of estimate range]]/$T$6</f>
        <v>4.9086212377174213E-2</v>
      </c>
      <c r="M55" s="27">
        <f>Table2[[#This Row],[infection count, high end of estimate range]]/$T$6</f>
        <v>7.090230676702941E-2</v>
      </c>
      <c r="N55" s="15">
        <f>Table2[[#This Row],[infection percentage, high end of estimate range]]-Table2[[#This Row],[infection percentage, low end of estimate range]]</f>
        <v>2.1816094389855198E-2</v>
      </c>
      <c r="O55" s="27">
        <f>(Table2[[#This Row],[infection percentage, low end of estimate range]]+Table2[[#This Row],[infection percentage, high end of estimate range]])/2</f>
        <v>5.9994259572101812E-2</v>
      </c>
      <c r="P55" s="3">
        <f>$T$6/(Table2[[#This Row],[cases]]*5)</f>
        <v>10.447343316694399</v>
      </c>
      <c r="Q55" s="3">
        <f>$T$6/(Table2[[#This Row],[cases]]*7)</f>
        <v>7.462388083353142</v>
      </c>
      <c r="R55" s="3">
        <f>Table2[[#This Row],[1-in-X odds, estimating 5x cases infected]]-Table2[[#This Row],[1-in-X odds, estimating 7x cases infected]]</f>
        <v>2.9849552333412568</v>
      </c>
      <c r="S55" s="3">
        <f>(Table2[[#This Row],[1-in-X odds, estimating 5x cases infected]]+Table2[[#This Row],[1-in-X odds, estimating 7x cases infected]])/2</f>
        <v>8.9548657000237704</v>
      </c>
      <c r="V55" s="31"/>
    </row>
    <row r="56" spans="1:22">
      <c r="A56" s="91">
        <v>43964</v>
      </c>
      <c r="B56" s="88">
        <v>9071</v>
      </c>
      <c r="C56" s="71">
        <f>Table2[[#This Row],[cases]]/$B$2</f>
        <v>1.926254050633449E-2</v>
      </c>
      <c r="D56" s="26">
        <f>(Table2[[#This Row],[cases]]-B55)/B55</f>
        <v>6.2118691070438157E-3</v>
      </c>
      <c r="E56" s="38">
        <f t="shared" ref="E56" si="14">(LN(2)/LN(B56/B55))</f>
        <v>111.93053433065666</v>
      </c>
      <c r="F56" s="81">
        <f>Table2[[#This Row],[cases]]*100/$T$19</f>
        <v>27487.878787878788</v>
      </c>
      <c r="G56" s="35">
        <f>Table2[[#This Row],[cases]]*100/$T$13</f>
        <v>23258.974358974359</v>
      </c>
      <c r="H56" s="35">
        <f>Table2[[#This Row],[cases]]*100/$T$16</f>
        <v>33596.296296296299</v>
      </c>
      <c r="I56" s="35">
        <f>Table2[[#This Row],[infection count, high end of estimate range]]-Table2[[#This Row],[infection count, low end of estimate range]]</f>
        <v>10337.32193732194</v>
      </c>
      <c r="J56" s="35">
        <f>(Table2[[#This Row],[infection count, low end of estimate range]]+Table2[[#This Row],[infection count, high end of estimate range]])/2</f>
        <v>28427.635327635329</v>
      </c>
      <c r="K56" s="26">
        <f>Table2[[#This Row],[estimated infections]]/$T$6</f>
        <v>5.8371334867680272E-2</v>
      </c>
      <c r="L56" s="27">
        <f>Table2[[#This Row],[infection count, low end of estimate range]]/$T$6</f>
        <v>4.9391129503421768E-2</v>
      </c>
      <c r="M56" s="27">
        <f>Table2[[#This Row],[infection count, high end of estimate range]]/$T$6</f>
        <v>7.1342742616053667E-2</v>
      </c>
      <c r="N56" s="15">
        <f>Table2[[#This Row],[infection percentage, high end of estimate range]]-Table2[[#This Row],[infection percentage, low end of estimate range]]</f>
        <v>2.1951613112631899E-2</v>
      </c>
      <c r="O56" s="27">
        <f>(Table2[[#This Row],[infection percentage, low end of estimate range]]+Table2[[#This Row],[infection percentage, high end of estimate range]])/2</f>
        <v>6.0366936059737718E-2</v>
      </c>
      <c r="P56" s="3">
        <f>$T$6/(Table2[[#This Row],[cases]]*5)</f>
        <v>10.38284643368978</v>
      </c>
      <c r="Q56" s="3">
        <f>$T$6/(Table2[[#This Row],[cases]]*7)</f>
        <v>7.416318881206986</v>
      </c>
      <c r="R56" s="3">
        <f>Table2[[#This Row],[1-in-X odds, estimating 5x cases infected]]-Table2[[#This Row],[1-in-X odds, estimating 7x cases infected]]</f>
        <v>2.9665275524827939</v>
      </c>
      <c r="S56" s="3">
        <f>(Table2[[#This Row],[1-in-X odds, estimating 5x cases infected]]+Table2[[#This Row],[1-in-X odds, estimating 7x cases infected]])/2</f>
        <v>8.8995826574483825</v>
      </c>
      <c r="V56" s="31"/>
    </row>
    <row r="57" spans="1:22">
      <c r="A57" s="91">
        <v>43965</v>
      </c>
      <c r="B57" s="88">
        <v>9151</v>
      </c>
      <c r="C57" s="71">
        <f>Table2[[#This Row],[cases]]/$B$2</f>
        <v>1.9432422905243846E-2</v>
      </c>
      <c r="D57" s="26">
        <f>(Table2[[#This Row],[cases]]-B56)/B56</f>
        <v>8.8193142983133063E-3</v>
      </c>
      <c r="E57" s="38">
        <f t="shared" ref="E57" si="15">(LN(2)/LN(B57/B56))</f>
        <v>78.94029233636499</v>
      </c>
      <c r="F57" s="81">
        <f>Table2[[#This Row],[cases]]*100/$T$19</f>
        <v>27730.303030303032</v>
      </c>
      <c r="G57" s="35">
        <f>Table2[[#This Row],[cases]]*100/$T$13</f>
        <v>23464.102564102563</v>
      </c>
      <c r="H57" s="35">
        <f>Table2[[#This Row],[cases]]*100/$T$16</f>
        <v>33892.592592592591</v>
      </c>
      <c r="I57" s="35">
        <f>Table2[[#This Row],[infection count, high end of estimate range]]-Table2[[#This Row],[infection count, low end of estimate range]]</f>
        <v>10428.490028490029</v>
      </c>
      <c r="J57" s="35">
        <f>(Table2[[#This Row],[infection count, low end of estimate range]]+Table2[[#This Row],[infection count, high end of estimate range]])/2</f>
        <v>28678.347578347577</v>
      </c>
      <c r="K57" s="26">
        <f>Table2[[#This Row],[estimated infections]]/$T$6</f>
        <v>5.8886130015890444E-2</v>
      </c>
      <c r="L57" s="27">
        <f>Table2[[#This Row],[infection count, low end of estimate range]]/$T$6</f>
        <v>4.9826725398061135E-2</v>
      </c>
      <c r="M57" s="27">
        <f>Table2[[#This Row],[infection count, high end of estimate range]]/$T$6</f>
        <v>7.1971936686088311E-2</v>
      </c>
      <c r="N57" s="15">
        <f>Table2[[#This Row],[infection percentage, high end of estimate range]]-Table2[[#This Row],[infection percentage, low end of estimate range]]</f>
        <v>2.2145211288027176E-2</v>
      </c>
      <c r="O57" s="27">
        <f>(Table2[[#This Row],[infection percentage, low end of estimate range]]+Table2[[#This Row],[infection percentage, high end of estimate range]])/2</f>
        <v>6.089933104207472E-2</v>
      </c>
      <c r="P57" s="3">
        <f>$T$6/(Table2[[#This Row],[cases]]*5)</f>
        <v>10.292077368593596</v>
      </c>
      <c r="Q57" s="3">
        <f>$T$6/(Table2[[#This Row],[cases]]*7)</f>
        <v>7.351483834709712</v>
      </c>
      <c r="R57" s="3">
        <f>Table2[[#This Row],[1-in-X odds, estimating 5x cases infected]]-Table2[[#This Row],[1-in-X odds, estimating 7x cases infected]]</f>
        <v>2.9405935338838836</v>
      </c>
      <c r="S57" s="3">
        <f>(Table2[[#This Row],[1-in-X odds, estimating 5x cases infected]]+Table2[[#This Row],[1-in-X odds, estimating 7x cases infected]])/2</f>
        <v>8.8217806016516533</v>
      </c>
      <c r="V57" s="31"/>
    </row>
    <row r="58" spans="1:22">
      <c r="A58" s="91">
        <v>43966</v>
      </c>
      <c r="B58" s="88">
        <v>9277</v>
      </c>
      <c r="C58" s="71">
        <f>Table2[[#This Row],[cases]]/$B$2</f>
        <v>1.9699987683526078E-2</v>
      </c>
      <c r="D58" s="26">
        <f>(Table2[[#This Row],[cases]]-B57)/B57</f>
        <v>1.3768986995956725E-2</v>
      </c>
      <c r="E58" s="38">
        <f t="shared" ref="E58:E60" si="16">(LN(2)/LN(B58/B57))</f>
        <v>50.686972970738736</v>
      </c>
      <c r="F58" s="81">
        <f>Table2[[#This Row],[cases]]*100/$T$19</f>
        <v>28112.121212121212</v>
      </c>
      <c r="G58" s="35">
        <f>Table2[[#This Row],[cases]]*100/$T$13</f>
        <v>23787.179487179488</v>
      </c>
      <c r="H58" s="35">
        <f>Table2[[#This Row],[cases]]*100/$T$16</f>
        <v>34359.259259259263</v>
      </c>
      <c r="I58" s="35">
        <f>Table2[[#This Row],[infection count, high end of estimate range]]-Table2[[#This Row],[infection count, low end of estimate range]]</f>
        <v>10572.079772079775</v>
      </c>
      <c r="J58" s="35">
        <f>(Table2[[#This Row],[infection count, low end of estimate range]]+Table2[[#This Row],[infection count, high end of estimate range]])/2</f>
        <v>29073.219373219377</v>
      </c>
      <c r="K58" s="26">
        <f>Table2[[#This Row],[estimated infections]]/$T$6</f>
        <v>5.969693237432145E-2</v>
      </c>
      <c r="L58" s="27">
        <f>Table2[[#This Row],[infection count, low end of estimate range]]/$T$6</f>
        <v>5.0512788932118156E-2</v>
      </c>
      <c r="M58" s="27">
        <f>Table2[[#This Row],[infection count, high end of estimate range]]/$T$6</f>
        <v>7.2962917346392889E-2</v>
      </c>
      <c r="N58" s="15">
        <f>Table2[[#This Row],[infection percentage, high end of estimate range]]-Table2[[#This Row],[infection percentage, low end of estimate range]]</f>
        <v>2.2450128414274732E-2</v>
      </c>
      <c r="O58" s="27">
        <f>(Table2[[#This Row],[infection percentage, low end of estimate range]]+Table2[[#This Row],[infection percentage, high end of estimate range]])/2</f>
        <v>6.1737853139255519E-2</v>
      </c>
      <c r="P58" s="3">
        <f>$T$6/(Table2[[#This Row],[cases]]*5)</f>
        <v>10.152290611188961</v>
      </c>
      <c r="Q58" s="3">
        <f>$T$6/(Table2[[#This Row],[cases]]*7)</f>
        <v>7.2516361508492588</v>
      </c>
      <c r="R58" s="3">
        <f>Table2[[#This Row],[1-in-X odds, estimating 5x cases infected]]-Table2[[#This Row],[1-in-X odds, estimating 7x cases infected]]</f>
        <v>2.9006544603397026</v>
      </c>
      <c r="S58" s="3">
        <f>(Table2[[#This Row],[1-in-X odds, estimating 5x cases infected]]+Table2[[#This Row],[1-in-X odds, estimating 7x cases infected]])/2</f>
        <v>8.7019633810191106</v>
      </c>
      <c r="V58" s="31"/>
    </row>
    <row r="59" spans="1:22">
      <c r="A59" s="91">
        <v>43967</v>
      </c>
      <c r="B59" s="88">
        <v>9444</v>
      </c>
      <c r="C59" s="71">
        <f>Table2[[#This Row],[cases]]/$B$2</f>
        <v>2.0054617191249357E-2</v>
      </c>
      <c r="D59" s="26">
        <f>(Table2[[#This Row],[cases]]-B58)/B58</f>
        <v>1.8001509108548024E-2</v>
      </c>
      <c r="E59" s="38">
        <f t="shared" si="16"/>
        <v>38.850491503432927</v>
      </c>
      <c r="F59" s="81">
        <f>Table2[[#This Row],[cases]]*100/$T$19</f>
        <v>28618.18181818182</v>
      </c>
      <c r="G59" s="35">
        <f>Table2[[#This Row],[cases]]*100/$T$13</f>
        <v>24215.384615384617</v>
      </c>
      <c r="H59" s="35">
        <f>Table2[[#This Row],[cases]]*100/$T$16</f>
        <v>34977.777777777781</v>
      </c>
      <c r="I59" s="35">
        <f>Table2[[#This Row],[infection count, high end of estimate range]]-Table2[[#This Row],[infection count, low end of estimate range]]</f>
        <v>10762.393162393164</v>
      </c>
      <c r="J59" s="35">
        <f>(Table2[[#This Row],[infection count, low end of estimate range]]+Table2[[#This Row],[infection count, high end of estimate range]])/2</f>
        <v>29596.581196581199</v>
      </c>
      <c r="K59" s="26">
        <f>Table2[[#This Row],[estimated infections]]/$T$6</f>
        <v>6.0771567246210176E-2</v>
      </c>
      <c r="L59" s="27">
        <f>Table2[[#This Row],[infection count, low end of estimate range]]/$T$6</f>
        <v>5.1422095362177844E-2</v>
      </c>
      <c r="M59" s="27">
        <f>Table2[[#This Row],[infection count, high end of estimate range]]/$T$6</f>
        <v>7.4276359967590216E-2</v>
      </c>
      <c r="N59" s="15">
        <f>Table2[[#This Row],[infection percentage, high end of estimate range]]-Table2[[#This Row],[infection percentage, low end of estimate range]]</f>
        <v>2.2854264605412372E-2</v>
      </c>
      <c r="O59" s="27">
        <f>(Table2[[#This Row],[infection percentage, low end of estimate range]]+Table2[[#This Row],[infection percentage, high end of estimate range]])/2</f>
        <v>6.284922766488403E-2</v>
      </c>
      <c r="P59" s="3">
        <f>$T$6/(Table2[[#This Row],[cases]]*5)</f>
        <v>9.9727657772130449</v>
      </c>
      <c r="Q59" s="3">
        <f>$T$6/(Table2[[#This Row],[cases]]*7)</f>
        <v>7.1234041265807466</v>
      </c>
      <c r="R59" s="3">
        <f>Table2[[#This Row],[1-in-X odds, estimating 5x cases infected]]-Table2[[#This Row],[1-in-X odds, estimating 7x cases infected]]</f>
        <v>2.8493616506322983</v>
      </c>
      <c r="S59" s="3">
        <f>(Table2[[#This Row],[1-in-X odds, estimating 5x cases infected]]+Table2[[#This Row],[1-in-X odds, estimating 7x cases infected]])/2</f>
        <v>8.5480849518968967</v>
      </c>
      <c r="V59" s="31"/>
    </row>
    <row r="60" spans="1:22">
      <c r="A60" s="91">
        <v>43968</v>
      </c>
      <c r="B60" s="88">
        <v>9589</v>
      </c>
      <c r="C60" s="71">
        <f>Table2[[#This Row],[cases]]/$B$2</f>
        <v>2.0362529039272565E-2</v>
      </c>
      <c r="D60" s="26">
        <f>(Table2[[#This Row],[cases]]-B59)/B59</f>
        <v>1.5353663701821263E-2</v>
      </c>
      <c r="E60" s="38">
        <f t="shared" si="16"/>
        <v>45.491086389368192</v>
      </c>
      <c r="F60" s="81">
        <f>Table2[[#This Row],[cases]]*100/$T$19</f>
        <v>29057.575757575756</v>
      </c>
      <c r="G60" s="35">
        <f>Table2[[#This Row],[cases]]*100/$T$13</f>
        <v>24587.179487179488</v>
      </c>
      <c r="H60" s="35">
        <f>Table2[[#This Row],[cases]]*100/$T$16</f>
        <v>35514.814814814818</v>
      </c>
      <c r="I60" s="35">
        <f>Table2[[#This Row],[infection count, high end of estimate range]]-Table2[[#This Row],[infection count, low end of estimate range]]</f>
        <v>10927.635327635329</v>
      </c>
      <c r="J60" s="35">
        <f>(Table2[[#This Row],[infection count, low end of estimate range]]+Table2[[#This Row],[infection count, high end of estimate range]])/2</f>
        <v>30050.997150997151</v>
      </c>
      <c r="K60" s="26">
        <f>Table2[[#This Row],[estimated infections]]/$T$6</f>
        <v>6.1704633452341097E-2</v>
      </c>
      <c r="L60" s="27">
        <f>Table2[[#This Row],[infection count, low end of estimate range]]/$T$6</f>
        <v>5.2211612921211702E-2</v>
      </c>
      <c r="M60" s="27">
        <f>Table2[[#This Row],[infection count, high end of estimate range]]/$T$6</f>
        <v>7.5416774219528013E-2</v>
      </c>
      <c r="N60" s="15">
        <f>Table2[[#This Row],[infection percentage, high end of estimate range]]-Table2[[#This Row],[infection percentage, low end of estimate range]]</f>
        <v>2.3205161298316311E-2</v>
      </c>
      <c r="O60" s="27">
        <f>(Table2[[#This Row],[infection percentage, low end of estimate range]]+Table2[[#This Row],[infection percentage, high end of estimate range]])/2</f>
        <v>6.3814193570369854E-2</v>
      </c>
      <c r="P60" s="3">
        <f>$T$6/(Table2[[#This Row],[cases]]*5)</f>
        <v>9.8219626655542811</v>
      </c>
      <c r="Q60" s="3">
        <f>$T$6/(Table2[[#This Row],[cases]]*7)</f>
        <v>7.0156876182530574</v>
      </c>
      <c r="R60" s="3">
        <f>Table2[[#This Row],[1-in-X odds, estimating 5x cases infected]]-Table2[[#This Row],[1-in-X odds, estimating 7x cases infected]]</f>
        <v>2.8062750473012237</v>
      </c>
      <c r="S60" s="3">
        <f>(Table2[[#This Row],[1-in-X odds, estimating 5x cases infected]]+Table2[[#This Row],[1-in-X odds, estimating 7x cases infected]])/2</f>
        <v>8.4188251419036693</v>
      </c>
      <c r="V60" s="31"/>
    </row>
    <row r="61" spans="1:22">
      <c r="A61" s="91">
        <v>43969</v>
      </c>
      <c r="B61" s="88">
        <v>9708</v>
      </c>
      <c r="C61" s="71">
        <f>Table2[[#This Row],[cases]]/$B$2</f>
        <v>2.0615229107650228E-2</v>
      </c>
      <c r="D61" s="26">
        <f>(Table2[[#This Row],[cases]]-B60)/B60</f>
        <v>1.2410053185942226E-2</v>
      </c>
      <c r="E61" s="38">
        <f t="shared" ref="E61:E62" si="17">(LN(2)/LN(B61/B60))</f>
        <v>56.199544485007138</v>
      </c>
      <c r="F61" s="81">
        <f>Table2[[#This Row],[cases]]*100/$T$19</f>
        <v>29418.18181818182</v>
      </c>
      <c r="G61" s="35">
        <f>Table2[[#This Row],[cases]]*100/$T$13</f>
        <v>24892.307692307691</v>
      </c>
      <c r="H61" s="35">
        <f>Table2[[#This Row],[cases]]*100/$T$16</f>
        <v>35955.555555555555</v>
      </c>
      <c r="I61" s="35">
        <f>Table2[[#This Row],[infection count, high end of estimate range]]-Table2[[#This Row],[infection count, low end of estimate range]]</f>
        <v>11063.247863247863</v>
      </c>
      <c r="J61" s="35">
        <f>(Table2[[#This Row],[infection count, low end of estimate range]]+Table2[[#This Row],[infection count, high end of estimate range]])/2</f>
        <v>30423.931623931625</v>
      </c>
      <c r="K61" s="26">
        <f>Table2[[#This Row],[estimated infections]]/$T$6</f>
        <v>6.2470391235303728E-2</v>
      </c>
      <c r="L61" s="27">
        <f>Table2[[#This Row],[infection count, low end of estimate range]]/$T$6</f>
        <v>5.2859561814487768E-2</v>
      </c>
      <c r="M61" s="27">
        <f>Table2[[#This Row],[infection count, high end of estimate range]]/$T$6</f>
        <v>7.6352700398704551E-2</v>
      </c>
      <c r="N61" s="15">
        <f>Table2[[#This Row],[infection percentage, high end of estimate range]]-Table2[[#This Row],[infection percentage, low end of estimate range]]</f>
        <v>2.3493138584216783E-2</v>
      </c>
      <c r="O61" s="27">
        <f>(Table2[[#This Row],[infection percentage, low end of estimate range]]+Table2[[#This Row],[infection percentage, high end of estimate range]])/2</f>
        <v>6.460613110659616E-2</v>
      </c>
      <c r="P61" s="3">
        <f>$T$6/(Table2[[#This Row],[cases]]*5)</f>
        <v>9.7015657189946438</v>
      </c>
      <c r="Q61" s="3">
        <f>$T$6/(Table2[[#This Row],[cases]]*7)</f>
        <v>6.9296897992818884</v>
      </c>
      <c r="R61" s="3">
        <f>Table2[[#This Row],[1-in-X odds, estimating 5x cases infected]]-Table2[[#This Row],[1-in-X odds, estimating 7x cases infected]]</f>
        <v>2.7718759197127554</v>
      </c>
      <c r="S61" s="3">
        <f>(Table2[[#This Row],[1-in-X odds, estimating 5x cases infected]]+Table2[[#This Row],[1-in-X odds, estimating 7x cases infected]])/2</f>
        <v>8.3156277591382661</v>
      </c>
      <c r="V61" s="31"/>
    </row>
    <row r="62" spans="1:22">
      <c r="A62" s="91">
        <v>43970</v>
      </c>
      <c r="B62" s="88">
        <v>9752</v>
      </c>
      <c r="C62" s="71">
        <f>Table2[[#This Row],[cases]]/$B$2</f>
        <v>2.0708664427050376E-2</v>
      </c>
      <c r="D62" s="26">
        <f>(Table2[[#This Row],[cases]]-B61)/B61</f>
        <v>4.5323444581788219E-3</v>
      </c>
      <c r="E62" s="38">
        <f t="shared" si="17"/>
        <v>153.27978576692436</v>
      </c>
      <c r="F62" s="81">
        <f>Table2[[#This Row],[cases]]*100/$T$19</f>
        <v>29551.515151515152</v>
      </c>
      <c r="G62" s="35">
        <f>Table2[[#This Row],[cases]]*100/$T$13</f>
        <v>25005.128205128207</v>
      </c>
      <c r="H62" s="35">
        <f>Table2[[#This Row],[cases]]*100/$T$16</f>
        <v>36118.518518518518</v>
      </c>
      <c r="I62" s="35">
        <f>Table2[[#This Row],[infection count, high end of estimate range]]-Table2[[#This Row],[infection count, low end of estimate range]]</f>
        <v>11113.390313390311</v>
      </c>
      <c r="J62" s="35">
        <f>(Table2[[#This Row],[infection count, low end of estimate range]]+Table2[[#This Row],[infection count, high end of estimate range]])/2</f>
        <v>30561.823361823364</v>
      </c>
      <c r="K62" s="26">
        <f>Table2[[#This Row],[estimated infections]]/$T$6</f>
        <v>6.2753528566819317E-2</v>
      </c>
      <c r="L62" s="27">
        <f>Table2[[#This Row],[infection count, low end of estimate range]]/$T$6</f>
        <v>5.3099139556539422E-2</v>
      </c>
      <c r="M62" s="27">
        <f>Table2[[#This Row],[infection count, high end of estimate range]]/$T$6</f>
        <v>7.6698757137223614E-2</v>
      </c>
      <c r="N62" s="15">
        <f>Table2[[#This Row],[infection percentage, high end of estimate range]]-Table2[[#This Row],[infection percentage, low end of estimate range]]</f>
        <v>2.3599617580684192E-2</v>
      </c>
      <c r="O62" s="27">
        <f>(Table2[[#This Row],[infection percentage, low end of estimate range]]+Table2[[#This Row],[infection percentage, high end of estimate range]])/2</f>
        <v>6.4898948346881521E-2</v>
      </c>
      <c r="P62" s="3">
        <f>$T$6/(Table2[[#This Row],[cases]]*5)</f>
        <v>9.6577932731747342</v>
      </c>
      <c r="Q62" s="3">
        <f>$T$6/(Table2[[#This Row],[cases]]*7)</f>
        <v>6.898423766553381</v>
      </c>
      <c r="R62" s="3">
        <f>Table2[[#This Row],[1-in-X odds, estimating 5x cases infected]]-Table2[[#This Row],[1-in-X odds, estimating 7x cases infected]]</f>
        <v>2.7593695066213533</v>
      </c>
      <c r="S62" s="3">
        <f>(Table2[[#This Row],[1-in-X odds, estimating 5x cases infected]]+Table2[[#This Row],[1-in-X odds, estimating 7x cases infected]])/2</f>
        <v>8.2781085198640572</v>
      </c>
      <c r="V62" s="31"/>
    </row>
    <row r="63" spans="1:22">
      <c r="A63" s="91">
        <v>43971</v>
      </c>
      <c r="B63" s="88">
        <v>9801</v>
      </c>
      <c r="C63" s="71">
        <f>Table2[[#This Row],[cases]]/$B$2</f>
        <v>2.0812717396382355E-2</v>
      </c>
      <c r="D63" s="26">
        <f>(Table2[[#This Row],[cases]]-B62)/B62</f>
        <v>5.0246103363412635E-3</v>
      </c>
      <c r="E63" s="38">
        <f t="shared" ref="E63:E66" si="18">(LN(2)/LN(B63/B62))</f>
        <v>138.29671887650707</v>
      </c>
      <c r="F63" s="81">
        <f>Table2[[#This Row],[cases]]*100/$T$19</f>
        <v>29700</v>
      </c>
      <c r="G63" s="35">
        <f>Table2[[#This Row],[cases]]*100/$T$13</f>
        <v>25130.76923076923</v>
      </c>
      <c r="H63" s="35">
        <f>Table2[[#This Row],[cases]]*100/$T$16</f>
        <v>36300</v>
      </c>
      <c r="I63" s="35">
        <f>Table2[[#This Row],[infection count, high end of estimate range]]-Table2[[#This Row],[infection count, low end of estimate range]]</f>
        <v>11169.23076923077</v>
      </c>
      <c r="J63" s="35">
        <f>(Table2[[#This Row],[infection count, low end of estimate range]]+Table2[[#This Row],[infection count, high end of estimate range]])/2</f>
        <v>30715.384615384617</v>
      </c>
      <c r="K63" s="26">
        <f>Table2[[#This Row],[estimated infections]]/$T$6</f>
        <v>6.3068840595098041E-2</v>
      </c>
      <c r="L63" s="27">
        <f>Table2[[#This Row],[infection count, low end of estimate range]]/$T$6</f>
        <v>5.3365942042006037E-2</v>
      </c>
      <c r="M63" s="27">
        <f>Table2[[#This Row],[infection count, high end of estimate range]]/$T$6</f>
        <v>7.7084138505119831E-2</v>
      </c>
      <c r="N63" s="15">
        <f>Table2[[#This Row],[infection percentage, high end of estimate range]]-Table2[[#This Row],[infection percentage, low end of estimate range]]</f>
        <v>2.3718196463113794E-2</v>
      </c>
      <c r="O63" s="27">
        <f>(Table2[[#This Row],[infection percentage, low end of estimate range]]+Table2[[#This Row],[infection percentage, high end of estimate range]])/2</f>
        <v>6.5225040273562934E-2</v>
      </c>
      <c r="P63" s="3">
        <f>$T$6/(Table2[[#This Row],[cases]]*5)</f>
        <v>9.6095092337516572</v>
      </c>
      <c r="Q63" s="3">
        <f>$T$6/(Table2[[#This Row],[cases]]*7)</f>
        <v>6.8639351669654696</v>
      </c>
      <c r="R63" s="3">
        <f>Table2[[#This Row],[1-in-X odds, estimating 5x cases infected]]-Table2[[#This Row],[1-in-X odds, estimating 7x cases infected]]</f>
        <v>2.7455740667861877</v>
      </c>
      <c r="S63" s="3">
        <f>(Table2[[#This Row],[1-in-X odds, estimating 5x cases infected]]+Table2[[#This Row],[1-in-X odds, estimating 7x cases infected]])/2</f>
        <v>8.2367222003585638</v>
      </c>
      <c r="V63" s="31"/>
    </row>
    <row r="64" spans="1:22">
      <c r="A64" s="91">
        <v>43972</v>
      </c>
      <c r="B64" s="88">
        <v>9979</v>
      </c>
      <c r="C64" s="71">
        <f>Table2[[#This Row],[cases]]/$B$2</f>
        <v>2.1190705733955668E-2</v>
      </c>
      <c r="D64" s="26">
        <f>(Table2[[#This Row],[cases]]-B63)/B63</f>
        <v>1.8161412100806039E-2</v>
      </c>
      <c r="E64" s="38">
        <f t="shared" si="18"/>
        <v>38.511463832788742</v>
      </c>
      <c r="F64" s="81">
        <f>Table2[[#This Row],[cases]]*100/$T$19</f>
        <v>30239.39393939394</v>
      </c>
      <c r="G64" s="35">
        <f>Table2[[#This Row],[cases]]*100/$T$13</f>
        <v>25587.179487179488</v>
      </c>
      <c r="H64" s="35">
        <f>Table2[[#This Row],[cases]]*100/$T$16</f>
        <v>36959.259259259263</v>
      </c>
      <c r="I64" s="35">
        <f>Table2[[#This Row],[infection count, high end of estimate range]]-Table2[[#This Row],[infection count, low end of estimate range]]</f>
        <v>11372.079772079775</v>
      </c>
      <c r="J64" s="35">
        <f>(Table2[[#This Row],[infection count, low end of estimate range]]+Table2[[#This Row],[infection count, high end of estimate range]])/2</f>
        <v>31273.219373219377</v>
      </c>
      <c r="K64" s="26">
        <f>Table2[[#This Row],[estimated infections]]/$T$6</f>
        <v>6.4214259799865669E-2</v>
      </c>
      <c r="L64" s="27">
        <f>Table2[[#This Row],[infection count, low end of estimate range]]/$T$6</f>
        <v>5.433514290757864E-2</v>
      </c>
      <c r="M64" s="27">
        <f>Table2[[#This Row],[infection count, high end of estimate range]]/$T$6</f>
        <v>7.8484095310946925E-2</v>
      </c>
      <c r="N64" s="15">
        <f>Table2[[#This Row],[infection percentage, high end of estimate range]]-Table2[[#This Row],[infection percentage, low end of estimate range]]</f>
        <v>2.4148952403368285E-2</v>
      </c>
      <c r="O64" s="27">
        <f>(Table2[[#This Row],[infection percentage, low end of estimate range]]+Table2[[#This Row],[infection percentage, high end of estimate range]])/2</f>
        <v>6.6409619109262782E-2</v>
      </c>
      <c r="P64" s="3">
        <f>$T$6/(Table2[[#This Row],[cases]]*5)</f>
        <v>9.4381000100210439</v>
      </c>
      <c r="Q64" s="3">
        <f>$T$6/(Table2[[#This Row],[cases]]*7)</f>
        <v>6.7415000071578888</v>
      </c>
      <c r="R64" s="3">
        <f>Table2[[#This Row],[1-in-X odds, estimating 5x cases infected]]-Table2[[#This Row],[1-in-X odds, estimating 7x cases infected]]</f>
        <v>2.6966000028631552</v>
      </c>
      <c r="S64" s="3">
        <f>(Table2[[#This Row],[1-in-X odds, estimating 5x cases infected]]+Table2[[#This Row],[1-in-X odds, estimating 7x cases infected]])/2</f>
        <v>8.0898000085894672</v>
      </c>
      <c r="V64" s="31"/>
    </row>
    <row r="65" spans="1:22">
      <c r="A65" s="91">
        <v>43973</v>
      </c>
      <c r="B65" s="88">
        <v>10066</v>
      </c>
      <c r="C65" s="71">
        <f>Table2[[#This Row],[cases]]/$B$2</f>
        <v>2.1375452842769593E-2</v>
      </c>
      <c r="D65" s="26">
        <f>(Table2[[#This Row],[cases]]-B64)/B64</f>
        <v>8.7183084477402539E-3</v>
      </c>
      <c r="E65" s="38">
        <f t="shared" si="18"/>
        <v>79.850850515336333</v>
      </c>
      <c r="F65" s="81">
        <f>Table2[[#This Row],[cases]]*100/$T$19</f>
        <v>30503.030303030304</v>
      </c>
      <c r="G65" s="35">
        <f>Table2[[#This Row],[cases]]*100/$T$13</f>
        <v>25810.25641025641</v>
      </c>
      <c r="H65" s="35">
        <f>Table2[[#This Row],[cases]]*100/$T$16</f>
        <v>37281.481481481482</v>
      </c>
      <c r="I65" s="35">
        <f>Table2[[#This Row],[infection count, high end of estimate range]]-Table2[[#This Row],[infection count, low end of estimate range]]</f>
        <v>11471.225071225072</v>
      </c>
      <c r="J65" s="35">
        <f>(Table2[[#This Row],[infection count, low end of estimate range]]+Table2[[#This Row],[infection count, high end of estimate range]])/2</f>
        <v>31545.868945868948</v>
      </c>
      <c r="K65" s="26">
        <f>Table2[[#This Row],[estimated infections]]/$T$6</f>
        <v>6.4774099523544224E-2</v>
      </c>
      <c r="L65" s="27">
        <f>Table2[[#This Row],[infection count, low end of estimate range]]/$T$6</f>
        <v>5.4808853442998955E-2</v>
      </c>
      <c r="M65" s="27">
        <f>Table2[[#This Row],[infection count, high end of estimate range]]/$T$6</f>
        <v>7.9168343862109608E-2</v>
      </c>
      <c r="N65" s="15">
        <f>Table2[[#This Row],[infection percentage, high end of estimate range]]-Table2[[#This Row],[infection percentage, low end of estimate range]]</f>
        <v>2.4359490419110653E-2</v>
      </c>
      <c r="O65" s="27">
        <f>(Table2[[#This Row],[infection percentage, low end of estimate range]]+Table2[[#This Row],[infection percentage, high end of estimate range]])/2</f>
        <v>6.6988598652554285E-2</v>
      </c>
      <c r="P65" s="3">
        <f>$T$6/(Table2[[#This Row],[cases]]*5)</f>
        <v>9.3565269223127352</v>
      </c>
      <c r="Q65" s="3">
        <f>$T$6/(Table2[[#This Row],[cases]]*7)</f>
        <v>6.6832335159376681</v>
      </c>
      <c r="R65" s="3">
        <f>Table2[[#This Row],[1-in-X odds, estimating 5x cases infected]]-Table2[[#This Row],[1-in-X odds, estimating 7x cases infected]]</f>
        <v>2.6732934063750671</v>
      </c>
      <c r="S65" s="3">
        <f>(Table2[[#This Row],[1-in-X odds, estimating 5x cases infected]]+Table2[[#This Row],[1-in-X odds, estimating 7x cases infected]])/2</f>
        <v>8.0198802191252021</v>
      </c>
      <c r="V65" s="31"/>
    </row>
    <row r="66" spans="1:22">
      <c r="A66" s="91">
        <v>43974</v>
      </c>
      <c r="B66" s="88">
        <v>10154</v>
      </c>
      <c r="C66" s="71">
        <f>Table2[[#This Row],[cases]]/$B$2</f>
        <v>2.1562323481569882E-2</v>
      </c>
      <c r="D66" s="26">
        <f>(Table2[[#This Row],[cases]]-B65)/B65</f>
        <v>8.7423008146234847E-3</v>
      </c>
      <c r="E66" s="38">
        <f t="shared" si="18"/>
        <v>79.632656259409558</v>
      </c>
      <c r="F66" s="81">
        <f>Table2[[#This Row],[cases]]*100/$T$19</f>
        <v>30769.696969696968</v>
      </c>
      <c r="G66" s="35">
        <f>Table2[[#This Row],[cases]]*100/$T$13</f>
        <v>26035.897435897437</v>
      </c>
      <c r="H66" s="35">
        <f>Table2[[#This Row],[cases]]*100/$T$16</f>
        <v>37607.407407407409</v>
      </c>
      <c r="I66" s="35">
        <f>Table2[[#This Row],[infection count, high end of estimate range]]-Table2[[#This Row],[infection count, low end of estimate range]]</f>
        <v>11571.509971509971</v>
      </c>
      <c r="J66" s="35">
        <f>(Table2[[#This Row],[infection count, low end of estimate range]]+Table2[[#This Row],[infection count, high end of estimate range]])/2</f>
        <v>31821.652421652423</v>
      </c>
      <c r="K66" s="26">
        <f>Table2[[#This Row],[estimated infections]]/$T$6</f>
        <v>6.5340374186575401E-2</v>
      </c>
      <c r="L66" s="27">
        <f>Table2[[#This Row],[infection count, low end of estimate range]]/$T$6</f>
        <v>5.528800892710227E-2</v>
      </c>
      <c r="M66" s="27">
        <f>Table2[[#This Row],[infection count, high end of estimate range]]/$T$6</f>
        <v>7.986045733914772E-2</v>
      </c>
      <c r="N66" s="15">
        <f>Table2[[#This Row],[infection percentage, high end of estimate range]]-Table2[[#This Row],[infection percentage, low end of estimate range]]</f>
        <v>2.457244841204545E-2</v>
      </c>
      <c r="O66" s="27">
        <f>(Table2[[#This Row],[infection percentage, low end of estimate range]]+Table2[[#This Row],[infection percentage, high end of estimate range]])/2</f>
        <v>6.7574233133124995E-2</v>
      </c>
      <c r="P66" s="3">
        <f>$T$6/(Table2[[#This Row],[cases]]*5)</f>
        <v>9.2754382509355917</v>
      </c>
      <c r="Q66" s="3">
        <f>$T$6/(Table2[[#This Row],[cases]]*7)</f>
        <v>6.6253130363825656</v>
      </c>
      <c r="R66" s="3">
        <f>Table2[[#This Row],[1-in-X odds, estimating 5x cases infected]]-Table2[[#This Row],[1-in-X odds, estimating 7x cases infected]]</f>
        <v>2.6501252145530261</v>
      </c>
      <c r="S66" s="3">
        <f>(Table2[[#This Row],[1-in-X odds, estimating 5x cases infected]]+Table2[[#This Row],[1-in-X odds, estimating 7x cases infected]])/2</f>
        <v>7.9503756436590791</v>
      </c>
      <c r="V66" s="31"/>
    </row>
    <row r="67" spans="1:22">
      <c r="A67" s="91">
        <v>43976</v>
      </c>
      <c r="B67" s="88">
        <v>10355</v>
      </c>
      <c r="C67" s="71">
        <f>Table2[[#This Row],[cases]]/$B$2</f>
        <v>2.1989153008829639E-2</v>
      </c>
      <c r="D67" s="26">
        <f>(Table2[[#This Row],[cases]]-B66)/B66</f>
        <v>1.9795154618869409E-2</v>
      </c>
      <c r="E67" s="38">
        <f t="shared" ref="E67" si="19">(LN(2)/LN(B67/B66))</f>
        <v>35.361443699717519</v>
      </c>
      <c r="F67" s="81">
        <f>Table2[[#This Row],[cases]]*100/$T$19</f>
        <v>31378.78787878788</v>
      </c>
      <c r="G67" s="35">
        <f>Table2[[#This Row],[cases]]*100/$T$13</f>
        <v>26551.282051282051</v>
      </c>
      <c r="H67" s="35">
        <f>Table2[[#This Row],[cases]]*100/$T$16</f>
        <v>38351.851851851854</v>
      </c>
      <c r="I67" s="35">
        <f>Table2[[#This Row],[infection count, high end of estimate range]]-Table2[[#This Row],[infection count, low end of estimate range]]</f>
        <v>11800.569800569803</v>
      </c>
      <c r="J67" s="35">
        <f>(Table2[[#This Row],[infection count, low end of estimate range]]+Table2[[#This Row],[infection count, high end of estimate range]])/2</f>
        <v>32451.566951566951</v>
      </c>
      <c r="K67" s="26">
        <f>Table2[[#This Row],[estimated infections]]/$T$6</f>
        <v>6.6633796996453457E-2</v>
      </c>
      <c r="L67" s="27">
        <f>Table2[[#This Row],[infection count, low end of estimate range]]/$T$6</f>
        <v>5.6382443612383683E-2</v>
      </c>
      <c r="M67" s="27">
        <f>Table2[[#This Row],[infection count, high end of estimate range]]/$T$6</f>
        <v>8.1441307440109773E-2</v>
      </c>
      <c r="N67" s="15">
        <f>Table2[[#This Row],[infection percentage, high end of estimate range]]-Table2[[#This Row],[infection percentage, low end of estimate range]]</f>
        <v>2.505886382772609E-2</v>
      </c>
      <c r="O67" s="27">
        <f>(Table2[[#This Row],[infection percentage, low end of estimate range]]+Table2[[#This Row],[infection percentage, high end of estimate range]])/2</f>
        <v>6.8911875526246724E-2</v>
      </c>
      <c r="P67" s="3">
        <f>$T$6/(Table2[[#This Row],[cases]]*5)</f>
        <v>9.0953935296957997</v>
      </c>
      <c r="Q67" s="3">
        <f>$T$6/(Table2[[#This Row],[cases]]*7)</f>
        <v>6.4967096640684279</v>
      </c>
      <c r="R67" s="3">
        <f>Table2[[#This Row],[1-in-X odds, estimating 5x cases infected]]-Table2[[#This Row],[1-in-X odds, estimating 7x cases infected]]</f>
        <v>2.5986838656273719</v>
      </c>
      <c r="S67" s="3">
        <f>(Table2[[#This Row],[1-in-X odds, estimating 5x cases infected]]+Table2[[#This Row],[1-in-X odds, estimating 7x cases infected]])/2</f>
        <v>7.7960515968821138</v>
      </c>
      <c r="V67" s="31"/>
    </row>
    <row r="68" spans="1:22">
      <c r="A68" s="91">
        <v>43977</v>
      </c>
      <c r="B68" s="88">
        <v>10424</v>
      </c>
      <c r="C68" s="71">
        <f>Table2[[#This Row],[cases]]/$B$2</f>
        <v>2.2135676577888955E-2</v>
      </c>
      <c r="D68" s="26">
        <f>(Table2[[#This Row],[cases]]-B67)/B67</f>
        <v>6.6634476098503138E-3</v>
      </c>
      <c r="E68" s="38">
        <f t="shared" ref="E68:E73" si="20">(LN(2)/LN(B68/B67))</f>
        <v>104.36849511198632</v>
      </c>
      <c r="F68" s="81">
        <f>Table2[[#This Row],[cases]]*100/$T$19</f>
        <v>31587.878787878788</v>
      </c>
      <c r="G68" s="35">
        <f>Table2[[#This Row],[cases]]*100/$T$13</f>
        <v>26728.205128205129</v>
      </c>
      <c r="H68" s="35">
        <f>Table2[[#This Row],[cases]]*100/$T$16</f>
        <v>38607.407407407409</v>
      </c>
      <c r="I68" s="35">
        <f>Table2[[#This Row],[infection count, high end of estimate range]]-Table2[[#This Row],[infection count, low end of estimate range]]</f>
        <v>11879.20227920228</v>
      </c>
      <c r="J68" s="35">
        <f>(Table2[[#This Row],[infection count, low end of estimate range]]+Table2[[#This Row],[infection count, high end of estimate range]])/2</f>
        <v>32667.806267806271</v>
      </c>
      <c r="K68" s="26">
        <f>Table2[[#This Row],[estimated infections]]/$T$6</f>
        <v>6.7077807811784712E-2</v>
      </c>
      <c r="L68" s="27">
        <f>Table2[[#This Row],[infection count, low end of estimate range]]/$T$6</f>
        <v>5.6758145071510148E-2</v>
      </c>
      <c r="M68" s="27">
        <f>Table2[[#This Row],[infection count, high end of estimate range]]/$T$6</f>
        <v>8.1983987325514651E-2</v>
      </c>
      <c r="N68" s="15">
        <f>Table2[[#This Row],[infection percentage, high end of estimate range]]-Table2[[#This Row],[infection percentage, low end of estimate range]]</f>
        <v>2.5225842254004503E-2</v>
      </c>
      <c r="O68" s="27">
        <f>(Table2[[#This Row],[infection percentage, low end of estimate range]]+Table2[[#This Row],[infection percentage, high end of estimate range]])/2</f>
        <v>6.9371066198512396E-2</v>
      </c>
      <c r="P68" s="3">
        <f>$T$6/(Table2[[#This Row],[cases]]*5)</f>
        <v>9.0351880276285499</v>
      </c>
      <c r="Q68" s="3">
        <f>$T$6/(Table2[[#This Row],[cases]]*7)</f>
        <v>6.4537057340203923</v>
      </c>
      <c r="R68" s="3">
        <f>Table2[[#This Row],[1-in-X odds, estimating 5x cases infected]]-Table2[[#This Row],[1-in-X odds, estimating 7x cases infected]]</f>
        <v>2.5814822936081576</v>
      </c>
      <c r="S68" s="3">
        <f>(Table2[[#This Row],[1-in-X odds, estimating 5x cases infected]]+Table2[[#This Row],[1-in-X odds, estimating 7x cases infected]])/2</f>
        <v>7.7444468808244711</v>
      </c>
      <c r="V68" s="31"/>
    </row>
    <row r="69" spans="1:22">
      <c r="A69" s="91">
        <v>43978</v>
      </c>
      <c r="B69" s="88">
        <v>10473</v>
      </c>
      <c r="C69" s="71">
        <f>Table2[[#This Row],[cases]]/$B$2</f>
        <v>2.2239729547220935E-2</v>
      </c>
      <c r="D69" s="26">
        <f>(Table2[[#This Row],[cases]]-B68)/B68</f>
        <v>4.7006907137375287E-3</v>
      </c>
      <c r="E69" s="38">
        <f t="shared" si="20"/>
        <v>147.80275597252478</v>
      </c>
      <c r="F69" s="81">
        <f>Table2[[#This Row],[cases]]*100/$T$19</f>
        <v>31736.363636363636</v>
      </c>
      <c r="G69" s="35">
        <f>Table2[[#This Row],[cases]]*100/$T$13</f>
        <v>26853.846153846152</v>
      </c>
      <c r="H69" s="35">
        <f>Table2[[#This Row],[cases]]*100/$T$16</f>
        <v>38788.888888888891</v>
      </c>
      <c r="I69" s="35">
        <f>Table2[[#This Row],[infection count, high end of estimate range]]-Table2[[#This Row],[infection count, low end of estimate range]]</f>
        <v>11935.042735042738</v>
      </c>
      <c r="J69" s="35">
        <f>(Table2[[#This Row],[infection count, low end of estimate range]]+Table2[[#This Row],[infection count, high end of estimate range]])/2</f>
        <v>32821.367521367523</v>
      </c>
      <c r="K69" s="26">
        <f>Table2[[#This Row],[estimated infections]]/$T$6</f>
        <v>6.7393119840063437E-2</v>
      </c>
      <c r="L69" s="27">
        <f>Table2[[#This Row],[infection count, low end of estimate range]]/$T$6</f>
        <v>5.7024947556976756E-2</v>
      </c>
      <c r="M69" s="27">
        <f>Table2[[#This Row],[infection count, high end of estimate range]]/$T$6</f>
        <v>8.2369368693410883E-2</v>
      </c>
      <c r="N69" s="15">
        <f>Table2[[#This Row],[infection percentage, high end of estimate range]]-Table2[[#This Row],[infection percentage, low end of estimate range]]</f>
        <v>2.5344421136434127E-2</v>
      </c>
      <c r="O69" s="27">
        <f>(Table2[[#This Row],[infection percentage, low end of estimate range]]+Table2[[#This Row],[infection percentage, high end of estimate range]])/2</f>
        <v>6.9697158125193823E-2</v>
      </c>
      <c r="P69" s="3">
        <f>$T$6/(Table2[[#This Row],[cases]]*5)</f>
        <v>8.9929151150577677</v>
      </c>
      <c r="Q69" s="3">
        <f>$T$6/(Table2[[#This Row],[cases]]*7)</f>
        <v>6.4235107964698344</v>
      </c>
      <c r="R69" s="3">
        <f>Table2[[#This Row],[1-in-X odds, estimating 5x cases infected]]-Table2[[#This Row],[1-in-X odds, estimating 7x cases infected]]</f>
        <v>2.5694043185879334</v>
      </c>
      <c r="S69" s="3">
        <f>(Table2[[#This Row],[1-in-X odds, estimating 5x cases infected]]+Table2[[#This Row],[1-in-X odds, estimating 7x cases infected]])/2</f>
        <v>7.7082129557638011</v>
      </c>
      <c r="V69" s="31"/>
    </row>
    <row r="70" spans="1:22">
      <c r="A70" s="91">
        <v>43979</v>
      </c>
      <c r="B70" s="88">
        <v>10584</v>
      </c>
      <c r="C70" s="71">
        <f>Table2[[#This Row],[cases]]/$B$2</f>
        <v>2.2475441375707665E-2</v>
      </c>
      <c r="D70" s="26">
        <f>(Table2[[#This Row],[cases]]-B69)/B69</f>
        <v>1.0598682325981094E-2</v>
      </c>
      <c r="E70" s="38">
        <f t="shared" si="20"/>
        <v>65.745337780254687</v>
      </c>
      <c r="F70" s="81">
        <f>Table2[[#This Row],[cases]]*100/$T$19</f>
        <v>32072.727272727272</v>
      </c>
      <c r="G70" s="35">
        <f>Table2[[#This Row],[cases]]*100/$T$13</f>
        <v>27138.461538461539</v>
      </c>
      <c r="H70" s="35">
        <f>Table2[[#This Row],[cases]]*100/$T$16</f>
        <v>39200</v>
      </c>
      <c r="I70" s="35">
        <f>Table2[[#This Row],[infection count, high end of estimate range]]-Table2[[#This Row],[infection count, low end of estimate range]]</f>
        <v>12061.538461538461</v>
      </c>
      <c r="J70" s="35">
        <f>(Table2[[#This Row],[infection count, low end of estimate range]]+Table2[[#This Row],[infection count, high end of estimate range]])/2</f>
        <v>33169.230769230766</v>
      </c>
      <c r="K70" s="26">
        <f>Table2[[#This Row],[estimated infections]]/$T$6</f>
        <v>6.8107398108205042E-2</v>
      </c>
      <c r="L70" s="27">
        <f>Table2[[#This Row],[infection count, low end of estimate range]]/$T$6</f>
        <v>5.7629336860788888E-2</v>
      </c>
      <c r="M70" s="27">
        <f>Table2[[#This Row],[infection count, high end of estimate range]]/$T$6</f>
        <v>8.3242375465583954E-2</v>
      </c>
      <c r="N70" s="15">
        <f>Table2[[#This Row],[infection percentage, high end of estimate range]]-Table2[[#This Row],[infection percentage, low end of estimate range]]</f>
        <v>2.5613038604795066E-2</v>
      </c>
      <c r="O70" s="27">
        <f>(Table2[[#This Row],[infection percentage, low end of estimate range]]+Table2[[#This Row],[infection percentage, high end of estimate range]])/2</f>
        <v>7.0435856163186428E-2</v>
      </c>
      <c r="P70" s="3">
        <f>$T$6/(Table2[[#This Row],[cases]]*5)</f>
        <v>8.8986016628873763</v>
      </c>
      <c r="Q70" s="3">
        <f>$T$6/(Table2[[#This Row],[cases]]*7)</f>
        <v>6.3561440449195548</v>
      </c>
      <c r="R70" s="3">
        <f>Table2[[#This Row],[1-in-X odds, estimating 5x cases infected]]-Table2[[#This Row],[1-in-X odds, estimating 7x cases infected]]</f>
        <v>2.5424576179678215</v>
      </c>
      <c r="S70" s="3">
        <f>(Table2[[#This Row],[1-in-X odds, estimating 5x cases infected]]+Table2[[#This Row],[1-in-X odds, estimating 7x cases infected]])/2</f>
        <v>7.6273728539034655</v>
      </c>
      <c r="V70" s="31"/>
    </row>
    <row r="71" spans="1:22">
      <c r="A71" s="91">
        <v>43980</v>
      </c>
      <c r="B71" s="88">
        <v>10709</v>
      </c>
      <c r="C71" s="71">
        <f>Table2[[#This Row],[cases]]/$B$2</f>
        <v>2.2740882624003533E-2</v>
      </c>
      <c r="D71" s="26">
        <f>(Table2[[#This Row],[cases]]-B70)/B70</f>
        <v>1.1810279667422525E-2</v>
      </c>
      <c r="E71" s="38">
        <f t="shared" si="20"/>
        <v>59.036053472684877</v>
      </c>
      <c r="F71" s="81">
        <f>Table2[[#This Row],[cases]]*100/$T$19</f>
        <v>32451.515151515152</v>
      </c>
      <c r="G71" s="35">
        <f>Table2[[#This Row],[cases]]*100/$T$13</f>
        <v>27458.974358974359</v>
      </c>
      <c r="H71" s="35">
        <f>Table2[[#This Row],[cases]]*100/$T$16</f>
        <v>39662.962962962964</v>
      </c>
      <c r="I71" s="35">
        <f>Table2[[#This Row],[infection count, high end of estimate range]]-Table2[[#This Row],[infection count, low end of estimate range]]</f>
        <v>12203.988603988604</v>
      </c>
      <c r="J71" s="35">
        <f>(Table2[[#This Row],[infection count, low end of estimate range]]+Table2[[#This Row],[infection count, high end of estimate range]])/2</f>
        <v>33560.968660968661</v>
      </c>
      <c r="K71" s="26">
        <f>Table2[[#This Row],[estimated infections]]/$T$6</f>
        <v>6.8911765527283439E-2</v>
      </c>
      <c r="L71" s="27">
        <f>Table2[[#This Row],[infection count, low end of estimate range]]/$T$6</f>
        <v>5.8309955446162909E-2</v>
      </c>
      <c r="M71" s="27">
        <f>Table2[[#This Row],[infection count, high end of estimate range]]/$T$6</f>
        <v>8.4225491200013089E-2</v>
      </c>
      <c r="N71" s="15">
        <f>Table2[[#This Row],[infection percentage, high end of estimate range]]-Table2[[#This Row],[infection percentage, low end of estimate range]]</f>
        <v>2.591553575385018E-2</v>
      </c>
      <c r="O71" s="27">
        <f>(Table2[[#This Row],[infection percentage, low end of estimate range]]+Table2[[#This Row],[infection percentage, high end of estimate range]])/2</f>
        <v>7.1267723323088006E-2</v>
      </c>
      <c r="P71" s="3">
        <f>$T$6/(Table2[[#This Row],[cases]]*5)</f>
        <v>8.7947334018115608</v>
      </c>
      <c r="Q71" s="3">
        <f>$T$6/(Table2[[#This Row],[cases]]*7)</f>
        <v>6.2819524298654006</v>
      </c>
      <c r="R71" s="3">
        <f>Table2[[#This Row],[1-in-X odds, estimating 5x cases infected]]-Table2[[#This Row],[1-in-X odds, estimating 7x cases infected]]</f>
        <v>2.5127809719461602</v>
      </c>
      <c r="S71" s="3">
        <f>(Table2[[#This Row],[1-in-X odds, estimating 5x cases infected]]+Table2[[#This Row],[1-in-X odds, estimating 7x cases infected]])/2</f>
        <v>7.5383429158384807</v>
      </c>
      <c r="V71" s="31"/>
    </row>
    <row r="72" spans="1:22">
      <c r="A72" s="91">
        <v>43981</v>
      </c>
      <c r="B72" s="88">
        <v>10812</v>
      </c>
      <c r="C72" s="71">
        <f>Table2[[#This Row],[cases]]/$B$2</f>
        <v>2.2959606212599327E-2</v>
      </c>
      <c r="D72" s="26">
        <f>(Table2[[#This Row],[cases]]-B71)/B71</f>
        <v>9.6180782519376222E-3</v>
      </c>
      <c r="E72" s="38">
        <f t="shared" si="20"/>
        <v>72.413138709251555</v>
      </c>
      <c r="F72" s="81">
        <f>Table2[[#This Row],[cases]]*100/$T$19</f>
        <v>32763.636363636364</v>
      </c>
      <c r="G72" s="35">
        <f>Table2[[#This Row],[cases]]*100/$T$13</f>
        <v>27723.076923076922</v>
      </c>
      <c r="H72" s="35">
        <f>Table2[[#This Row],[cases]]*100/$T$16</f>
        <v>40044.444444444445</v>
      </c>
      <c r="I72" s="35">
        <f>Table2[[#This Row],[infection count, high end of estimate range]]-Table2[[#This Row],[infection count, low end of estimate range]]</f>
        <v>12321.367521367523</v>
      </c>
      <c r="J72" s="35">
        <f>(Table2[[#This Row],[infection count, low end of estimate range]]+Table2[[#This Row],[infection count, high end of estimate range]])/2</f>
        <v>33883.760683760687</v>
      </c>
      <c r="K72" s="26">
        <f>Table2[[#This Row],[estimated infections]]/$T$6</f>
        <v>6.9574564280604032E-2</v>
      </c>
      <c r="L72" s="27">
        <f>Table2[[#This Row],[infection count, low end of estimate range]]/$T$6</f>
        <v>5.8870785160511092E-2</v>
      </c>
      <c r="M72" s="27">
        <f>Table2[[#This Row],[infection count, high end of estimate range]]/$T$6</f>
        <v>8.5035578565182693E-2</v>
      </c>
      <c r="N72" s="15">
        <f>Table2[[#This Row],[infection percentage, high end of estimate range]]-Table2[[#This Row],[infection percentage, low end of estimate range]]</f>
        <v>2.61647934046716E-2</v>
      </c>
      <c r="O72" s="27">
        <f>(Table2[[#This Row],[infection percentage, low end of estimate range]]+Table2[[#This Row],[infection percentage, high end of estimate range]])/2</f>
        <v>7.1953181862846896E-2</v>
      </c>
      <c r="P72" s="3">
        <f>$T$6/(Table2[[#This Row],[cases]]*5)</f>
        <v>8.7109507954125043</v>
      </c>
      <c r="Q72" s="3">
        <f>$T$6/(Table2[[#This Row],[cases]]*7)</f>
        <v>6.222107711008932</v>
      </c>
      <c r="R72" s="3">
        <f>Table2[[#This Row],[1-in-X odds, estimating 5x cases infected]]-Table2[[#This Row],[1-in-X odds, estimating 7x cases infected]]</f>
        <v>2.4888430844035723</v>
      </c>
      <c r="S72" s="3">
        <f>(Table2[[#This Row],[1-in-X odds, estimating 5x cases infected]]+Table2[[#This Row],[1-in-X odds, estimating 7x cases infected]])/2</f>
        <v>7.4665292532107177</v>
      </c>
      <c r="V72" s="31"/>
    </row>
    <row r="73" spans="1:22">
      <c r="A73" s="91">
        <v>43982</v>
      </c>
      <c r="B73" s="88">
        <v>10935</v>
      </c>
      <c r="C73" s="71">
        <f>Table2[[#This Row],[cases]]/$B$2</f>
        <v>2.3220800400922462E-2</v>
      </c>
      <c r="D73" s="26">
        <f>(Table2[[#This Row],[cases]]-B72)/B72</f>
        <v>1.1376248612652608E-2</v>
      </c>
      <c r="E73" s="38">
        <f t="shared" si="20"/>
        <v>61.275247957545041</v>
      </c>
      <c r="F73" s="81">
        <f>Table2[[#This Row],[cases]]*100/$T$19</f>
        <v>33136.36363636364</v>
      </c>
      <c r="G73" s="35">
        <f>Table2[[#This Row],[cases]]*100/$T$13</f>
        <v>28038.461538461539</v>
      </c>
      <c r="H73" s="35">
        <f>Table2[[#This Row],[cases]]*100/$T$16</f>
        <v>40500</v>
      </c>
      <c r="I73" s="35">
        <f>Table2[[#This Row],[infection count, high end of estimate range]]-Table2[[#This Row],[infection count, low end of estimate range]]</f>
        <v>12461.538461538461</v>
      </c>
      <c r="J73" s="35">
        <f>(Table2[[#This Row],[infection count, low end of estimate range]]+Table2[[#This Row],[infection count, high end of estimate range]])/2</f>
        <v>34269.230769230766</v>
      </c>
      <c r="K73" s="26">
        <f>Table2[[#This Row],[estimated infections]]/$T$6</f>
        <v>7.0366061820977169E-2</v>
      </c>
      <c r="L73" s="27">
        <f>Table2[[#This Row],[infection count, low end of estimate range]]/$T$6</f>
        <v>5.9540513848519133E-2</v>
      </c>
      <c r="M73" s="27">
        <f>Table2[[#This Row],[infection count, high end of estimate range]]/$T$6</f>
        <v>8.6002964447860972E-2</v>
      </c>
      <c r="N73" s="15">
        <f>Table2[[#This Row],[infection percentage, high end of estimate range]]-Table2[[#This Row],[infection percentage, low end of estimate range]]</f>
        <v>2.6462450599341839E-2</v>
      </c>
      <c r="O73" s="27">
        <f>(Table2[[#This Row],[infection percentage, low end of estimate range]]+Table2[[#This Row],[infection percentage, high end of estimate range]])/2</f>
        <v>7.2771739148190046E-2</v>
      </c>
      <c r="P73" s="3">
        <f>$T$6/(Table2[[#This Row],[cases]]*5)</f>
        <v>8.6129675354366704</v>
      </c>
      <c r="Q73" s="3">
        <f>$T$6/(Table2[[#This Row],[cases]]*7)</f>
        <v>6.1521196681690506</v>
      </c>
      <c r="R73" s="3">
        <f>Table2[[#This Row],[1-in-X odds, estimating 5x cases infected]]-Table2[[#This Row],[1-in-X odds, estimating 7x cases infected]]</f>
        <v>2.4608478672676197</v>
      </c>
      <c r="S73" s="3">
        <f>(Table2[[#This Row],[1-in-X odds, estimating 5x cases infected]]+Table2[[#This Row],[1-in-X odds, estimating 7x cases infected]])/2</f>
        <v>7.3825436018028601</v>
      </c>
      <c r="V73" s="31"/>
    </row>
    <row r="74" spans="1:22">
      <c r="A74" s="91">
        <v>43983</v>
      </c>
      <c r="B74" s="88">
        <v>11030</v>
      </c>
      <c r="C74" s="71">
        <f>Table2[[#This Row],[cases]]/$B$2</f>
        <v>2.342253574962732E-2</v>
      </c>
      <c r="D74" s="26">
        <f>(Table2[[#This Row],[cases]]-B73)/B73</f>
        <v>8.6877000457247378E-3</v>
      </c>
      <c r="E74" s="38">
        <f t="shared" ref="E74" si="21">(LN(2)/LN(B74/B73))</f>
        <v>80.130962562467488</v>
      </c>
      <c r="F74" s="81">
        <f>Table2[[#This Row],[cases]]*100/$T$19</f>
        <v>33424.242424242424</v>
      </c>
      <c r="G74" s="35">
        <f>Table2[[#This Row],[cases]]*100/$T$13</f>
        <v>28282.051282051281</v>
      </c>
      <c r="H74" s="35">
        <f>Table2[[#This Row],[cases]]*100/$T$16</f>
        <v>40851.851851851854</v>
      </c>
      <c r="I74" s="35">
        <f>Table2[[#This Row],[infection count, high end of estimate range]]-Table2[[#This Row],[infection count, low end of estimate range]]</f>
        <v>12569.800569800573</v>
      </c>
      <c r="J74" s="35">
        <f>(Table2[[#This Row],[infection count, low end of estimate range]]+Table2[[#This Row],[infection count, high end of estimate range]])/2</f>
        <v>34566.951566951568</v>
      </c>
      <c r="K74" s="26">
        <f>Table2[[#This Row],[estimated infections]]/$T$6</f>
        <v>7.0977381059476735E-2</v>
      </c>
      <c r="L74" s="27">
        <f>Table2[[#This Row],[infection count, low end of estimate range]]/$T$6</f>
        <v>6.0057783973403382E-2</v>
      </c>
      <c r="M74" s="27">
        <f>Table2[[#This Row],[infection count, high end of estimate range]]/$T$6</f>
        <v>8.6750132406027122E-2</v>
      </c>
      <c r="N74" s="15">
        <f>Table2[[#This Row],[infection percentage, high end of estimate range]]-Table2[[#This Row],[infection percentage, low end of estimate range]]</f>
        <v>2.669234843262374E-2</v>
      </c>
      <c r="O74" s="27">
        <f>(Table2[[#This Row],[infection percentage, low end of estimate range]]+Table2[[#This Row],[infection percentage, high end of estimate range]])/2</f>
        <v>7.3403958189715249E-2</v>
      </c>
      <c r="P74" s="3">
        <f>$T$6/(Table2[[#This Row],[cases]]*5)</f>
        <v>8.5387851314596563</v>
      </c>
      <c r="Q74" s="3">
        <f>$T$6/(Table2[[#This Row],[cases]]*7)</f>
        <v>6.0991322367568968</v>
      </c>
      <c r="R74" s="3">
        <f>Table2[[#This Row],[1-in-X odds, estimating 5x cases infected]]-Table2[[#This Row],[1-in-X odds, estimating 7x cases infected]]</f>
        <v>2.4396528947027596</v>
      </c>
      <c r="S74" s="3">
        <f>(Table2[[#This Row],[1-in-X odds, estimating 5x cases infected]]+Table2[[#This Row],[1-in-X odds, estimating 7x cases infected]])/2</f>
        <v>7.3189586841082761</v>
      </c>
      <c r="V74" s="31"/>
    </row>
    <row r="75" spans="1:22">
      <c r="V75" s="55" t="str">
        <f ca="1">"updated " &amp; TEXT($U6,"MMMM d, yyyy") &amp; ", " &amp; T9</f>
        <v>updated June 1, 2020, evening</v>
      </c>
    </row>
    <row r="76" spans="1:22">
      <c r="U76" s="34" t="s">
        <v>32</v>
      </c>
      <c r="V76" s="36"/>
    </row>
    <row r="77" spans="1:22">
      <c r="U77" s="27">
        <f ca="1">OFFSET(compute!D4,COUNTA(compute!D:D)-1,0)</f>
        <v>8.6877000457247378E-3</v>
      </c>
    </row>
    <row r="78" spans="1:22">
      <c r="V78" s="33" t="s">
        <v>24</v>
      </c>
    </row>
    <row r="79" spans="1:22">
      <c r="V79" s="1" t="str">
        <f ca="1">"There have been " &amp;TEXT( U9,"0") &amp; " confirmed cases of COVID-19 disease in " &amp; B1 &amp; " since the start of the outbreak."</f>
        <v>There have been 11030 confirmed cases of COVID-19 disease in Miami since the start of the outbreak.</v>
      </c>
    </row>
    <row r="81" spans="22:22">
      <c r="V81" s="1" t="str">
        <f ca="1">"Around " &amp;TEXT(ROUND(U12,-3),"#,##0") &amp;" people in " &amp; B1 &amp; " may have already been infected with the SARS-CoV-2 virus."</f>
        <v>Around 33,000 people in Miami may have already been infected with the SARS-CoV-2 virus.</v>
      </c>
    </row>
    <row r="83" spans="22:22">
      <c r="V83" s="1" t="str">
        <f ca="1">"Around " &amp; TEXT(U15,"0.0%") &amp; " of the total population of " &amp; B1 &amp; " may have already been infected with the SARS-CoV-2 virus, based on an estimated population of " &amp; TEXT(T6,"0,000") &amp; "."</f>
        <v>Around 7.1% of the total population of Miami may have already been infected with the SARS-CoV-2 virus, based on an estimated population of 470,914.</v>
      </c>
    </row>
    <row r="85" spans="22:22">
      <c r="V85" s="1" t="str">
        <f ca="1">"The odds of any given person in " &amp; B1 &amp; " having been infected with SARS-CoV-2 is currently estimated to be around one in " &amp; TEXT(U18,"#,##0")  &amp; "."</f>
        <v>The odds of any given person in Miami having been infected with SARS-CoV-2 is currently estimated to be around one in 7.</v>
      </c>
    </row>
    <row r="87" spans="22:22">
      <c r="V87" s="1" t="str">
        <f ca="1">"doubing in " &amp; TEXT(U21,"0.0") &amp; " days"</f>
        <v>doubing in 80.1 days</v>
      </c>
    </row>
    <row r="89" spans="22:22">
      <c r="V89" s="1" t="str">
        <f ca="1">TEXT(U77, "+0.0%;-0.0%") &amp; " per day"</f>
        <v>+0.9% per day</v>
      </c>
    </row>
    <row r="91" spans="22:22">
      <c r="V91" t="str">
        <f ca="1">"The current rate of increase is " &amp; V89</f>
        <v>The current rate of increase is +0.9%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34"/>
  <sheetViews>
    <sheetView topLeftCell="A10" workbookViewId="0">
      <selection sqref="A1:B34"/>
    </sheetView>
  </sheetViews>
  <sheetFormatPr baseColWidth="10" defaultRowHeight="16"/>
  <cols>
    <col min="1" max="1" width="12.5" customWidth="1"/>
    <col min="2" max="2" width="14.5" customWidth="1"/>
    <col min="3" max="3" width="11.1640625" style="28" customWidth="1"/>
    <col min="4" max="4" width="15.33203125" style="39" customWidth="1"/>
  </cols>
  <sheetData>
    <row r="1" spans="1:4">
      <c r="A1" s="1" t="s">
        <v>40</v>
      </c>
      <c r="B1" s="1" t="s">
        <v>42</v>
      </c>
    </row>
    <row r="2" spans="1:4" ht="17">
      <c r="A2" s="1" t="s">
        <v>41</v>
      </c>
      <c r="B2" s="57">
        <v>91718</v>
      </c>
    </row>
    <row r="3" spans="1:4">
      <c r="A3" s="1" t="s">
        <v>43</v>
      </c>
      <c r="B3" s="54" t="s">
        <v>34</v>
      </c>
    </row>
    <row r="4" spans="1:4" ht="35" customHeight="1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45</v>
      </c>
      <c r="C6" s="26">
        <f>(B6-B5)/B5</f>
        <v>0.36363636363636365</v>
      </c>
      <c r="D6" s="38">
        <f t="shared" si="0"/>
        <v>2.2348417429656711</v>
      </c>
    </row>
    <row r="7" spans="1:4">
      <c r="A7" s="8">
        <v>43915</v>
      </c>
      <c r="B7" s="9">
        <v>50</v>
      </c>
      <c r="C7" s="26">
        <f t="shared" ref="C7:C22" si="1">(B7-B6)/B6</f>
        <v>0.1111111111111111</v>
      </c>
      <c r="D7" s="38">
        <f t="shared" si="0"/>
        <v>6.5788134789605808</v>
      </c>
    </row>
    <row r="8" spans="1:4">
      <c r="A8" s="8">
        <v>43916</v>
      </c>
      <c r="B8" s="9">
        <v>74</v>
      </c>
      <c r="C8" s="26">
        <f t="shared" si="1"/>
        <v>0.48</v>
      </c>
      <c r="D8" s="38">
        <f t="shared" si="0"/>
        <v>1.768042774417488</v>
      </c>
    </row>
    <row r="9" spans="1:4">
      <c r="A9" s="8">
        <v>43917</v>
      </c>
      <c r="B9" s="9">
        <v>90</v>
      </c>
      <c r="C9" s="26">
        <f t="shared" si="1"/>
        <v>0.21621621621621623</v>
      </c>
      <c r="D9" s="38">
        <f t="shared" si="0"/>
        <v>3.5410798640589243</v>
      </c>
    </row>
    <row r="10" spans="1:4">
      <c r="A10" s="8">
        <v>43918</v>
      </c>
      <c r="B10" s="9">
        <v>115</v>
      </c>
      <c r="C10" s="26">
        <f t="shared" si="1"/>
        <v>0.27777777777777779</v>
      </c>
      <c r="D10" s="38">
        <f t="shared" si="0"/>
        <v>2.8277587705434639</v>
      </c>
    </row>
    <row r="11" spans="1:4">
      <c r="A11" s="8">
        <v>43919</v>
      </c>
      <c r="B11" s="9">
        <v>123</v>
      </c>
      <c r="C11" s="26">
        <f t="shared" si="1"/>
        <v>6.9565217391304349E-2</v>
      </c>
      <c r="D11" s="38">
        <f t="shared" si="0"/>
        <v>10.30667996266442</v>
      </c>
    </row>
    <row r="12" spans="1:4">
      <c r="A12" s="8">
        <v>43920</v>
      </c>
      <c r="B12" s="9">
        <v>194</v>
      </c>
      <c r="C12" s="26">
        <f t="shared" si="1"/>
        <v>0.57723577235772361</v>
      </c>
      <c r="D12" s="38">
        <f t="shared" si="0"/>
        <v>1.5211477485550517</v>
      </c>
    </row>
    <row r="13" spans="1:4">
      <c r="A13" s="8">
        <v>43921</v>
      </c>
      <c r="B13" s="9">
        <v>236</v>
      </c>
      <c r="C13" s="26">
        <f t="shared" si="1"/>
        <v>0.21649484536082475</v>
      </c>
      <c r="D13" s="38">
        <f t="shared" si="0"/>
        <v>3.5369407817893648</v>
      </c>
    </row>
    <row r="14" spans="1:4">
      <c r="A14" s="8">
        <v>43922</v>
      </c>
      <c r="B14" s="9">
        <v>252</v>
      </c>
      <c r="C14" s="26">
        <f t="shared" si="1"/>
        <v>6.7796610169491525E-2</v>
      </c>
      <c r="D14" s="38">
        <f t="shared" si="0"/>
        <v>10.566705727632121</v>
      </c>
    </row>
    <row r="15" spans="1:4">
      <c r="A15" s="8">
        <v>43923</v>
      </c>
      <c r="B15" s="9">
        <v>268</v>
      </c>
      <c r="C15" s="26">
        <f t="shared" si="1"/>
        <v>6.3492063492063489E-2</v>
      </c>
      <c r="D15" s="38">
        <f t="shared" si="0"/>
        <v>11.26008618531381</v>
      </c>
    </row>
    <row r="16" spans="1:4">
      <c r="A16" s="8">
        <v>43924</v>
      </c>
      <c r="B16" s="9">
        <v>302</v>
      </c>
      <c r="C16" s="26">
        <f t="shared" si="1"/>
        <v>0.12686567164179105</v>
      </c>
      <c r="D16" s="38">
        <f t="shared" si="0"/>
        <v>5.803306820384857</v>
      </c>
    </row>
    <row r="17" spans="1:4">
      <c r="A17" s="8">
        <v>43925</v>
      </c>
      <c r="B17" s="9">
        <v>341</v>
      </c>
      <c r="C17" s="26">
        <f t="shared" si="1"/>
        <v>0.12913907284768211</v>
      </c>
      <c r="D17" s="38">
        <f t="shared" si="0"/>
        <v>5.7070071702111713</v>
      </c>
    </row>
    <row r="18" spans="1:4">
      <c r="A18" s="8">
        <v>43926</v>
      </c>
      <c r="B18" s="9">
        <v>361</v>
      </c>
      <c r="C18" s="26">
        <f t="shared" si="1"/>
        <v>5.865102639296188E-2</v>
      </c>
      <c r="D18" s="38">
        <f t="shared" si="0"/>
        <v>12.161441008974148</v>
      </c>
    </row>
    <row r="19" spans="1:4">
      <c r="A19" s="8">
        <v>43927</v>
      </c>
      <c r="B19" s="9">
        <v>383</v>
      </c>
      <c r="C19" s="26">
        <f t="shared" si="1"/>
        <v>6.0941828254847646E-2</v>
      </c>
      <c r="D19" s="38">
        <f t="shared" si="0"/>
        <v>11.717071844658532</v>
      </c>
    </row>
    <row r="20" spans="1:4">
      <c r="A20" s="8">
        <v>43928</v>
      </c>
      <c r="B20" s="9">
        <v>426</v>
      </c>
      <c r="C20" s="26">
        <f t="shared" si="1"/>
        <v>0.1122715404699739</v>
      </c>
      <c r="D20" s="38">
        <f t="shared" si="0"/>
        <v>6.5142744106049149</v>
      </c>
    </row>
    <row r="21" spans="1:4">
      <c r="A21" s="8">
        <v>43929</v>
      </c>
      <c r="B21" s="9">
        <v>453</v>
      </c>
      <c r="C21" s="26">
        <f t="shared" si="1"/>
        <v>6.3380281690140844E-2</v>
      </c>
      <c r="D21" s="38">
        <f t="shared" si="0"/>
        <v>11.27934634412482</v>
      </c>
    </row>
    <row r="22" spans="1:4">
      <c r="A22" s="8">
        <v>43930</v>
      </c>
      <c r="B22" s="9">
        <v>464</v>
      </c>
      <c r="C22" s="26">
        <f t="shared" si="1"/>
        <v>2.4282560706401765E-2</v>
      </c>
      <c r="D22" s="38">
        <f t="shared" ref="D22" si="2">(LN(2)/LN(B22/B21))</f>
        <v>28.890248909722647</v>
      </c>
    </row>
    <row r="23" spans="1:4">
      <c r="A23" s="8">
        <v>43931</v>
      </c>
      <c r="B23" s="9">
        <v>479</v>
      </c>
      <c r="C23" s="26">
        <f t="shared" ref="C23" si="3">(B23-B22)/B22</f>
        <v>3.2327586206896554E-2</v>
      </c>
      <c r="D23" s="38">
        <f t="shared" ref="D23" si="4">(LN(2)/LN(B23/B22))</f>
        <v>21.78608863977048</v>
      </c>
    </row>
    <row r="24" spans="1:4">
      <c r="A24" s="8">
        <v>43932</v>
      </c>
      <c r="B24" s="9">
        <v>516</v>
      </c>
      <c r="C24" s="26">
        <f t="shared" ref="C24" si="5">(B24-B23)/B23</f>
        <v>7.724425887265135E-2</v>
      </c>
      <c r="D24" s="38">
        <f t="shared" ref="D24" si="6">(LN(2)/LN(B24/B23))</f>
        <v>9.3157220501103151</v>
      </c>
    </row>
    <row r="25" spans="1:4">
      <c r="A25" s="8">
        <v>43933</v>
      </c>
      <c r="B25" s="9">
        <v>523</v>
      </c>
      <c r="C25" s="26">
        <f t="shared" ref="C25" si="7">(B25-B24)/B24</f>
        <v>1.3565891472868217E-2</v>
      </c>
      <c r="D25" s="38">
        <f t="shared" ref="D25" si="8">(LN(2)/LN(B25/B24))</f>
        <v>51.440644573371593</v>
      </c>
    </row>
    <row r="26" spans="1:4">
      <c r="A26" s="8">
        <v>43934</v>
      </c>
      <c r="B26" s="9">
        <v>553</v>
      </c>
      <c r="C26" s="26">
        <f t="shared" ref="C26" si="9">(B26-B25)/B25</f>
        <v>5.736137667304015E-2</v>
      </c>
      <c r="D26" s="38">
        <f t="shared" ref="D26" si="10">(LN(2)/LN(B26/B25))</f>
        <v>12.427217825939763</v>
      </c>
    </row>
    <row r="27" spans="1:4">
      <c r="A27" s="8">
        <v>43935</v>
      </c>
      <c r="B27" s="9">
        <v>562</v>
      </c>
      <c r="C27" s="26">
        <f t="shared" ref="C27" si="11">(B27-B26)/B26</f>
        <v>1.62748643761302E-2</v>
      </c>
      <c r="D27" s="38">
        <f t="shared" ref="D27" si="12">(LN(2)/LN(B27/B26))</f>
        <v>42.935684516821048</v>
      </c>
    </row>
    <row r="28" spans="1:4">
      <c r="A28" s="8">
        <v>43936</v>
      </c>
      <c r="B28" s="9">
        <v>577</v>
      </c>
      <c r="C28" s="26">
        <f t="shared" ref="C28:C34" si="13">(B28-B27)/B27</f>
        <v>2.6690391459074734E-2</v>
      </c>
      <c r="D28" s="38">
        <f t="shared" ref="D28:D34" si="14">(LN(2)/LN(B28/B27))</f>
        <v>26.314966490726817</v>
      </c>
    </row>
    <row r="29" spans="1:4">
      <c r="A29" s="8">
        <v>43937</v>
      </c>
      <c r="B29" s="9">
        <v>583</v>
      </c>
      <c r="C29" s="26">
        <f t="shared" si="13"/>
        <v>1.0398613518197574E-2</v>
      </c>
      <c r="D29" s="38">
        <f t="shared" si="14"/>
        <v>67.003629909192583</v>
      </c>
    </row>
    <row r="30" spans="1:4">
      <c r="A30" s="8">
        <v>43938</v>
      </c>
      <c r="B30" s="9">
        <v>601</v>
      </c>
      <c r="C30" s="26">
        <f t="shared" si="13"/>
        <v>3.0874785591766724E-2</v>
      </c>
      <c r="D30" s="38">
        <f t="shared" si="14"/>
        <v>22.795084211739212</v>
      </c>
    </row>
    <row r="31" spans="1:4">
      <c r="A31" s="8">
        <v>43939</v>
      </c>
      <c r="B31" s="9">
        <v>614</v>
      </c>
      <c r="C31" s="26">
        <f t="shared" si="13"/>
        <v>2.1630615640599003E-2</v>
      </c>
      <c r="D31" s="38">
        <f t="shared" si="14"/>
        <v>32.390064835036874</v>
      </c>
    </row>
    <row r="32" spans="1:4">
      <c r="A32" s="8">
        <v>43940</v>
      </c>
      <c r="B32" s="9">
        <v>620</v>
      </c>
      <c r="C32" s="26">
        <f t="shared" si="13"/>
        <v>9.7719869706840382E-3</v>
      </c>
      <c r="D32" s="38">
        <f t="shared" si="14"/>
        <v>71.278073356438</v>
      </c>
    </row>
    <row r="33" spans="1:4">
      <c r="A33" s="8">
        <v>43941</v>
      </c>
      <c r="B33" s="9">
        <v>640</v>
      </c>
      <c r="C33" s="26">
        <f t="shared" si="13"/>
        <v>3.2258064516129031E-2</v>
      </c>
      <c r="D33" s="38">
        <f t="shared" si="14"/>
        <v>21.832302341719139</v>
      </c>
    </row>
    <row r="34" spans="1:4">
      <c r="A34" s="8">
        <v>43942</v>
      </c>
      <c r="B34" s="9">
        <v>648</v>
      </c>
      <c r="C34" s="26">
        <f t="shared" si="13"/>
        <v>1.2500000000000001E-2</v>
      </c>
      <c r="D34" s="38">
        <f t="shared" si="14"/>
        <v>55.797630484028609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74"/>
  <sheetViews>
    <sheetView topLeftCell="A67" zoomScale="231" workbookViewId="0">
      <selection activeCell="B74" sqref="A1:B74"/>
    </sheetView>
  </sheetViews>
  <sheetFormatPr baseColWidth="10" defaultRowHeight="16"/>
  <cols>
    <col min="1" max="1" width="15.1640625" style="92" customWidth="1"/>
    <col min="2" max="2" width="15" style="33" customWidth="1"/>
  </cols>
  <sheetData>
    <row r="1" spans="1:4">
      <c r="A1" s="89" t="s">
        <v>40</v>
      </c>
      <c r="B1" s="83" t="s">
        <v>42</v>
      </c>
      <c r="C1" s="28"/>
      <c r="D1" s="39"/>
    </row>
    <row r="2" spans="1:4" ht="17">
      <c r="A2" s="89" t="s">
        <v>41</v>
      </c>
      <c r="B2" s="84">
        <v>91718</v>
      </c>
      <c r="C2" s="28"/>
      <c r="D2" s="39"/>
    </row>
    <row r="3" spans="1:4">
      <c r="A3" s="89" t="s">
        <v>43</v>
      </c>
      <c r="B3" s="85" t="s">
        <v>35</v>
      </c>
      <c r="C3" s="28"/>
      <c r="D3" s="39"/>
    </row>
    <row r="4" spans="1:4" ht="52" thickBot="1">
      <c r="A4" s="90" t="s">
        <v>0</v>
      </c>
      <c r="B4" s="53" t="s">
        <v>1</v>
      </c>
      <c r="C4" s="65" t="s">
        <v>31</v>
      </c>
      <c r="D4" s="65" t="s">
        <v>39</v>
      </c>
    </row>
    <row r="5" spans="1:4">
      <c r="A5" s="91">
        <v>43913</v>
      </c>
      <c r="B5" s="86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91">
        <v>43914</v>
      </c>
      <c r="B6" s="86">
        <v>46</v>
      </c>
      <c r="C6" s="26">
        <f>(B6-B5)/B5</f>
        <v>0.39393939393939392</v>
      </c>
      <c r="D6" s="38">
        <f t="shared" si="0"/>
        <v>2.0869514258092652</v>
      </c>
    </row>
    <row r="7" spans="1:4">
      <c r="A7" s="91">
        <v>43915</v>
      </c>
      <c r="B7" s="86">
        <v>63</v>
      </c>
      <c r="C7" s="26">
        <f t="shared" ref="C7:C21" si="1">(B7-B6)/B6</f>
        <v>0.36956521739130432</v>
      </c>
      <c r="D7" s="38">
        <f t="shared" si="0"/>
        <v>2.2040123419309841</v>
      </c>
    </row>
    <row r="8" spans="1:4">
      <c r="A8" s="91">
        <v>43916</v>
      </c>
      <c r="B8" s="86">
        <v>76</v>
      </c>
      <c r="C8" s="26">
        <f t="shared" si="1"/>
        <v>0.20634920634920634</v>
      </c>
      <c r="D8" s="38">
        <f t="shared" si="0"/>
        <v>3.6948416950918879</v>
      </c>
    </row>
    <row r="9" spans="1:4">
      <c r="A9" s="91">
        <v>43917</v>
      </c>
      <c r="B9" s="86">
        <v>90</v>
      </c>
      <c r="C9" s="26">
        <f t="shared" si="1"/>
        <v>0.18421052631578946</v>
      </c>
      <c r="D9" s="38">
        <f t="shared" si="0"/>
        <v>4.0996109885980694</v>
      </c>
    </row>
    <row r="10" spans="1:4">
      <c r="A10" s="91">
        <v>43918</v>
      </c>
      <c r="B10" s="86">
        <v>118</v>
      </c>
      <c r="C10" s="26">
        <f t="shared" si="1"/>
        <v>0.31111111111111112</v>
      </c>
      <c r="D10" s="38">
        <f t="shared" si="0"/>
        <v>2.55891942011541</v>
      </c>
    </row>
    <row r="11" spans="1:4">
      <c r="A11" s="91">
        <v>43919</v>
      </c>
      <c r="B11" s="86">
        <v>160</v>
      </c>
      <c r="C11" s="26">
        <f t="shared" si="1"/>
        <v>0.3559322033898305</v>
      </c>
      <c r="D11" s="38">
        <f t="shared" si="0"/>
        <v>2.276426229815518</v>
      </c>
    </row>
    <row r="12" spans="1:4">
      <c r="A12" s="91">
        <v>43920</v>
      </c>
      <c r="B12" s="86">
        <v>197</v>
      </c>
      <c r="C12" s="26">
        <f t="shared" si="1"/>
        <v>0.23125000000000001</v>
      </c>
      <c r="D12" s="38">
        <f t="shared" si="0"/>
        <v>3.3319591826205279</v>
      </c>
    </row>
    <row r="13" spans="1:4">
      <c r="A13" s="91">
        <v>43921</v>
      </c>
      <c r="B13" s="86">
        <v>238</v>
      </c>
      <c r="C13" s="26">
        <f t="shared" si="1"/>
        <v>0.20812182741116753</v>
      </c>
      <c r="D13" s="38">
        <f t="shared" si="0"/>
        <v>3.6661468285944667</v>
      </c>
    </row>
    <row r="14" spans="1:4">
      <c r="A14" s="91">
        <v>43922</v>
      </c>
      <c r="B14" s="86">
        <v>266</v>
      </c>
      <c r="C14" s="26">
        <f t="shared" si="1"/>
        <v>0.11764705882352941</v>
      </c>
      <c r="D14" s="38">
        <f t="shared" si="0"/>
        <v>6.2319013047040608</v>
      </c>
    </row>
    <row r="15" spans="1:4">
      <c r="A15" s="91">
        <v>43923</v>
      </c>
      <c r="B15" s="86">
        <v>294</v>
      </c>
      <c r="C15" s="26">
        <f t="shared" si="1"/>
        <v>0.10526315789473684</v>
      </c>
      <c r="D15" s="38">
        <f t="shared" si="0"/>
        <v>6.9256917232261834</v>
      </c>
    </row>
    <row r="16" spans="1:4">
      <c r="A16" s="91">
        <v>43924</v>
      </c>
      <c r="B16" s="86">
        <v>310</v>
      </c>
      <c r="C16" s="26">
        <f t="shared" si="1"/>
        <v>5.4421768707482991E-2</v>
      </c>
      <c r="D16" s="38">
        <f t="shared" si="0"/>
        <v>13.080092207751859</v>
      </c>
    </row>
    <row r="17" spans="1:4">
      <c r="A17" s="91">
        <v>43925</v>
      </c>
      <c r="B17" s="86">
        <v>347</v>
      </c>
      <c r="C17" s="26">
        <f t="shared" si="1"/>
        <v>0.11935483870967742</v>
      </c>
      <c r="D17" s="38">
        <f t="shared" si="0"/>
        <v>6.1475114816980732</v>
      </c>
    </row>
    <row r="18" spans="1:4">
      <c r="A18" s="91">
        <v>43926</v>
      </c>
      <c r="B18" s="86">
        <v>365</v>
      </c>
      <c r="C18" s="26">
        <f t="shared" si="1"/>
        <v>5.1873198847262249E-2</v>
      </c>
      <c r="D18" s="38">
        <f t="shared" si="0"/>
        <v>13.705989842517504</v>
      </c>
    </row>
    <row r="19" spans="1:4">
      <c r="A19" s="91">
        <v>43927</v>
      </c>
      <c r="B19" s="86">
        <v>396</v>
      </c>
      <c r="C19" s="26">
        <f t="shared" si="1"/>
        <v>8.4931506849315067E-2</v>
      </c>
      <c r="D19" s="38">
        <f t="shared" si="0"/>
        <v>8.5031145747675918</v>
      </c>
    </row>
    <row r="20" spans="1:4">
      <c r="A20" s="91">
        <v>43928</v>
      </c>
      <c r="B20" s="86">
        <v>428</v>
      </c>
      <c r="C20" s="26">
        <f t="shared" si="1"/>
        <v>8.0808080808080815E-2</v>
      </c>
      <c r="D20" s="38">
        <f t="shared" si="0"/>
        <v>8.9197817544539646</v>
      </c>
    </row>
    <row r="21" spans="1:4">
      <c r="A21" s="91">
        <v>43929</v>
      </c>
      <c r="B21" s="86">
        <v>454</v>
      </c>
      <c r="C21" s="26">
        <f t="shared" si="1"/>
        <v>6.0747663551401869E-2</v>
      </c>
      <c r="D21" s="38">
        <f t="shared" si="0"/>
        <v>11.753436288055184</v>
      </c>
    </row>
    <row r="22" spans="1:4">
      <c r="A22" s="91">
        <v>43930</v>
      </c>
      <c r="B22" s="86">
        <v>468</v>
      </c>
      <c r="C22" s="26">
        <f t="shared" ref="C22:C23" si="2">(B22-B21)/B21</f>
        <v>3.0837004405286344E-2</v>
      </c>
      <c r="D22" s="38">
        <f t="shared" ref="D22:D23" si="3">(LN(2)/LN(B22/B21))</f>
        <v>22.822592169144759</v>
      </c>
    </row>
    <row r="23" spans="1:4">
      <c r="A23" s="91">
        <v>43931</v>
      </c>
      <c r="B23" s="86">
        <v>493</v>
      </c>
      <c r="C23" s="26">
        <f t="shared" si="2"/>
        <v>5.3418803418803416E-2</v>
      </c>
      <c r="D23" s="38">
        <f t="shared" si="3"/>
        <v>13.319282947041303</v>
      </c>
    </row>
    <row r="24" spans="1:4">
      <c r="A24" s="91">
        <v>43932</v>
      </c>
      <c r="B24" s="86">
        <v>520</v>
      </c>
      <c r="C24" s="26">
        <f t="shared" ref="C24" si="4">(B24-B23)/B23</f>
        <v>5.4766734279918863E-2</v>
      </c>
      <c r="D24" s="38">
        <f t="shared" ref="D24" si="5">(LN(2)/LN(B24/B23))</f>
        <v>12.999847947836686</v>
      </c>
    </row>
    <row r="25" spans="1:4">
      <c r="A25" s="91">
        <v>43933</v>
      </c>
      <c r="B25" s="86">
        <v>535</v>
      </c>
      <c r="C25" s="26">
        <f t="shared" ref="C25" si="6">(B25-B24)/B24</f>
        <v>2.8846153846153848E-2</v>
      </c>
      <c r="D25" s="38">
        <f t="shared" ref="D25" si="7">(LN(2)/LN(B25/B24))</f>
        <v>24.37403323227419</v>
      </c>
    </row>
    <row r="26" spans="1:4">
      <c r="A26" s="91">
        <v>43934</v>
      </c>
      <c r="B26" s="86">
        <v>561</v>
      </c>
      <c r="C26" s="26">
        <f t="shared" ref="C26" si="8">(B26-B25)/B25</f>
        <v>4.8598130841121495E-2</v>
      </c>
      <c r="D26" s="38">
        <f t="shared" ref="D26" si="9">(LN(2)/LN(B26/B25))</f>
        <v>14.606668848830834</v>
      </c>
    </row>
    <row r="27" spans="1:4">
      <c r="A27" s="91">
        <v>43935</v>
      </c>
      <c r="B27" s="86">
        <v>568</v>
      </c>
      <c r="C27" s="26">
        <f t="shared" ref="C27" si="10">(B27-B26)/B26</f>
        <v>1.2477718360071301E-2</v>
      </c>
      <c r="D27" s="38">
        <f t="shared" ref="D27" si="11">(LN(2)/LN(B27/B26))</f>
        <v>55.896652780975636</v>
      </c>
    </row>
    <row r="28" spans="1:4">
      <c r="A28" s="91">
        <v>43936</v>
      </c>
      <c r="B28" s="86">
        <v>583</v>
      </c>
      <c r="C28" s="26">
        <f t="shared" ref="C28:C30" si="12">(B28-B27)/B27</f>
        <v>2.6408450704225352E-2</v>
      </c>
      <c r="D28" s="38">
        <f t="shared" ref="D28:D30" si="13">(LN(2)/LN(B28/B27))</f>
        <v>26.592241226753817</v>
      </c>
    </row>
    <row r="29" spans="1:4">
      <c r="A29" s="91">
        <v>43937</v>
      </c>
      <c r="B29" s="86">
        <v>587</v>
      </c>
      <c r="C29" s="26">
        <f t="shared" si="12"/>
        <v>6.8610634648370496E-3</v>
      </c>
      <c r="D29" s="38">
        <f t="shared" si="13"/>
        <v>101.37238020000403</v>
      </c>
    </row>
    <row r="30" spans="1:4">
      <c r="A30" s="91">
        <v>43938</v>
      </c>
      <c r="B30" s="86">
        <v>607</v>
      </c>
      <c r="C30" s="26">
        <f t="shared" si="12"/>
        <v>3.4071550255536626E-2</v>
      </c>
      <c r="D30" s="38">
        <f t="shared" si="13"/>
        <v>20.688508110653103</v>
      </c>
    </row>
    <row r="31" spans="1:4">
      <c r="A31" s="91">
        <v>43939</v>
      </c>
      <c r="B31" s="86">
        <v>615</v>
      </c>
      <c r="C31" s="26">
        <f t="shared" ref="C31" si="14">(B31-B30)/B30</f>
        <v>1.3179571663920923E-2</v>
      </c>
      <c r="D31" s="38">
        <f t="shared" ref="D31" si="15">(LN(2)/LN(B31/B30))</f>
        <v>52.938359608552602</v>
      </c>
    </row>
    <row r="32" spans="1:4">
      <c r="A32" s="91">
        <v>43940</v>
      </c>
      <c r="B32" s="86">
        <v>636</v>
      </c>
      <c r="C32" s="26">
        <f t="shared" ref="C32:C34" si="16">(B32-B31)/B31</f>
        <v>3.4146341463414637E-2</v>
      </c>
      <c r="D32" s="38">
        <f t="shared" ref="D32:D34" si="17">(LN(2)/LN(B32/B31))</f>
        <v>20.643944471665133</v>
      </c>
    </row>
    <row r="33" spans="1:4">
      <c r="A33" s="91">
        <v>43941</v>
      </c>
      <c r="B33" s="86">
        <v>641</v>
      </c>
      <c r="C33" s="26">
        <f t="shared" si="16"/>
        <v>7.8616352201257862E-3</v>
      </c>
      <c r="D33" s="38">
        <f t="shared" si="17"/>
        <v>88.514442627817402</v>
      </c>
    </row>
    <row r="34" spans="1:4">
      <c r="A34" s="91">
        <v>43942</v>
      </c>
      <c r="B34" s="86">
        <v>651</v>
      </c>
      <c r="C34" s="26">
        <f t="shared" si="16"/>
        <v>1.5600624024960999E-2</v>
      </c>
      <c r="D34" s="38">
        <f t="shared" si="17"/>
        <v>44.776413697177858</v>
      </c>
    </row>
    <row r="35" spans="1:4">
      <c r="A35" s="91">
        <v>43943</v>
      </c>
      <c r="B35" s="86">
        <v>659</v>
      </c>
      <c r="C35" s="26">
        <f t="shared" ref="C35:C54" si="18">(B35-B34)/B34</f>
        <v>1.2288786482334869E-2</v>
      </c>
      <c r="D35" s="38">
        <f t="shared" ref="D35:D54" si="19">(LN(2)/LN(B35/B34))</f>
        <v>56.75071990801559</v>
      </c>
    </row>
    <row r="36" spans="1:4">
      <c r="A36" s="91">
        <v>43944</v>
      </c>
      <c r="B36" s="86">
        <v>661</v>
      </c>
      <c r="C36" s="26">
        <f t="shared" si="18"/>
        <v>3.0349013657056147E-3</v>
      </c>
      <c r="D36" s="38">
        <f t="shared" si="19"/>
        <v>228.73839454750822</v>
      </c>
    </row>
    <row r="37" spans="1:4">
      <c r="A37" s="91">
        <v>43945</v>
      </c>
      <c r="B37" s="86">
        <v>671</v>
      </c>
      <c r="C37" s="26">
        <f t="shared" si="18"/>
        <v>1.5128593040847202E-2</v>
      </c>
      <c r="D37" s="38">
        <f t="shared" si="19"/>
        <v>46.162734910979644</v>
      </c>
    </row>
    <row r="38" spans="1:4">
      <c r="A38" s="91">
        <v>43946</v>
      </c>
      <c r="B38" s="86">
        <v>674</v>
      </c>
      <c r="C38" s="26">
        <f t="shared" si="18"/>
        <v>4.4709388971684054E-3</v>
      </c>
      <c r="D38" s="38">
        <f t="shared" si="19"/>
        <v>155.38023529964653</v>
      </c>
    </row>
    <row r="39" spans="1:4">
      <c r="A39" s="91">
        <v>43947</v>
      </c>
      <c r="B39" s="86">
        <v>678</v>
      </c>
      <c r="C39" s="26">
        <f t="shared" si="18"/>
        <v>5.9347181008902079E-3</v>
      </c>
      <c r="D39" s="38">
        <f t="shared" si="19"/>
        <v>117.14153172528272</v>
      </c>
    </row>
    <row r="40" spans="1:4">
      <c r="A40" s="91">
        <v>43948</v>
      </c>
      <c r="B40" s="86">
        <v>681</v>
      </c>
      <c r="C40" s="26">
        <f t="shared" si="18"/>
        <v>4.4247787610619468E-3</v>
      </c>
      <c r="D40" s="38">
        <f t="shared" si="19"/>
        <v>156.99758137546218</v>
      </c>
    </row>
    <row r="41" spans="1:4">
      <c r="A41" s="91">
        <v>43949</v>
      </c>
      <c r="B41" s="86">
        <v>690</v>
      </c>
      <c r="C41" s="26">
        <f t="shared" si="18"/>
        <v>1.3215859030837005E-2</v>
      </c>
      <c r="D41" s="38">
        <f t="shared" si="19"/>
        <v>52.793951877215413</v>
      </c>
    </row>
    <row r="42" spans="1:4">
      <c r="A42" s="91">
        <v>43950</v>
      </c>
      <c r="B42" s="86">
        <v>689</v>
      </c>
      <c r="C42" s="26">
        <f t="shared" si="18"/>
        <v>-1.4492753623188406E-3</v>
      </c>
      <c r="D42" s="38">
        <f t="shared" si="19"/>
        <v>-477.92489722192761</v>
      </c>
    </row>
    <row r="43" spans="1:4">
      <c r="A43" s="91">
        <v>43951</v>
      </c>
      <c r="B43" s="86">
        <v>695</v>
      </c>
      <c r="C43" s="26">
        <f t="shared" si="18"/>
        <v>8.708272859216255E-3</v>
      </c>
      <c r="D43" s="38">
        <f t="shared" si="19"/>
        <v>79.942473993182418</v>
      </c>
    </row>
    <row r="44" spans="1:4">
      <c r="A44" s="91">
        <v>43952</v>
      </c>
      <c r="B44" s="86">
        <v>706</v>
      </c>
      <c r="C44" s="26">
        <f t="shared" si="18"/>
        <v>1.5827338129496403E-2</v>
      </c>
      <c r="D44" s="38">
        <f t="shared" si="19"/>
        <v>44.139965665899489</v>
      </c>
    </row>
    <row r="45" spans="1:4">
      <c r="A45" s="91">
        <v>43953</v>
      </c>
      <c r="B45" s="86">
        <v>713</v>
      </c>
      <c r="C45" s="26">
        <f t="shared" si="18"/>
        <v>9.9150141643059488E-3</v>
      </c>
      <c r="D45" s="38">
        <f t="shared" si="19"/>
        <v>70.254847908892572</v>
      </c>
    </row>
    <row r="46" spans="1:4">
      <c r="A46" s="91">
        <v>43954</v>
      </c>
      <c r="B46" s="86">
        <v>717</v>
      </c>
      <c r="C46" s="26">
        <f t="shared" si="18"/>
        <v>5.6100981767180924E-3</v>
      </c>
      <c r="D46" s="38">
        <f t="shared" si="19"/>
        <v>123.89973537887481</v>
      </c>
    </row>
    <row r="47" spans="1:4">
      <c r="A47" s="91">
        <v>43955</v>
      </c>
      <c r="B47" s="86">
        <v>718</v>
      </c>
      <c r="C47" s="26">
        <f t="shared" si="18"/>
        <v>1.3947001394700139E-3</v>
      </c>
      <c r="D47" s="38">
        <f t="shared" si="19"/>
        <v>497.33302154683025</v>
      </c>
    </row>
    <row r="48" spans="1:4">
      <c r="A48" s="91">
        <v>43956</v>
      </c>
      <c r="B48" s="86">
        <v>719</v>
      </c>
      <c r="C48" s="26">
        <f t="shared" si="18"/>
        <v>1.3927576601671309E-3</v>
      </c>
      <c r="D48" s="38">
        <f t="shared" si="19"/>
        <v>498.02616883946456</v>
      </c>
    </row>
    <row r="49" spans="1:4">
      <c r="A49" s="91">
        <v>43957</v>
      </c>
      <c r="B49" s="86">
        <v>720</v>
      </c>
      <c r="C49" s="26">
        <f t="shared" si="18"/>
        <v>1.3908205841446453E-3</v>
      </c>
      <c r="D49" s="38">
        <f t="shared" si="19"/>
        <v>498.71931613175457</v>
      </c>
    </row>
    <row r="50" spans="1:4">
      <c r="A50" s="91">
        <v>43958</v>
      </c>
      <c r="B50" s="86">
        <v>722</v>
      </c>
      <c r="C50" s="26">
        <f t="shared" si="18"/>
        <v>2.7777777777777779E-3</v>
      </c>
      <c r="D50" s="38">
        <f t="shared" si="19"/>
        <v>249.87939836358191</v>
      </c>
    </row>
    <row r="51" spans="1:4">
      <c r="A51" s="91">
        <v>43959</v>
      </c>
      <c r="B51" s="86">
        <v>723</v>
      </c>
      <c r="C51" s="26">
        <f t="shared" si="18"/>
        <v>1.3850415512465374E-3</v>
      </c>
      <c r="D51" s="38">
        <f t="shared" si="19"/>
        <v>500.79875800674318</v>
      </c>
    </row>
    <row r="52" spans="1:4">
      <c r="A52" s="91">
        <v>43960</v>
      </c>
      <c r="B52" s="86">
        <v>725</v>
      </c>
      <c r="C52" s="26">
        <f t="shared" si="18"/>
        <v>2.7662517289073307E-3</v>
      </c>
      <c r="D52" s="38">
        <f t="shared" si="19"/>
        <v>250.91911979835183</v>
      </c>
    </row>
    <row r="53" spans="1:4">
      <c r="A53" s="91">
        <v>43961</v>
      </c>
      <c r="B53" s="86">
        <v>745</v>
      </c>
      <c r="C53" s="26">
        <f t="shared" si="18"/>
        <v>2.7586206896551724E-2</v>
      </c>
      <c r="D53" s="38">
        <f t="shared" si="19"/>
        <v>25.471587045670656</v>
      </c>
    </row>
    <row r="54" spans="1:4">
      <c r="A54" s="91">
        <v>43962</v>
      </c>
      <c r="B54" s="86">
        <v>750</v>
      </c>
      <c r="C54" s="26">
        <f t="shared" si="18"/>
        <v>6.7114093959731542E-3</v>
      </c>
      <c r="D54" s="38">
        <f t="shared" si="19"/>
        <v>103.62511712289192</v>
      </c>
    </row>
    <row r="55" spans="1:4">
      <c r="A55" s="91">
        <v>43963</v>
      </c>
      <c r="B55" s="86">
        <v>757</v>
      </c>
      <c r="C55" s="26">
        <f t="shared" ref="C55" si="20">(B55-B54)/B54</f>
        <v>9.3333333333333341E-3</v>
      </c>
      <c r="D55" s="38">
        <f t="shared" ref="D55" si="21">(LN(2)/LN(B55/B54))</f>
        <v>74.611806322607862</v>
      </c>
    </row>
    <row r="56" spans="1:4">
      <c r="A56" s="91">
        <v>43964</v>
      </c>
      <c r="B56" s="86">
        <v>759</v>
      </c>
      <c r="C56" s="26">
        <f t="shared" ref="C56" si="22">(B56-B55)/B55</f>
        <v>2.6420079260237781E-3</v>
      </c>
      <c r="D56" s="38">
        <f t="shared" ref="D56" si="23">(LN(2)/LN(B56/B55))</f>
        <v>262.70262902510757</v>
      </c>
    </row>
    <row r="57" spans="1:4">
      <c r="A57" s="91">
        <v>43965</v>
      </c>
      <c r="B57" s="86">
        <v>768</v>
      </c>
      <c r="C57" s="26">
        <f t="shared" ref="C57" si="24">(B57-B56)/B56</f>
        <v>1.1857707509881422E-2</v>
      </c>
      <c r="D57" s="38">
        <f t="shared" ref="D57" si="25">(LN(2)/LN(B57/B56))</f>
        <v>58.801304920054768</v>
      </c>
    </row>
    <row r="58" spans="1:4">
      <c r="A58" s="91">
        <v>43966</v>
      </c>
      <c r="B58" s="86">
        <v>787</v>
      </c>
      <c r="C58" s="26">
        <f t="shared" ref="C58:C59" si="26">(B58-B57)/B57</f>
        <v>2.4739583333333332E-2</v>
      </c>
      <c r="D58" s="38">
        <f t="shared" ref="D58:D59" si="27">(LN(2)/LN(B58/B57))</f>
        <v>28.362900647178932</v>
      </c>
    </row>
    <row r="59" spans="1:4">
      <c r="A59" s="91">
        <v>43967</v>
      </c>
      <c r="B59" s="86">
        <v>791</v>
      </c>
      <c r="C59" s="26">
        <f t="shared" si="26"/>
        <v>5.0825921219822112E-3</v>
      </c>
      <c r="D59" s="38">
        <f t="shared" si="27"/>
        <v>136.72298852710364</v>
      </c>
    </row>
    <row r="60" spans="1:4">
      <c r="A60" s="91">
        <v>43968</v>
      </c>
      <c r="B60" s="86">
        <v>803</v>
      </c>
      <c r="C60" s="26">
        <f t="shared" ref="C60" si="28">(B60-B59)/B59</f>
        <v>1.5170670037926675E-2</v>
      </c>
      <c r="D60" s="38">
        <f t="shared" ref="D60" si="29">(LN(2)/LN(B60/B59))</f>
        <v>46.0356555337125</v>
      </c>
    </row>
    <row r="61" spans="1:4">
      <c r="A61" s="91">
        <v>43969</v>
      </c>
      <c r="B61" s="86">
        <v>814</v>
      </c>
      <c r="C61" s="26">
        <f t="shared" ref="C61:C62" si="30">(B61-B60)/B60</f>
        <v>1.3698630136986301E-2</v>
      </c>
      <c r="D61" s="38">
        <f t="shared" ref="D61:D62" si="31">(LN(2)/LN(B61/B60))</f>
        <v>50.945531880300251</v>
      </c>
    </row>
    <row r="62" spans="1:4">
      <c r="A62" s="91">
        <v>43970</v>
      </c>
      <c r="B62" s="86">
        <v>816</v>
      </c>
      <c r="C62" s="26">
        <f t="shared" si="30"/>
        <v>2.4570024570024569E-3</v>
      </c>
      <c r="D62" s="38">
        <f t="shared" si="31"/>
        <v>282.45733433022241</v>
      </c>
    </row>
    <row r="63" spans="1:4">
      <c r="A63" s="91">
        <v>43971</v>
      </c>
      <c r="B63" s="86">
        <v>817</v>
      </c>
      <c r="C63" s="26">
        <f t="shared" ref="C63:C66" si="32">(B63-B62)/B62</f>
        <v>1.2254901960784314E-3</v>
      </c>
      <c r="D63" s="38">
        <f t="shared" ref="D63:D66" si="33">(LN(2)/LN(B63/B62))</f>
        <v>565.95460218344863</v>
      </c>
    </row>
    <row r="64" spans="1:4">
      <c r="A64" s="91">
        <v>43972</v>
      </c>
      <c r="B64" s="86">
        <v>838</v>
      </c>
      <c r="C64" s="26">
        <f t="shared" si="32"/>
        <v>2.5703794369645042E-2</v>
      </c>
      <c r="D64" s="38">
        <f t="shared" si="33"/>
        <v>27.311833681808924</v>
      </c>
    </row>
    <row r="65" spans="1:4">
      <c r="A65" s="91">
        <v>43973</v>
      </c>
      <c r="B65" s="86">
        <v>842</v>
      </c>
      <c r="C65" s="26">
        <f t="shared" si="32"/>
        <v>4.7732696897374704E-3</v>
      </c>
      <c r="D65" s="38">
        <f t="shared" si="33"/>
        <v>145.56063285876471</v>
      </c>
    </row>
    <row r="66" spans="1:4">
      <c r="A66" s="91">
        <v>43974</v>
      </c>
      <c r="B66" s="86">
        <v>846</v>
      </c>
      <c r="C66" s="26">
        <f t="shared" si="32"/>
        <v>4.7505938242280287E-3</v>
      </c>
      <c r="D66" s="38">
        <f t="shared" si="33"/>
        <v>146.2537813429274</v>
      </c>
    </row>
    <row r="67" spans="1:4">
      <c r="A67" s="91">
        <v>43976</v>
      </c>
      <c r="B67" s="86">
        <v>861</v>
      </c>
      <c r="C67" s="26">
        <f t="shared" ref="C67" si="34">(B67-B66)/B66</f>
        <v>1.7730496453900711E-2</v>
      </c>
      <c r="D67" s="38">
        <f t="shared" ref="D67" si="35">(LN(2)/LN(B67/B66))</f>
        <v>39.439059398913749</v>
      </c>
    </row>
    <row r="68" spans="1:4">
      <c r="A68" s="91">
        <v>43977</v>
      </c>
      <c r="B68" s="86">
        <v>862</v>
      </c>
      <c r="C68" s="26">
        <f t="shared" ref="C68" si="36">(B68-B67)/B67</f>
        <v>1.1614401858304297E-3</v>
      </c>
      <c r="D68" s="38">
        <f t="shared" ref="D68" si="37">(LN(2)/LN(B68/B67))</f>
        <v>597.14622900391237</v>
      </c>
    </row>
    <row r="69" spans="1:4">
      <c r="A69" s="91">
        <v>43978</v>
      </c>
      <c r="B69" s="86">
        <v>863</v>
      </c>
      <c r="C69" s="26">
        <f t="shared" ref="C69" si="38">(B69-B68)/B68</f>
        <v>1.1600928074245939E-3</v>
      </c>
      <c r="D69" s="38">
        <f t="shared" ref="D69" si="39">(LN(2)/LN(B69/B68))</f>
        <v>597.83937626215823</v>
      </c>
    </row>
    <row r="70" spans="1:4">
      <c r="A70" s="91">
        <v>43979</v>
      </c>
      <c r="B70" s="86">
        <v>869</v>
      </c>
      <c r="C70" s="26">
        <f t="shared" ref="C70:C71" si="40">(B70-B69)/B69</f>
        <v>6.9524913093858632E-3</v>
      </c>
      <c r="D70" s="38">
        <f t="shared" ref="D70:D71" si="41">(LN(2)/LN(B70/B69))</f>
        <v>100.04384285908669</v>
      </c>
    </row>
    <row r="71" spans="1:4">
      <c r="A71" s="91">
        <v>43980</v>
      </c>
      <c r="B71" s="86">
        <v>876</v>
      </c>
      <c r="C71" s="26">
        <f t="shared" si="40"/>
        <v>8.0552359033371698E-3</v>
      </c>
      <c r="D71" s="38">
        <f t="shared" si="41"/>
        <v>86.395381581334405</v>
      </c>
    </row>
    <row r="72" spans="1:4">
      <c r="A72" s="91">
        <v>43981</v>
      </c>
      <c r="B72" s="86">
        <v>877</v>
      </c>
      <c r="C72" s="26">
        <f t="shared" ref="C72:C73" si="42">(B72-B71)/B71</f>
        <v>1.1415525114155251E-3</v>
      </c>
      <c r="D72" s="38">
        <f t="shared" ref="D72:D73" si="43">(LN(2)/LN(B72/B71))</f>
        <v>607.54343785972026</v>
      </c>
    </row>
    <row r="73" spans="1:4">
      <c r="A73" s="91">
        <v>43982</v>
      </c>
      <c r="B73" s="86">
        <v>879</v>
      </c>
      <c r="C73" s="26">
        <f t="shared" si="42"/>
        <v>2.2805017103762829E-3</v>
      </c>
      <c r="D73" s="38">
        <f t="shared" si="43"/>
        <v>304.29148068886894</v>
      </c>
    </row>
    <row r="74" spans="1:4">
      <c r="A74" s="91">
        <v>43983</v>
      </c>
      <c r="B74" s="86">
        <v>885</v>
      </c>
      <c r="C74" s="26">
        <f t="shared" ref="C74" si="44">(B74-B73)/B73</f>
        <v>6.8259385665529011E-3</v>
      </c>
      <c r="D74" s="38">
        <f t="shared" ref="D74" si="45">(LN(2)/LN(B74/B73))</f>
        <v>101.89224260051961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7"/>
  <sheetViews>
    <sheetView workbookViewId="0">
      <selection sqref="A1:B27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44</v>
      </c>
      <c r="C1" s="28"/>
      <c r="D1" s="39"/>
    </row>
    <row r="2" spans="1:4" ht="17">
      <c r="A2" s="1" t="s">
        <v>41</v>
      </c>
      <c r="B2" s="57">
        <v>470914</v>
      </c>
      <c r="C2" s="28"/>
      <c r="D2" s="39"/>
    </row>
    <row r="3" spans="1:4">
      <c r="A3" s="1" t="s">
        <v>43</v>
      </c>
      <c r="B3" s="54" t="s">
        <v>34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148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181</v>
      </c>
      <c r="C6" s="26">
        <f>(B6-B5)/B5</f>
        <v>0.22297297297297297</v>
      </c>
      <c r="D6" s="38">
        <f t="shared" si="0"/>
        <v>3.4436148527245245</v>
      </c>
    </row>
    <row r="7" spans="1:4">
      <c r="A7" s="8">
        <v>43915</v>
      </c>
      <c r="B7" s="9">
        <v>211</v>
      </c>
      <c r="C7" s="26">
        <f t="shared" ref="C7:C21" si="1">(B7-B6)/B6</f>
        <v>0.16574585635359115</v>
      </c>
      <c r="D7" s="38">
        <f t="shared" si="0"/>
        <v>4.5197065655521875</v>
      </c>
    </row>
    <row r="8" spans="1:4">
      <c r="A8" s="8">
        <v>43916</v>
      </c>
      <c r="B8" s="9">
        <v>331</v>
      </c>
      <c r="C8" s="26">
        <f t="shared" si="1"/>
        <v>0.56872037914691942</v>
      </c>
      <c r="D8" s="38">
        <f t="shared" si="0"/>
        <v>1.5394367880083781</v>
      </c>
    </row>
    <row r="9" spans="1:4">
      <c r="A9" s="8">
        <v>43917</v>
      </c>
      <c r="B9" s="9">
        <v>464</v>
      </c>
      <c r="C9" s="26">
        <f t="shared" si="1"/>
        <v>0.40181268882175225</v>
      </c>
      <c r="D9" s="38">
        <f t="shared" si="0"/>
        <v>2.0521509495884938</v>
      </c>
    </row>
    <row r="10" spans="1:4">
      <c r="A10" s="8">
        <v>43918</v>
      </c>
      <c r="B10" s="9">
        <v>539</v>
      </c>
      <c r="C10" s="26">
        <f t="shared" si="1"/>
        <v>0.16163793103448276</v>
      </c>
      <c r="D10" s="38">
        <f t="shared" si="0"/>
        <v>4.6261928047598939</v>
      </c>
    </row>
    <row r="11" spans="1:4">
      <c r="A11" s="8">
        <v>43919</v>
      </c>
      <c r="B11" s="9">
        <v>643</v>
      </c>
      <c r="C11" s="26">
        <f t="shared" si="1"/>
        <v>0.19294990723562153</v>
      </c>
      <c r="D11" s="38">
        <f t="shared" si="0"/>
        <v>3.9287564865703821</v>
      </c>
    </row>
    <row r="12" spans="1:4">
      <c r="A12" s="8">
        <v>43920</v>
      </c>
      <c r="B12" s="9">
        <v>897</v>
      </c>
      <c r="C12" s="26">
        <f t="shared" si="1"/>
        <v>0.39502332814930013</v>
      </c>
      <c r="D12" s="38">
        <f t="shared" si="0"/>
        <v>2.0820786744968252</v>
      </c>
    </row>
    <row r="13" spans="1:4">
      <c r="A13" s="8">
        <v>43921</v>
      </c>
      <c r="B13" s="56">
        <v>1047</v>
      </c>
      <c r="C13" s="26">
        <f t="shared" si="1"/>
        <v>0.16722408026755853</v>
      </c>
      <c r="D13" s="38">
        <f t="shared" si="0"/>
        <v>4.4826656036005934</v>
      </c>
    </row>
    <row r="14" spans="1:4">
      <c r="A14" s="8">
        <v>43922</v>
      </c>
      <c r="B14" s="56">
        <v>1223</v>
      </c>
      <c r="C14" s="26">
        <f t="shared" si="1"/>
        <v>0.16809933142311365</v>
      </c>
      <c r="D14" s="38">
        <f t="shared" si="0"/>
        <v>4.461040275688724</v>
      </c>
    </row>
    <row r="15" spans="1:4">
      <c r="A15" s="8">
        <v>43923</v>
      </c>
      <c r="B15" s="56">
        <v>1391</v>
      </c>
      <c r="C15" s="26">
        <f t="shared" si="1"/>
        <v>0.1373671300081766</v>
      </c>
      <c r="D15" s="38">
        <f t="shared" si="0"/>
        <v>5.3850871509581326</v>
      </c>
    </row>
    <row r="16" spans="1:4">
      <c r="A16" s="8">
        <v>43924</v>
      </c>
      <c r="B16" s="56">
        <v>1752</v>
      </c>
      <c r="C16" s="26">
        <f t="shared" si="1"/>
        <v>0.25952552120776418</v>
      </c>
      <c r="D16" s="38">
        <f t="shared" si="0"/>
        <v>3.0040823521200468</v>
      </c>
    </row>
    <row r="17" spans="1:4">
      <c r="A17" s="8">
        <v>43925</v>
      </c>
      <c r="B17" s="56">
        <v>2168</v>
      </c>
      <c r="C17" s="26">
        <f t="shared" si="1"/>
        <v>0.23744292237442921</v>
      </c>
      <c r="D17" s="38">
        <f t="shared" si="0"/>
        <v>3.2534928174838318</v>
      </c>
    </row>
    <row r="18" spans="1:4">
      <c r="A18" s="8">
        <v>43926</v>
      </c>
      <c r="B18" s="56">
        <v>2393</v>
      </c>
      <c r="C18" s="26">
        <f t="shared" si="1"/>
        <v>0.10378228782287822</v>
      </c>
      <c r="D18" s="38">
        <f t="shared" si="0"/>
        <v>7.0197290799014054</v>
      </c>
    </row>
    <row r="19" spans="1:4">
      <c r="A19" s="8">
        <v>43927</v>
      </c>
      <c r="B19" s="56">
        <v>2676</v>
      </c>
      <c r="C19" s="26">
        <f t="shared" si="1"/>
        <v>0.1182615963226076</v>
      </c>
      <c r="D19" s="38">
        <f t="shared" si="0"/>
        <v>6.2012535310728651</v>
      </c>
    </row>
    <row r="20" spans="1:4">
      <c r="A20" s="8">
        <v>43928</v>
      </c>
      <c r="B20" s="35">
        <v>3009</v>
      </c>
      <c r="C20" s="26">
        <f t="shared" si="1"/>
        <v>0.12443946188340807</v>
      </c>
      <c r="D20" s="38">
        <f t="shared" si="0"/>
        <v>5.9099562368391503</v>
      </c>
    </row>
    <row r="21" spans="1:4">
      <c r="A21" s="8">
        <v>43929</v>
      </c>
      <c r="B21" s="56">
        <v>3235</v>
      </c>
      <c r="C21" s="26">
        <f t="shared" si="1"/>
        <v>7.5108009305417084E-2</v>
      </c>
      <c r="D21" s="38">
        <f t="shared" si="0"/>
        <v>9.5710627221806028</v>
      </c>
    </row>
    <row r="22" spans="1:4">
      <c r="A22" s="8">
        <v>43930</v>
      </c>
      <c r="B22" s="56">
        <v>3487</v>
      </c>
      <c r="C22" s="26">
        <f t="shared" ref="C22" si="2">(B22-B21)/B21</f>
        <v>7.7897990726429681E-2</v>
      </c>
      <c r="D22" s="38">
        <f t="shared" ref="D22" si="3">(LN(2)/LN(B22/B21))</f>
        <v>9.2403804862798964</v>
      </c>
    </row>
    <row r="23" spans="1:4">
      <c r="A23" s="8">
        <v>43931</v>
      </c>
      <c r="B23" s="56">
        <v>3713</v>
      </c>
      <c r="C23" s="26">
        <f>(B23-B22)/B22</f>
        <v>6.4812159449383427E-2</v>
      </c>
      <c r="D23" s="38">
        <f>(LN(2)/LN(B23/B22))</f>
        <v>11.037655382330742</v>
      </c>
    </row>
    <row r="24" spans="1:4">
      <c r="A24" s="8">
        <v>43932</v>
      </c>
      <c r="B24" s="56">
        <v>3908</v>
      </c>
      <c r="C24" s="26">
        <f>(B24-B23)/B23</f>
        <v>5.2518179369781849E-2</v>
      </c>
      <c r="D24" s="38">
        <f>(LN(2)/LN(B24/B23))</f>
        <v>13.541850363596499</v>
      </c>
    </row>
    <row r="25" spans="1:4">
      <c r="A25" s="8">
        <v>43933</v>
      </c>
      <c r="B25" s="56">
        <v>4144</v>
      </c>
      <c r="C25" s="26">
        <f>(B25-B24)/B24</f>
        <v>6.0388945752302969E-2</v>
      </c>
      <c r="D25" s="38">
        <f>(LN(2)/LN(B25/B24))</f>
        <v>11.821234229192092</v>
      </c>
    </row>
    <row r="26" spans="1:4">
      <c r="A26" s="8">
        <v>43934</v>
      </c>
      <c r="B26" s="56">
        <v>4357</v>
      </c>
      <c r="C26" s="26">
        <f t="shared" ref="C26:C27" si="4">(B26-B25)/B25</f>
        <v>5.1399613899613901E-2</v>
      </c>
      <c r="D26" s="38">
        <f t="shared" ref="D26:D27" si="5">(LN(2)/LN(B26/B25))</f>
        <v>13.829133543081639</v>
      </c>
    </row>
    <row r="27" spans="1:4">
      <c r="A27" s="8">
        <v>43935</v>
      </c>
      <c r="B27" s="56">
        <v>4546</v>
      </c>
      <c r="C27" s="26">
        <f t="shared" si="4"/>
        <v>4.3378471425292629E-2</v>
      </c>
      <c r="D27" s="38">
        <f t="shared" si="5"/>
        <v>16.323180455299035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74"/>
  <sheetViews>
    <sheetView topLeftCell="A67" zoomScale="230" zoomScaleNormal="230" workbookViewId="0">
      <selection activeCell="B74" sqref="A1:B74"/>
    </sheetView>
  </sheetViews>
  <sheetFormatPr baseColWidth="10" defaultRowHeight="16"/>
  <cols>
    <col min="1" max="1" width="20.5" style="92" customWidth="1"/>
    <col min="2" max="2" width="10.83203125" style="33"/>
  </cols>
  <sheetData>
    <row r="1" spans="1:4">
      <c r="A1" s="91" t="s">
        <v>40</v>
      </c>
      <c r="B1" s="86" t="s">
        <v>44</v>
      </c>
      <c r="C1" s="28"/>
      <c r="D1" s="39"/>
    </row>
    <row r="2" spans="1:4" ht="17">
      <c r="A2" s="91" t="s">
        <v>41</v>
      </c>
      <c r="B2" s="84">
        <v>470914</v>
      </c>
      <c r="C2" s="28"/>
      <c r="D2" s="39"/>
    </row>
    <row r="3" spans="1:4">
      <c r="A3" s="91" t="s">
        <v>43</v>
      </c>
      <c r="B3" s="87" t="s">
        <v>35</v>
      </c>
      <c r="C3" s="28"/>
      <c r="D3" s="39"/>
    </row>
    <row r="4" spans="1:4" ht="52" thickBot="1">
      <c r="A4" s="93" t="s">
        <v>0</v>
      </c>
      <c r="B4" s="63" t="s">
        <v>1</v>
      </c>
      <c r="C4" s="65" t="s">
        <v>31</v>
      </c>
      <c r="D4" s="65" t="s">
        <v>39</v>
      </c>
    </row>
    <row r="5" spans="1:4">
      <c r="A5" s="91">
        <v>43913</v>
      </c>
      <c r="B5" s="86">
        <v>152</v>
      </c>
      <c r="C5" s="26" t="e">
        <f>(Table2[[#This Row],[cases]]-B4)/B4</f>
        <v>#VALUE!</v>
      </c>
      <c r="D5" s="38" t="e">
        <f t="shared" ref="D5:D36" si="0">(LN(2)/LN(B5/B4))</f>
        <v>#VALUE!</v>
      </c>
    </row>
    <row r="6" spans="1:4">
      <c r="A6" s="91">
        <v>43914</v>
      </c>
      <c r="B6" s="86">
        <v>196</v>
      </c>
      <c r="C6" s="26">
        <f t="shared" ref="C6:C37" si="1">(B6-B5)/B5</f>
        <v>0.28947368421052633</v>
      </c>
      <c r="D6" s="38">
        <f t="shared" si="0"/>
        <v>2.7264126877891832</v>
      </c>
    </row>
    <row r="7" spans="1:4">
      <c r="A7" s="91">
        <v>43915</v>
      </c>
      <c r="B7" s="86">
        <v>256</v>
      </c>
      <c r="C7" s="26">
        <f t="shared" si="1"/>
        <v>0.30612244897959184</v>
      </c>
      <c r="D7" s="38">
        <f t="shared" si="0"/>
        <v>2.5954465348422167</v>
      </c>
    </row>
    <row r="8" spans="1:4">
      <c r="A8" s="91">
        <v>43916</v>
      </c>
      <c r="B8" s="86">
        <v>345</v>
      </c>
      <c r="C8" s="26">
        <f t="shared" si="1"/>
        <v>0.34765625</v>
      </c>
      <c r="D8" s="38">
        <f t="shared" si="0"/>
        <v>2.3231364203342348</v>
      </c>
    </row>
    <row r="9" spans="1:4">
      <c r="A9" s="91">
        <v>43917</v>
      </c>
      <c r="B9" s="86">
        <v>464</v>
      </c>
      <c r="C9" s="26">
        <f t="shared" si="1"/>
        <v>0.34492753623188405</v>
      </c>
      <c r="D9" s="38">
        <f t="shared" si="0"/>
        <v>2.3390256608477276</v>
      </c>
    </row>
    <row r="10" spans="1:4">
      <c r="A10" s="91">
        <v>43918</v>
      </c>
      <c r="B10" s="86">
        <v>603</v>
      </c>
      <c r="C10" s="26">
        <f t="shared" si="1"/>
        <v>0.29956896551724138</v>
      </c>
      <c r="D10" s="38">
        <f t="shared" si="0"/>
        <v>2.6452703321760542</v>
      </c>
    </row>
    <row r="11" spans="1:4">
      <c r="A11" s="91">
        <v>43919</v>
      </c>
      <c r="B11" s="86">
        <v>812</v>
      </c>
      <c r="C11" s="26">
        <f t="shared" si="1"/>
        <v>0.34660033167495852</v>
      </c>
      <c r="D11" s="38">
        <f t="shared" si="0"/>
        <v>2.329255523549266</v>
      </c>
    </row>
    <row r="12" spans="1:4">
      <c r="A12" s="91">
        <v>43920</v>
      </c>
      <c r="B12" s="86">
        <v>931</v>
      </c>
      <c r="C12" s="26">
        <f t="shared" si="1"/>
        <v>0.14655172413793102</v>
      </c>
      <c r="D12" s="38">
        <f t="shared" si="0"/>
        <v>5.0683867188519347</v>
      </c>
    </row>
    <row r="13" spans="1:4">
      <c r="A13" s="91">
        <v>43921</v>
      </c>
      <c r="B13" s="88">
        <v>1179</v>
      </c>
      <c r="C13" s="26">
        <f t="shared" si="1"/>
        <v>0.26638023630504831</v>
      </c>
      <c r="D13" s="38">
        <f t="shared" si="0"/>
        <v>2.9350418410450274</v>
      </c>
    </row>
    <row r="14" spans="1:4">
      <c r="A14" s="91">
        <v>43922</v>
      </c>
      <c r="B14" s="88">
        <v>1371</v>
      </c>
      <c r="C14" s="26">
        <f t="shared" si="1"/>
        <v>0.16284987277353691</v>
      </c>
      <c r="D14" s="38">
        <f t="shared" si="0"/>
        <v>4.594218989141579</v>
      </c>
    </row>
    <row r="15" spans="1:4">
      <c r="A15" s="91">
        <v>43923</v>
      </c>
      <c r="B15" s="88">
        <v>1677</v>
      </c>
      <c r="C15" s="26">
        <f t="shared" si="1"/>
        <v>0.22319474835886213</v>
      </c>
      <c r="D15" s="38">
        <f t="shared" si="0"/>
        <v>3.4405155090192001</v>
      </c>
    </row>
    <row r="16" spans="1:4">
      <c r="A16" s="91">
        <v>43924</v>
      </c>
      <c r="B16" s="88">
        <v>1959</v>
      </c>
      <c r="C16" s="26">
        <f t="shared" si="1"/>
        <v>0.16815742397137745</v>
      </c>
      <c r="D16" s="38">
        <f t="shared" si="0"/>
        <v>4.4596129019590443</v>
      </c>
    </row>
    <row r="17" spans="1:4">
      <c r="A17" s="91">
        <v>43925</v>
      </c>
      <c r="B17" s="88">
        <v>2291</v>
      </c>
      <c r="C17" s="26">
        <f t="shared" si="1"/>
        <v>0.16947422154160285</v>
      </c>
      <c r="D17" s="38">
        <f t="shared" si="0"/>
        <v>4.4275202769727011</v>
      </c>
    </row>
    <row r="18" spans="1:4">
      <c r="A18" s="91">
        <v>43926</v>
      </c>
      <c r="B18" s="88">
        <v>2461</v>
      </c>
      <c r="C18" s="26">
        <f t="shared" si="1"/>
        <v>7.4203404626800529E-2</v>
      </c>
      <c r="D18" s="38">
        <f t="shared" si="0"/>
        <v>9.6836169490150699</v>
      </c>
    </row>
    <row r="19" spans="1:4">
      <c r="A19" s="91">
        <v>43927</v>
      </c>
      <c r="B19" s="88">
        <v>2802</v>
      </c>
      <c r="C19" s="26">
        <f t="shared" si="1"/>
        <v>0.13856156034132466</v>
      </c>
      <c r="D19" s="38">
        <f t="shared" si="0"/>
        <v>5.3415294338518668</v>
      </c>
    </row>
    <row r="20" spans="1:4">
      <c r="A20" s="91">
        <v>43928</v>
      </c>
      <c r="B20" s="88">
        <v>3100</v>
      </c>
      <c r="C20" s="26">
        <f t="shared" si="1"/>
        <v>0.10635260528194147</v>
      </c>
      <c r="D20" s="38">
        <f t="shared" si="0"/>
        <v>6.8581809240681908</v>
      </c>
    </row>
    <row r="21" spans="1:4">
      <c r="A21" s="91">
        <v>43929</v>
      </c>
      <c r="B21" s="88">
        <v>3317</v>
      </c>
      <c r="C21" s="26">
        <f t="shared" si="1"/>
        <v>7.0000000000000007E-2</v>
      </c>
      <c r="D21" s="38">
        <f t="shared" si="0"/>
        <v>10.244768351058712</v>
      </c>
    </row>
    <row r="22" spans="1:4">
      <c r="A22" s="91">
        <v>43930</v>
      </c>
      <c r="B22" s="88">
        <v>3587</v>
      </c>
      <c r="C22" s="26">
        <f t="shared" si="1"/>
        <v>8.1398854386493816E-2</v>
      </c>
      <c r="D22" s="38">
        <f t="shared" si="0"/>
        <v>8.857495313952132</v>
      </c>
    </row>
    <row r="23" spans="1:4">
      <c r="A23" s="91">
        <v>43931</v>
      </c>
      <c r="B23" s="88">
        <v>3816</v>
      </c>
      <c r="C23" s="26">
        <f t="shared" si="1"/>
        <v>6.3841650404237518E-2</v>
      </c>
      <c r="D23" s="38">
        <f t="shared" si="0"/>
        <v>11.20028704389693</v>
      </c>
    </row>
    <row r="24" spans="1:4">
      <c r="A24" s="91">
        <v>43932</v>
      </c>
      <c r="B24" s="88">
        <v>4091</v>
      </c>
      <c r="C24" s="26">
        <f t="shared" si="1"/>
        <v>7.20649895178197E-2</v>
      </c>
      <c r="D24" s="38">
        <f t="shared" si="0"/>
        <v>9.96091676104197</v>
      </c>
    </row>
    <row r="25" spans="1:4">
      <c r="A25" s="91">
        <v>43933</v>
      </c>
      <c r="B25" s="88">
        <v>4273</v>
      </c>
      <c r="C25" s="26">
        <f t="shared" si="1"/>
        <v>4.4487900268882913E-2</v>
      </c>
      <c r="D25" s="38">
        <f t="shared" si="0"/>
        <v>15.924637026490627</v>
      </c>
    </row>
    <row r="26" spans="1:4">
      <c r="A26" s="91">
        <v>43934</v>
      </c>
      <c r="B26" s="88">
        <v>4487</v>
      </c>
      <c r="C26" s="26">
        <f t="shared" si="1"/>
        <v>5.0081909665340513E-2</v>
      </c>
      <c r="D26" s="38">
        <f t="shared" si="0"/>
        <v>14.184021538998522</v>
      </c>
    </row>
    <row r="27" spans="1:4">
      <c r="A27" s="91">
        <v>43935</v>
      </c>
      <c r="B27" s="88">
        <v>4648</v>
      </c>
      <c r="C27" s="26">
        <f t="shared" si="1"/>
        <v>3.5881435257410298E-2</v>
      </c>
      <c r="D27" s="38">
        <f t="shared" si="0"/>
        <v>19.662247910950395</v>
      </c>
    </row>
    <row r="28" spans="1:4">
      <c r="A28" s="91">
        <v>43936</v>
      </c>
      <c r="B28" s="88">
        <v>4857</v>
      </c>
      <c r="C28" s="26">
        <f t="shared" si="1"/>
        <v>4.4965576592082619E-2</v>
      </c>
      <c r="D28" s="38">
        <f t="shared" si="0"/>
        <v>15.759095716636351</v>
      </c>
    </row>
    <row r="29" spans="1:4">
      <c r="A29" s="91">
        <v>43937</v>
      </c>
      <c r="B29" s="88">
        <v>5018</v>
      </c>
      <c r="C29" s="26">
        <f t="shared" si="1"/>
        <v>3.3148033765698991E-2</v>
      </c>
      <c r="D29" s="38">
        <f t="shared" si="0"/>
        <v>21.255347458768309</v>
      </c>
    </row>
    <row r="30" spans="1:4">
      <c r="A30" s="91">
        <v>43938</v>
      </c>
      <c r="B30" s="88">
        <v>5325</v>
      </c>
      <c r="C30" s="26">
        <f t="shared" si="1"/>
        <v>6.1179752889597448E-2</v>
      </c>
      <c r="D30" s="38">
        <f t="shared" si="0"/>
        <v>11.672826375517154</v>
      </c>
    </row>
    <row r="31" spans="1:4">
      <c r="A31" s="91">
        <v>43939</v>
      </c>
      <c r="B31" s="88">
        <v>5473</v>
      </c>
      <c r="C31" s="26">
        <f t="shared" si="1"/>
        <v>2.7793427230046949E-2</v>
      </c>
      <c r="D31" s="38">
        <f t="shared" si="0"/>
        <v>25.284238323265988</v>
      </c>
    </row>
    <row r="32" spans="1:4">
      <c r="A32" s="91">
        <v>43940</v>
      </c>
      <c r="B32" s="88">
        <v>5645</v>
      </c>
      <c r="C32" s="26">
        <f t="shared" si="1"/>
        <v>3.1427005298739263E-2</v>
      </c>
      <c r="D32" s="38">
        <f t="shared" si="0"/>
        <v>22.400568352945822</v>
      </c>
    </row>
    <row r="33" spans="1:4">
      <c r="A33" s="91">
        <v>43941</v>
      </c>
      <c r="B33" s="88">
        <v>5852</v>
      </c>
      <c r="C33" s="26">
        <f t="shared" si="1"/>
        <v>3.6669619131975202E-2</v>
      </c>
      <c r="D33" s="38">
        <f t="shared" si="0"/>
        <v>19.246985379249875</v>
      </c>
    </row>
    <row r="34" spans="1:4">
      <c r="A34" s="91">
        <v>43942</v>
      </c>
      <c r="B34" s="88">
        <v>6064</v>
      </c>
      <c r="C34" s="26">
        <f t="shared" si="1"/>
        <v>3.6226930963773066E-2</v>
      </c>
      <c r="D34" s="38">
        <f t="shared" si="0"/>
        <v>19.477995929350573</v>
      </c>
    </row>
    <row r="35" spans="1:4">
      <c r="A35" s="91">
        <v>43943</v>
      </c>
      <c r="B35" s="88">
        <v>6227</v>
      </c>
      <c r="C35" s="26">
        <f t="shared" si="1"/>
        <v>2.6879947229551452E-2</v>
      </c>
      <c r="D35" s="38">
        <f t="shared" si="0"/>
        <v>26.131817554080403</v>
      </c>
    </row>
    <row r="36" spans="1:4">
      <c r="A36" s="91">
        <v>43944</v>
      </c>
      <c r="B36" s="88">
        <v>6413</v>
      </c>
      <c r="C36" s="26">
        <f t="shared" si="1"/>
        <v>2.9869921310422355E-2</v>
      </c>
      <c r="D36" s="38">
        <f t="shared" si="0"/>
        <v>23.55039768449053</v>
      </c>
    </row>
    <row r="37" spans="1:4">
      <c r="A37" s="91">
        <v>43945</v>
      </c>
      <c r="B37" s="88">
        <v>6658</v>
      </c>
      <c r="C37" s="26">
        <f t="shared" si="1"/>
        <v>3.8203648838297209E-2</v>
      </c>
      <c r="D37" s="38">
        <f t="shared" ref="D37:D60" si="2">(LN(2)/LN(B37/B36))</f>
        <v>18.487889118218384</v>
      </c>
    </row>
    <row r="38" spans="1:4">
      <c r="A38" s="91">
        <v>43946</v>
      </c>
      <c r="B38" s="88">
        <v>6710</v>
      </c>
      <c r="C38" s="26">
        <f t="shared" ref="C38:C60" si="3">(B38-B37)/B37</f>
        <v>7.8101531991589066E-3</v>
      </c>
      <c r="D38" s="38">
        <f t="shared" si="2"/>
        <v>89.095622829796753</v>
      </c>
    </row>
    <row r="39" spans="1:4">
      <c r="A39" s="91">
        <v>43947</v>
      </c>
      <c r="B39" s="88">
        <v>7001</v>
      </c>
      <c r="C39" s="26">
        <f t="shared" si="3"/>
        <v>4.3368107302533529E-2</v>
      </c>
      <c r="D39" s="38">
        <f t="shared" si="2"/>
        <v>16.326999709277924</v>
      </c>
    </row>
    <row r="40" spans="1:4">
      <c r="A40" s="91">
        <v>43948</v>
      </c>
      <c r="B40" s="88">
        <v>7159</v>
      </c>
      <c r="C40" s="26">
        <f t="shared" si="3"/>
        <v>2.2568204542208255E-2</v>
      </c>
      <c r="D40" s="38">
        <f t="shared" si="2"/>
        <v>31.058723813341835</v>
      </c>
    </row>
    <row r="41" spans="1:4">
      <c r="A41" s="91">
        <v>43949</v>
      </c>
      <c r="B41" s="88">
        <v>7364</v>
      </c>
      <c r="C41" s="26">
        <f t="shared" si="3"/>
        <v>2.8635284257577873E-2</v>
      </c>
      <c r="D41" s="38">
        <f t="shared" si="2"/>
        <v>24.550994839858753</v>
      </c>
    </row>
    <row r="42" spans="1:4">
      <c r="A42" s="91">
        <v>43950</v>
      </c>
      <c r="B42" s="88">
        <v>7418</v>
      </c>
      <c r="C42" s="26">
        <f t="shared" si="3"/>
        <v>7.3329712112982079E-3</v>
      </c>
      <c r="D42" s="38">
        <f t="shared" si="2"/>
        <v>94.870889301226129</v>
      </c>
    </row>
    <row r="43" spans="1:4">
      <c r="A43" s="91">
        <v>43951</v>
      </c>
      <c r="B43" s="88">
        <v>7490</v>
      </c>
      <c r="C43" s="26">
        <f t="shared" si="3"/>
        <v>9.7061202480452947E-3</v>
      </c>
      <c r="D43" s="38">
        <f t="shared" si="2"/>
        <v>71.759429333057724</v>
      </c>
    </row>
    <row r="44" spans="1:4">
      <c r="A44" s="91">
        <v>43952</v>
      </c>
      <c r="B44" s="88">
        <v>7685</v>
      </c>
      <c r="C44" s="26">
        <f t="shared" si="3"/>
        <v>2.6034712950600801E-2</v>
      </c>
      <c r="D44" s="38">
        <f t="shared" si="2"/>
        <v>26.969049960532978</v>
      </c>
    </row>
    <row r="45" spans="1:4">
      <c r="A45" s="91">
        <v>43953</v>
      </c>
      <c r="B45" s="88">
        <v>7836</v>
      </c>
      <c r="C45" s="26">
        <f t="shared" si="3"/>
        <v>1.9648666232921275E-2</v>
      </c>
      <c r="D45" s="38">
        <f t="shared" si="2"/>
        <v>35.622509801798749</v>
      </c>
    </row>
    <row r="46" spans="1:4">
      <c r="A46" s="91">
        <v>43954</v>
      </c>
      <c r="B46" s="88">
        <v>7928</v>
      </c>
      <c r="C46" s="26">
        <f t="shared" si="3"/>
        <v>1.1740684022460439E-2</v>
      </c>
      <c r="D46" s="38">
        <f t="shared" si="2"/>
        <v>59.383957056845482</v>
      </c>
    </row>
    <row r="47" spans="1:4">
      <c r="A47" s="91">
        <v>43955</v>
      </c>
      <c r="B47" s="88">
        <v>8166</v>
      </c>
      <c r="C47" s="26">
        <f t="shared" si="3"/>
        <v>3.0020181634712411E-2</v>
      </c>
      <c r="D47" s="38">
        <f t="shared" si="2"/>
        <v>23.434238408786449</v>
      </c>
    </row>
    <row r="48" spans="1:4">
      <c r="A48" s="91">
        <v>43956</v>
      </c>
      <c r="B48" s="88">
        <v>8275</v>
      </c>
      <c r="C48" s="26">
        <f t="shared" si="3"/>
        <v>1.3348028410482488E-2</v>
      </c>
      <c r="D48" s="38">
        <f t="shared" si="2"/>
        <v>52.274613886566158</v>
      </c>
    </row>
    <row r="49" spans="1:4">
      <c r="A49" s="91">
        <v>43957</v>
      </c>
      <c r="B49" s="88">
        <v>8386</v>
      </c>
      <c r="C49" s="26">
        <f t="shared" si="3"/>
        <v>1.3413897280966768E-2</v>
      </c>
      <c r="D49" s="38">
        <f t="shared" si="2"/>
        <v>52.019614008401071</v>
      </c>
    </row>
    <row r="50" spans="1:4">
      <c r="A50" s="91">
        <v>43958</v>
      </c>
      <c r="B50" s="88">
        <v>8532</v>
      </c>
      <c r="C50" s="26">
        <f t="shared" si="3"/>
        <v>1.7409968995945622E-2</v>
      </c>
      <c r="D50" s="38">
        <f t="shared" si="2"/>
        <v>40.158811241103884</v>
      </c>
    </row>
    <row r="51" spans="1:4">
      <c r="A51" s="91">
        <v>43959</v>
      </c>
      <c r="B51" s="88">
        <v>8594</v>
      </c>
      <c r="C51" s="26">
        <f t="shared" si="3"/>
        <v>7.266760431317393E-3</v>
      </c>
      <c r="D51" s="38">
        <f t="shared" si="2"/>
        <v>95.732151243481965</v>
      </c>
    </row>
    <row r="52" spans="1:4">
      <c r="A52" s="91">
        <v>43960</v>
      </c>
      <c r="B52" s="88">
        <v>8715</v>
      </c>
      <c r="C52" s="26">
        <f t="shared" si="3"/>
        <v>1.407959041191529E-2</v>
      </c>
      <c r="D52" s="38">
        <f t="shared" si="2"/>
        <v>49.576401282989799</v>
      </c>
    </row>
    <row r="53" spans="1:4">
      <c r="A53" s="91">
        <v>43961</v>
      </c>
      <c r="B53" s="88">
        <v>8823</v>
      </c>
      <c r="C53" s="26">
        <f t="shared" si="3"/>
        <v>1.2392426850258176E-2</v>
      </c>
      <c r="D53" s="38">
        <f t="shared" si="2"/>
        <v>56.278988829986361</v>
      </c>
    </row>
    <row r="54" spans="1:4">
      <c r="A54" s="91">
        <v>43962</v>
      </c>
      <c r="B54" s="88">
        <v>8873</v>
      </c>
      <c r="C54" s="26">
        <f t="shared" si="3"/>
        <v>5.6670066870678909E-3</v>
      </c>
      <c r="D54" s="38">
        <f t="shared" si="2"/>
        <v>122.65899865694688</v>
      </c>
    </row>
    <row r="55" spans="1:4">
      <c r="A55" s="91">
        <v>43963</v>
      </c>
      <c r="B55" s="88">
        <v>9015</v>
      </c>
      <c r="C55" s="26">
        <f t="shared" si="3"/>
        <v>1.6003606446523159E-2</v>
      </c>
      <c r="D55" s="38">
        <f t="shared" si="2"/>
        <v>43.657592657146672</v>
      </c>
    </row>
    <row r="56" spans="1:4">
      <c r="A56" s="91">
        <v>43964</v>
      </c>
      <c r="B56" s="88">
        <v>9071</v>
      </c>
      <c r="C56" s="26">
        <f t="shared" si="3"/>
        <v>6.2118691070438157E-3</v>
      </c>
      <c r="D56" s="38">
        <f t="shared" si="2"/>
        <v>111.93053433065666</v>
      </c>
    </row>
    <row r="57" spans="1:4">
      <c r="A57" s="91">
        <v>43965</v>
      </c>
      <c r="B57" s="88">
        <v>9151</v>
      </c>
      <c r="C57" s="26">
        <f t="shared" si="3"/>
        <v>8.8193142983133063E-3</v>
      </c>
      <c r="D57" s="38">
        <f t="shared" si="2"/>
        <v>78.94029233636499</v>
      </c>
    </row>
    <row r="58" spans="1:4">
      <c r="A58" s="91">
        <v>43966</v>
      </c>
      <c r="B58" s="88">
        <v>9277</v>
      </c>
      <c r="C58" s="26">
        <f t="shared" si="3"/>
        <v>1.3768986995956725E-2</v>
      </c>
      <c r="D58" s="38">
        <f t="shared" si="2"/>
        <v>50.686972970738736</v>
      </c>
    </row>
    <row r="59" spans="1:4">
      <c r="A59" s="91">
        <v>43967</v>
      </c>
      <c r="B59" s="88">
        <v>9444</v>
      </c>
      <c r="C59" s="26">
        <f t="shared" si="3"/>
        <v>1.8001509108548024E-2</v>
      </c>
      <c r="D59" s="38">
        <f t="shared" si="2"/>
        <v>38.850491503432927</v>
      </c>
    </row>
    <row r="60" spans="1:4">
      <c r="A60" s="91">
        <v>43968</v>
      </c>
      <c r="B60" s="88">
        <v>9589</v>
      </c>
      <c r="C60" s="26">
        <f t="shared" si="3"/>
        <v>1.5353663701821263E-2</v>
      </c>
      <c r="D60" s="38">
        <f t="shared" si="2"/>
        <v>45.491086389368192</v>
      </c>
    </row>
    <row r="61" spans="1:4">
      <c r="A61" s="91">
        <v>43969</v>
      </c>
      <c r="B61" s="88">
        <v>9708</v>
      </c>
      <c r="C61" s="26">
        <f t="shared" ref="C61:C62" si="4">(B61-B60)/B60</f>
        <v>1.2410053185942226E-2</v>
      </c>
      <c r="D61" s="38">
        <f t="shared" ref="D61:D62" si="5">(LN(2)/LN(B61/B60))</f>
        <v>56.199544485007138</v>
      </c>
    </row>
    <row r="62" spans="1:4">
      <c r="A62" s="91">
        <v>43970</v>
      </c>
      <c r="B62" s="88">
        <v>9752</v>
      </c>
      <c r="C62" s="26">
        <f t="shared" si="4"/>
        <v>4.5323444581788219E-3</v>
      </c>
      <c r="D62" s="38">
        <f t="shared" si="5"/>
        <v>153.27978576692436</v>
      </c>
    </row>
    <row r="63" spans="1:4">
      <c r="A63" s="91">
        <v>43971</v>
      </c>
      <c r="B63" s="88">
        <v>9801</v>
      </c>
      <c r="C63" s="26">
        <f t="shared" ref="C63:C66" si="6">(B63-B62)/B62</f>
        <v>5.0246103363412635E-3</v>
      </c>
      <c r="D63" s="38">
        <f t="shared" ref="D63:D66" si="7">(LN(2)/LN(B63/B62))</f>
        <v>138.29671887650707</v>
      </c>
    </row>
    <row r="64" spans="1:4">
      <c r="A64" s="91">
        <v>43972</v>
      </c>
      <c r="B64" s="88">
        <v>9979</v>
      </c>
      <c r="C64" s="26">
        <f t="shared" si="6"/>
        <v>1.8161412100806039E-2</v>
      </c>
      <c r="D64" s="38">
        <f t="shared" si="7"/>
        <v>38.511463832788742</v>
      </c>
    </row>
    <row r="65" spans="1:4">
      <c r="A65" s="91">
        <v>43973</v>
      </c>
      <c r="B65" s="88">
        <v>10066</v>
      </c>
      <c r="C65" s="26">
        <f t="shared" si="6"/>
        <v>8.7183084477402539E-3</v>
      </c>
      <c r="D65" s="38">
        <f t="shared" si="7"/>
        <v>79.850850515336333</v>
      </c>
    </row>
    <row r="66" spans="1:4">
      <c r="A66" s="91">
        <v>43974</v>
      </c>
      <c r="B66" s="88">
        <v>10154</v>
      </c>
      <c r="C66" s="26">
        <f t="shared" si="6"/>
        <v>8.7423008146234847E-3</v>
      </c>
      <c r="D66" s="38">
        <f t="shared" si="7"/>
        <v>79.632656259409558</v>
      </c>
    </row>
    <row r="67" spans="1:4">
      <c r="A67" s="91">
        <v>43976</v>
      </c>
      <c r="B67" s="88">
        <v>10355</v>
      </c>
      <c r="C67" s="26">
        <f t="shared" ref="C67" si="8">(B67-B66)/B66</f>
        <v>1.9795154618869409E-2</v>
      </c>
      <c r="D67" s="38">
        <f t="shared" ref="D67" si="9">(LN(2)/LN(B67/B66))</f>
        <v>35.361443699717519</v>
      </c>
    </row>
    <row r="68" spans="1:4">
      <c r="A68" s="91">
        <v>43977</v>
      </c>
      <c r="B68" s="88">
        <v>10424</v>
      </c>
      <c r="C68" s="26">
        <f t="shared" ref="C68" si="10">(B68-B67)/B67</f>
        <v>6.6634476098503138E-3</v>
      </c>
      <c r="D68" s="38">
        <f t="shared" ref="D68" si="11">(LN(2)/LN(B68/B67))</f>
        <v>104.36849511198632</v>
      </c>
    </row>
    <row r="69" spans="1:4">
      <c r="A69" s="91">
        <v>43978</v>
      </c>
      <c r="B69" s="88">
        <v>10473</v>
      </c>
      <c r="C69" s="26">
        <f t="shared" ref="C69" si="12">(B69-B68)/B68</f>
        <v>4.7006907137375287E-3</v>
      </c>
      <c r="D69" s="38">
        <f t="shared" ref="D69" si="13">(LN(2)/LN(B69/B68))</f>
        <v>147.80275597252478</v>
      </c>
    </row>
    <row r="70" spans="1:4">
      <c r="A70" s="91">
        <v>43979</v>
      </c>
      <c r="B70" s="88">
        <v>10584</v>
      </c>
      <c r="C70" s="26">
        <f t="shared" ref="C70:C71" si="14">(B70-B69)/B69</f>
        <v>1.0598682325981094E-2</v>
      </c>
      <c r="D70" s="38">
        <f t="shared" ref="D70:D71" si="15">(LN(2)/LN(B70/B69))</f>
        <v>65.745337780254687</v>
      </c>
    </row>
    <row r="71" spans="1:4">
      <c r="A71" s="91">
        <v>43980</v>
      </c>
      <c r="B71" s="88">
        <v>10709</v>
      </c>
      <c r="C71" s="26">
        <f t="shared" si="14"/>
        <v>1.1810279667422525E-2</v>
      </c>
      <c r="D71" s="38">
        <f t="shared" si="15"/>
        <v>59.036053472684877</v>
      </c>
    </row>
    <row r="72" spans="1:4">
      <c r="A72" s="91">
        <v>43981</v>
      </c>
      <c r="B72" s="88">
        <v>10812</v>
      </c>
      <c r="C72" s="26">
        <f t="shared" ref="C72:C73" si="16">(B72-B71)/B71</f>
        <v>9.6180782519376222E-3</v>
      </c>
      <c r="D72" s="38">
        <f t="shared" ref="D72:D73" si="17">(LN(2)/LN(B72/B71))</f>
        <v>72.413138709251555</v>
      </c>
    </row>
    <row r="73" spans="1:4">
      <c r="A73" s="91">
        <v>43982</v>
      </c>
      <c r="B73" s="88">
        <v>10935</v>
      </c>
      <c r="C73" s="26">
        <f t="shared" si="16"/>
        <v>1.1376248612652608E-2</v>
      </c>
      <c r="D73" s="38">
        <f t="shared" si="17"/>
        <v>61.275247957545041</v>
      </c>
    </row>
    <row r="74" spans="1:4">
      <c r="A74" s="91">
        <v>43983</v>
      </c>
      <c r="B74" s="88">
        <v>11030</v>
      </c>
      <c r="C74" s="26">
        <f t="shared" ref="C74" si="18">(B74-B73)/B73</f>
        <v>8.6877000457247378E-3</v>
      </c>
      <c r="D74" s="38">
        <f t="shared" ref="D74" si="19">(LN(2)/LN(B74/B73))</f>
        <v>80.130962562467488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/>
  <cols>
    <col min="4" max="4" width="12.1640625" customWidth="1"/>
  </cols>
  <sheetData>
    <row r="1" spans="1:4">
      <c r="A1" s="9" t="s">
        <v>40</v>
      </c>
      <c r="B1" s="9" t="s">
        <v>45</v>
      </c>
      <c r="C1" s="28"/>
      <c r="D1" s="39"/>
    </row>
    <row r="2" spans="1:4" ht="17">
      <c r="A2" s="9" t="s">
        <v>41</v>
      </c>
      <c r="B2" s="58">
        <v>82826</v>
      </c>
      <c r="C2" s="28"/>
      <c r="D2" s="39"/>
    </row>
    <row r="3" spans="1:4">
      <c r="A3" s="9" t="s">
        <v>43</v>
      </c>
      <c r="B3" s="12" t="s">
        <v>34</v>
      </c>
      <c r="C3" s="28"/>
      <c r="D3" s="39"/>
    </row>
    <row r="4" spans="1:4" ht="35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4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4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</row>
    <row r="9" spans="1:4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</row>
    <row r="10" spans="1:4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</row>
    <row r="11" spans="1:4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</row>
    <row r="12" spans="1:4">
      <c r="A12" s="8">
        <v>43920</v>
      </c>
      <c r="B12" s="9">
        <v>11</v>
      </c>
      <c r="C12" s="26">
        <f t="shared" si="1"/>
        <v>0</v>
      </c>
      <c r="D12" s="38" t="e">
        <f t="shared" si="0"/>
        <v>#DIV/0!</v>
      </c>
    </row>
    <row r="13" spans="1:4">
      <c r="A13" s="8">
        <v>43921</v>
      </c>
      <c r="B13" s="9">
        <v>12</v>
      </c>
      <c r="C13" s="26">
        <f t="shared" si="1"/>
        <v>9.0909090909090912E-2</v>
      </c>
      <c r="D13" s="38">
        <f t="shared" si="0"/>
        <v>7.9661672362978102</v>
      </c>
    </row>
    <row r="14" spans="1:4">
      <c r="A14" s="8">
        <v>43922</v>
      </c>
      <c r="B14" s="64">
        <v>14</v>
      </c>
      <c r="C14" s="26">
        <f t="shared" si="1"/>
        <v>0.16666666666666666</v>
      </c>
      <c r="D14" s="38">
        <f t="shared" si="0"/>
        <v>4.4965561056019201</v>
      </c>
    </row>
    <row r="15" spans="1:4">
      <c r="A15" s="8">
        <v>43923</v>
      </c>
      <c r="B15" s="9">
        <v>18</v>
      </c>
      <c r="C15" s="26">
        <f t="shared" si="1"/>
        <v>0.2857142857142857</v>
      </c>
      <c r="D15" s="38">
        <f t="shared" si="0"/>
        <v>2.7580874894503928</v>
      </c>
    </row>
    <row r="16" spans="1:4">
      <c r="A16" s="8">
        <v>43924</v>
      </c>
      <c r="B16" s="9">
        <v>19</v>
      </c>
      <c r="C16" s="26">
        <f t="shared" si="1"/>
        <v>5.5555555555555552E-2</v>
      </c>
      <c r="D16" s="38">
        <f t="shared" si="0"/>
        <v>12.820099947341156</v>
      </c>
    </row>
    <row r="17" spans="1:4">
      <c r="A17" s="8">
        <v>43925</v>
      </c>
      <c r="B17" s="9">
        <v>24</v>
      </c>
      <c r="C17" s="26">
        <f t="shared" si="1"/>
        <v>0.26315789473684209</v>
      </c>
      <c r="D17" s="38">
        <f t="shared" si="0"/>
        <v>2.9670510117587106</v>
      </c>
    </row>
    <row r="18" spans="1:4">
      <c r="A18" s="8">
        <v>43926</v>
      </c>
      <c r="B18" s="9">
        <v>27</v>
      </c>
      <c r="C18" s="26">
        <f t="shared" si="1"/>
        <v>0.125</v>
      </c>
      <c r="D18" s="38">
        <f t="shared" si="0"/>
        <v>5.8849491923617183</v>
      </c>
    </row>
    <row r="19" spans="1:4">
      <c r="A19" s="8">
        <v>43927</v>
      </c>
      <c r="B19" s="9">
        <v>28</v>
      </c>
      <c r="C19" s="26">
        <f t="shared" si="1"/>
        <v>3.7037037037037035E-2</v>
      </c>
      <c r="D19" s="38">
        <f t="shared" si="0"/>
        <v>19.059446834201477</v>
      </c>
    </row>
    <row r="20" spans="1:4">
      <c r="A20" s="8">
        <v>43928</v>
      </c>
      <c r="B20" s="56">
        <v>30</v>
      </c>
      <c r="C20" s="26">
        <f t="shared" si="1"/>
        <v>7.1428571428571425E-2</v>
      </c>
      <c r="D20" s="38">
        <f t="shared" si="0"/>
        <v>10.04664924971328</v>
      </c>
    </row>
    <row r="21" spans="1:4">
      <c r="A21" s="8">
        <v>43929</v>
      </c>
      <c r="B21" s="56">
        <v>31</v>
      </c>
      <c r="C21" s="26">
        <f t="shared" si="1"/>
        <v>3.3333333333333333E-2</v>
      </c>
      <c r="D21" s="38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/>
  <sheetData>
    <row r="1" spans="1:8">
      <c r="A1" s="9" t="s">
        <v>40</v>
      </c>
      <c r="B1" s="9" t="s">
        <v>45</v>
      </c>
      <c r="C1" s="28"/>
      <c r="D1" s="39"/>
    </row>
    <row r="2" spans="1:8" ht="17">
      <c r="A2" s="9" t="s">
        <v>41</v>
      </c>
      <c r="B2" s="58">
        <v>82826</v>
      </c>
      <c r="C2" s="28"/>
      <c r="D2" s="39"/>
    </row>
    <row r="3" spans="1:8">
      <c r="A3" s="9" t="s">
        <v>43</v>
      </c>
      <c r="B3" s="12" t="s">
        <v>35</v>
      </c>
      <c r="C3" s="28"/>
      <c r="D3" s="39"/>
    </row>
    <row r="4" spans="1:8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8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8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8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8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  <c r="E8" s="56"/>
      <c r="F8" s="60"/>
      <c r="G8" s="8"/>
      <c r="H8" s="56"/>
    </row>
    <row r="9" spans="1:8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  <c r="E9" s="56"/>
      <c r="F9" s="60"/>
      <c r="G9" s="8"/>
      <c r="H9" s="56"/>
    </row>
    <row r="10" spans="1:8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  <c r="E10" s="56"/>
      <c r="F10" s="60"/>
      <c r="G10" s="8"/>
      <c r="H10" s="56"/>
    </row>
    <row r="11" spans="1:8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  <c r="E11" s="56"/>
      <c r="F11" s="60"/>
      <c r="G11" s="8"/>
      <c r="H11" s="56"/>
    </row>
    <row r="12" spans="1:8">
      <c r="A12" s="8">
        <v>43920</v>
      </c>
      <c r="B12" s="9">
        <v>12</v>
      </c>
      <c r="C12" s="26">
        <f t="shared" si="1"/>
        <v>9.0909090909090912E-2</v>
      </c>
      <c r="D12" s="38">
        <f t="shared" si="0"/>
        <v>7.9661672362978102</v>
      </c>
      <c r="E12" s="56"/>
      <c r="F12" s="60"/>
      <c r="G12" s="8"/>
      <c r="H12" s="56"/>
    </row>
    <row r="13" spans="1:8">
      <c r="A13" s="8">
        <v>43921</v>
      </c>
      <c r="B13" s="9">
        <v>13</v>
      </c>
      <c r="C13" s="26">
        <f t="shared" si="1"/>
        <v>8.3333333333333329E-2</v>
      </c>
      <c r="D13" s="38">
        <f t="shared" si="0"/>
        <v>8.6597168025228228</v>
      </c>
      <c r="E13" s="56"/>
      <c r="F13" s="60"/>
      <c r="G13" s="8"/>
      <c r="H13" s="56"/>
    </row>
    <row r="14" spans="1:8">
      <c r="A14" s="8">
        <v>43922</v>
      </c>
      <c r="B14" s="9">
        <v>17</v>
      </c>
      <c r="C14" s="26">
        <f t="shared" si="1"/>
        <v>0.30769230769230771</v>
      </c>
      <c r="D14" s="38">
        <f t="shared" si="0"/>
        <v>2.5838249455646198</v>
      </c>
      <c r="E14" s="56"/>
      <c r="F14" s="60"/>
      <c r="G14" s="8"/>
      <c r="H14" s="56"/>
    </row>
    <row r="15" spans="1:8">
      <c r="A15" s="8">
        <v>43923</v>
      </c>
      <c r="B15" s="9">
        <v>19</v>
      </c>
      <c r="C15" s="26">
        <f t="shared" si="1"/>
        <v>0.11764705882352941</v>
      </c>
      <c r="D15" s="38">
        <f t="shared" si="0"/>
        <v>6.2319013047040608</v>
      </c>
      <c r="E15" s="56"/>
      <c r="F15" s="60"/>
      <c r="G15" s="8"/>
      <c r="H15" s="56"/>
    </row>
    <row r="16" spans="1:8">
      <c r="A16" s="8">
        <v>43924</v>
      </c>
      <c r="B16" s="9">
        <v>23</v>
      </c>
      <c r="C16" s="26">
        <f t="shared" si="1"/>
        <v>0.21052631578947367</v>
      </c>
      <c r="D16" s="38">
        <f t="shared" si="0"/>
        <v>3.6279936227073155</v>
      </c>
      <c r="E16" s="56"/>
      <c r="F16" s="60"/>
      <c r="G16" s="8"/>
      <c r="H16" s="56"/>
    </row>
    <row r="17" spans="1:8">
      <c r="A17" s="8">
        <v>43925</v>
      </c>
      <c r="B17" s="9">
        <v>26</v>
      </c>
      <c r="C17" s="26">
        <f t="shared" si="1"/>
        <v>0.13043478260869565</v>
      </c>
      <c r="D17" s="38">
        <f t="shared" si="0"/>
        <v>5.6536219602589046</v>
      </c>
      <c r="E17" s="56"/>
      <c r="F17" s="60"/>
      <c r="G17" s="8"/>
      <c r="H17" s="56"/>
    </row>
    <row r="18" spans="1:8">
      <c r="A18" s="8">
        <v>43926</v>
      </c>
      <c r="B18" s="9">
        <v>27</v>
      </c>
      <c r="C18" s="26">
        <f t="shared" si="1"/>
        <v>3.8461538461538464E-2</v>
      </c>
      <c r="D18" s="38">
        <f t="shared" si="0"/>
        <v>18.366220369758814</v>
      </c>
      <c r="E18" s="56"/>
      <c r="F18" s="60"/>
      <c r="G18" s="8"/>
      <c r="H18" s="56"/>
    </row>
    <row r="19" spans="1:8">
      <c r="A19" s="8">
        <v>43927</v>
      </c>
      <c r="B19" s="9">
        <v>29</v>
      </c>
      <c r="C19" s="26">
        <f t="shared" si="1"/>
        <v>7.407407407407407E-2</v>
      </c>
      <c r="D19" s="38">
        <f t="shared" si="0"/>
        <v>9.6999332474668556</v>
      </c>
      <c r="E19" s="56"/>
      <c r="F19" s="60"/>
      <c r="G19" s="8"/>
      <c r="H19" s="56"/>
    </row>
    <row r="20" spans="1:8">
      <c r="A20" s="8">
        <v>43928</v>
      </c>
      <c r="B20" s="9">
        <v>31</v>
      </c>
      <c r="C20" s="26">
        <f t="shared" si="1"/>
        <v>6.8965517241379309E-2</v>
      </c>
      <c r="D20" s="38">
        <f t="shared" si="0"/>
        <v>10.393355749081858</v>
      </c>
      <c r="E20" s="56"/>
      <c r="F20" s="60"/>
      <c r="G20" s="8"/>
      <c r="H20" s="56"/>
    </row>
    <row r="21" spans="1:8">
      <c r="A21" s="8">
        <v>43929</v>
      </c>
      <c r="B21" s="9">
        <v>31</v>
      </c>
      <c r="C21" s="26">
        <f t="shared" si="1"/>
        <v>0</v>
      </c>
      <c r="D21" s="38" t="e">
        <f t="shared" si="0"/>
        <v>#DIV/0!</v>
      </c>
      <c r="E21" s="56"/>
      <c r="F21" s="60"/>
      <c r="G21" s="8"/>
      <c r="H21" s="56"/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51</v>
      </c>
      <c r="C1" s="28"/>
      <c r="D1" s="39"/>
    </row>
    <row r="2" spans="1:4" ht="17">
      <c r="A2" s="1" t="s">
        <v>41</v>
      </c>
      <c r="B2" s="57">
        <v>2761581</v>
      </c>
      <c r="C2" s="28"/>
      <c r="D2" s="39"/>
    </row>
    <row r="3" spans="1:4">
      <c r="A3" s="1" t="s">
        <v>43</v>
      </c>
      <c r="B3" s="54" t="s">
        <v>34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51</v>
      </c>
      <c r="C1" s="28"/>
      <c r="D1" s="39"/>
    </row>
    <row r="2" spans="1:4" ht="17">
      <c r="A2" s="1" t="s">
        <v>41</v>
      </c>
      <c r="B2" s="57">
        <v>2761581</v>
      </c>
      <c r="C2" s="28"/>
      <c r="D2" s="39"/>
    </row>
    <row r="3" spans="1:4">
      <c r="A3" s="1" t="s">
        <v>43</v>
      </c>
      <c r="B3" s="54" t="s">
        <v>35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7"/>
  <sheetViews>
    <sheetView workbookViewId="0">
      <selection sqref="A1:B27"/>
    </sheetView>
  </sheetViews>
  <sheetFormatPr baseColWidth="10" defaultRowHeight="16"/>
  <sheetData>
    <row r="1" spans="1:4">
      <c r="A1" s="9" t="s">
        <v>40</v>
      </c>
      <c r="B1" s="9" t="s">
        <v>47</v>
      </c>
      <c r="C1" s="28"/>
      <c r="D1" s="39"/>
    </row>
    <row r="2" spans="1:4">
      <c r="A2" s="9" t="s">
        <v>41</v>
      </c>
      <c r="B2" s="61">
        <v>21477737</v>
      </c>
      <c r="C2" s="28"/>
      <c r="D2" s="39"/>
    </row>
    <row r="3" spans="1:4">
      <c r="A3" s="9" t="s">
        <v>43</v>
      </c>
      <c r="B3" s="12" t="s">
        <v>34</v>
      </c>
      <c r="C3" s="28"/>
      <c r="D3" s="39"/>
    </row>
    <row r="4" spans="1:4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56">
        <v>1096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56">
        <v>1330</v>
      </c>
      <c r="C6" s="26">
        <f>(B6-B5)/B5</f>
        <v>0.21350364963503649</v>
      </c>
      <c r="D6" s="38">
        <f t="shared" si="0"/>
        <v>3.5819383953620183</v>
      </c>
    </row>
    <row r="7" spans="1:4">
      <c r="A7" s="8">
        <v>43915</v>
      </c>
      <c r="B7" s="56">
        <v>1583</v>
      </c>
      <c r="C7" s="26">
        <f t="shared" ref="C7:C21" si="1">(B7-B6)/B6</f>
        <v>0.19022556390977444</v>
      </c>
      <c r="D7" s="38">
        <f t="shared" si="0"/>
        <v>3.9803369801069528</v>
      </c>
    </row>
    <row r="8" spans="1:4">
      <c r="A8" s="8">
        <v>43916</v>
      </c>
      <c r="B8" s="56">
        <v>2235</v>
      </c>
      <c r="C8" s="26">
        <f t="shared" si="1"/>
        <v>0.41187618445988627</v>
      </c>
      <c r="D8" s="38">
        <f t="shared" si="0"/>
        <v>2.0095914749191643</v>
      </c>
    </row>
    <row r="9" spans="1:4">
      <c r="A9" s="8">
        <v>43917</v>
      </c>
      <c r="B9" s="56">
        <v>3198</v>
      </c>
      <c r="C9" s="26">
        <f t="shared" si="1"/>
        <v>0.43087248322147653</v>
      </c>
      <c r="D9" s="38">
        <f t="shared" si="0"/>
        <v>1.9346284878016375</v>
      </c>
    </row>
    <row r="10" spans="1:4">
      <c r="A10" s="8">
        <v>43918</v>
      </c>
      <c r="B10" s="56">
        <v>3763</v>
      </c>
      <c r="C10" s="26">
        <f t="shared" si="1"/>
        <v>0.1766729205753596</v>
      </c>
      <c r="D10" s="38">
        <f t="shared" si="0"/>
        <v>4.260516061386098</v>
      </c>
    </row>
    <row r="11" spans="1:4">
      <c r="A11" s="8">
        <v>43919</v>
      </c>
      <c r="B11" s="56">
        <v>4246</v>
      </c>
      <c r="C11" s="26">
        <f t="shared" si="1"/>
        <v>0.12835503587563116</v>
      </c>
      <c r="D11" s="38">
        <f t="shared" si="0"/>
        <v>5.7398334888813487</v>
      </c>
    </row>
    <row r="12" spans="1:4">
      <c r="A12" s="8">
        <v>43920</v>
      </c>
      <c r="B12" s="56">
        <v>5473</v>
      </c>
      <c r="C12" s="26">
        <f t="shared" si="1"/>
        <v>0.28897786151672161</v>
      </c>
      <c r="D12" s="38">
        <f t="shared" si="0"/>
        <v>2.7305432828862481</v>
      </c>
    </row>
    <row r="13" spans="1:4">
      <c r="A13" s="8">
        <v>43921</v>
      </c>
      <c r="B13" s="56">
        <v>6338</v>
      </c>
      <c r="C13" s="26">
        <f t="shared" si="1"/>
        <v>0.15804860222912478</v>
      </c>
      <c r="D13" s="38">
        <f t="shared" si="0"/>
        <v>4.7237592101650918</v>
      </c>
    </row>
    <row r="14" spans="1:4">
      <c r="A14" s="8">
        <v>43922</v>
      </c>
      <c r="B14" s="56">
        <v>6954</v>
      </c>
      <c r="C14" s="26">
        <f t="shared" si="1"/>
        <v>9.7191543073524775E-2</v>
      </c>
      <c r="D14" s="38">
        <f t="shared" si="0"/>
        <v>7.4729810254126727</v>
      </c>
    </row>
    <row r="15" spans="1:4">
      <c r="A15" s="8">
        <v>43923</v>
      </c>
      <c r="B15" s="56">
        <v>8010</v>
      </c>
      <c r="C15" s="26">
        <f t="shared" si="1"/>
        <v>0.15185504745470232</v>
      </c>
      <c r="D15" s="38">
        <f t="shared" si="0"/>
        <v>4.9029419598944255</v>
      </c>
    </row>
    <row r="16" spans="1:4">
      <c r="A16" s="8">
        <v>43924</v>
      </c>
      <c r="B16" s="56">
        <v>9585</v>
      </c>
      <c r="C16" s="26">
        <f t="shared" si="1"/>
        <v>0.19662921348314608</v>
      </c>
      <c r="D16" s="38">
        <f t="shared" si="0"/>
        <v>3.8613588487017529</v>
      </c>
    </row>
    <row r="17" spans="1:4">
      <c r="A17" s="8">
        <v>43925</v>
      </c>
      <c r="B17" s="56">
        <v>11111</v>
      </c>
      <c r="C17" s="26">
        <f t="shared" si="1"/>
        <v>0.15920709441836203</v>
      </c>
      <c r="D17" s="38">
        <f t="shared" si="0"/>
        <v>4.6917886742282757</v>
      </c>
    </row>
    <row r="18" spans="1:4">
      <c r="A18" s="8">
        <v>43926</v>
      </c>
      <c r="B18" s="56">
        <v>12151</v>
      </c>
      <c r="C18" s="26">
        <f t="shared" si="1"/>
        <v>9.3600936009360092E-2</v>
      </c>
      <c r="D18" s="38">
        <f t="shared" si="0"/>
        <v>7.7467504928348845</v>
      </c>
    </row>
    <row r="19" spans="1:4">
      <c r="A19" s="8">
        <v>43927</v>
      </c>
      <c r="B19" s="56">
        <v>13324</v>
      </c>
      <c r="C19" s="26">
        <f t="shared" si="1"/>
        <v>9.6535264587276765E-2</v>
      </c>
      <c r="D19" s="38">
        <f t="shared" si="0"/>
        <v>7.5214996512474244</v>
      </c>
    </row>
    <row r="20" spans="1:4">
      <c r="A20" s="8">
        <v>43928</v>
      </c>
      <c r="B20" s="56">
        <v>14504</v>
      </c>
      <c r="C20" s="26">
        <f t="shared" si="1"/>
        <v>8.8561993395376765E-2</v>
      </c>
      <c r="D20" s="38">
        <f t="shared" si="0"/>
        <v>8.1683616256365585</v>
      </c>
    </row>
    <row r="21" spans="1:4">
      <c r="A21" s="8">
        <v>43929</v>
      </c>
      <c r="B21" s="56">
        <v>15456</v>
      </c>
      <c r="C21" s="26">
        <f t="shared" si="1"/>
        <v>6.5637065637065631E-2</v>
      </c>
      <c r="D21" s="38">
        <f t="shared" si="0"/>
        <v>10.903202891096551</v>
      </c>
    </row>
    <row r="22" spans="1:4">
      <c r="A22" s="8">
        <v>43930</v>
      </c>
      <c r="B22" s="56">
        <v>16364</v>
      </c>
      <c r="C22" s="26">
        <f t="shared" ref="C22" si="2">(B22-B21)/B21</f>
        <v>5.8747412008281576E-2</v>
      </c>
      <c r="D22" s="38">
        <f t="shared" ref="D22" si="3">(LN(2)/LN(B22/B21))</f>
        <v>12.142045951078709</v>
      </c>
    </row>
    <row r="23" spans="1:4">
      <c r="A23" s="8">
        <v>43931</v>
      </c>
      <c r="B23" s="56">
        <v>17531</v>
      </c>
      <c r="C23" s="26">
        <f t="shared" ref="C23" si="4">(B23-B22)/B22</f>
        <v>7.1315081887069171E-2</v>
      </c>
      <c r="D23" s="38">
        <f t="shared" ref="D23" si="5">(LN(2)/LN(B23/B22))</f>
        <v>10.06209823474501</v>
      </c>
    </row>
    <row r="24" spans="1:4">
      <c r="A24" s="8">
        <v>43932</v>
      </c>
      <c r="B24" s="56">
        <v>18494</v>
      </c>
      <c r="C24" s="26">
        <f t="shared" ref="C24" si="6">(B24-B23)/B23</f>
        <v>5.4931264616964237E-2</v>
      </c>
      <c r="D24" s="38">
        <f t="shared" ref="D24" si="7">(LN(2)/LN(B24/B23))</f>
        <v>12.961930578775871</v>
      </c>
    </row>
    <row r="25" spans="1:4">
      <c r="A25" s="8">
        <v>43933</v>
      </c>
      <c r="B25" s="56">
        <v>19347</v>
      </c>
      <c r="C25" s="26">
        <f t="shared" ref="C25" si="8">(B25-B24)/B24</f>
        <v>4.6123066940629391E-2</v>
      </c>
      <c r="D25" s="38">
        <f t="shared" ref="D25" si="9">(LN(2)/LN(B25/B24))</f>
        <v>15.372180089302603</v>
      </c>
    </row>
    <row r="26" spans="1:4">
      <c r="A26" s="8">
        <v>43934</v>
      </c>
      <c r="B26" s="56">
        <v>20601</v>
      </c>
      <c r="C26" s="26">
        <f t="shared" ref="C26" si="10">(B26-B25)/B25</f>
        <v>6.4816250581485504E-2</v>
      </c>
      <c r="D26" s="38">
        <f t="shared" ref="D26" si="11">(LN(2)/LN(B26/B25))</f>
        <v>11.036980121907526</v>
      </c>
    </row>
    <row r="27" spans="1:4">
      <c r="A27" s="8">
        <v>43935</v>
      </c>
      <c r="B27" s="56">
        <v>21367</v>
      </c>
      <c r="C27" s="26">
        <f t="shared" ref="C27" si="12">(B27-B26)/B26</f>
        <v>3.7182661035872047E-2</v>
      </c>
      <c r="D27" s="38">
        <f t="shared" ref="D27" si="13">(LN(2)/LN(B27/B26))</f>
        <v>18.986142481819783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30"/>
  <sheetViews>
    <sheetView workbookViewId="0">
      <selection sqref="A1:B30"/>
    </sheetView>
  </sheetViews>
  <sheetFormatPr baseColWidth="10" defaultRowHeight="16"/>
  <sheetData>
    <row r="1" spans="1:4">
      <c r="A1" s="9" t="s">
        <v>40</v>
      </c>
      <c r="B1" s="9" t="s">
        <v>47</v>
      </c>
      <c r="C1" s="28"/>
      <c r="D1" s="39"/>
    </row>
    <row r="2" spans="1:4">
      <c r="A2" s="9" t="s">
        <v>41</v>
      </c>
      <c r="B2" s="61">
        <v>21477737</v>
      </c>
      <c r="C2" s="28"/>
      <c r="D2" s="39"/>
    </row>
    <row r="3" spans="1:4">
      <c r="A3" s="9" t="s">
        <v>43</v>
      </c>
      <c r="B3" s="12" t="s">
        <v>35</v>
      </c>
      <c r="C3" s="28"/>
      <c r="D3" s="39"/>
    </row>
    <row r="4" spans="1:4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56">
        <v>1147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56">
        <v>1379</v>
      </c>
      <c r="C6" s="26">
        <f>(B6-B5)/B5</f>
        <v>0.20226678291194419</v>
      </c>
      <c r="D6" s="38">
        <f t="shared" si="0"/>
        <v>3.7628350468331795</v>
      </c>
    </row>
    <row r="7" spans="1:4">
      <c r="A7" s="8">
        <v>43915</v>
      </c>
      <c r="B7" s="56">
        <v>1867</v>
      </c>
      <c r="C7" s="26">
        <f t="shared" ref="C7:C21" si="1">(B7-B6)/B6</f>
        <v>0.3538796229151559</v>
      </c>
      <c r="D7" s="38">
        <f t="shared" si="0"/>
        <v>2.2878087643770719</v>
      </c>
    </row>
    <row r="8" spans="1:4">
      <c r="A8" s="8">
        <v>43916</v>
      </c>
      <c r="B8" s="56">
        <v>2484</v>
      </c>
      <c r="C8" s="26">
        <f t="shared" si="1"/>
        <v>0.33047670058918049</v>
      </c>
      <c r="D8" s="38">
        <f t="shared" si="0"/>
        <v>2.4275188626684923</v>
      </c>
    </row>
    <row r="9" spans="1:4">
      <c r="A9" s="8">
        <v>43917</v>
      </c>
      <c r="B9" s="56">
        <v>3198</v>
      </c>
      <c r="C9" s="26">
        <f t="shared" si="1"/>
        <v>0.28743961352657005</v>
      </c>
      <c r="D9" s="38">
        <f t="shared" si="0"/>
        <v>2.7434483587261567</v>
      </c>
    </row>
    <row r="10" spans="1:4">
      <c r="A10" s="8">
        <v>43918</v>
      </c>
      <c r="B10" s="56">
        <v>4038</v>
      </c>
      <c r="C10" s="26">
        <f t="shared" si="1"/>
        <v>0.26266416510318952</v>
      </c>
      <c r="D10" s="38">
        <f t="shared" si="0"/>
        <v>2.9720245835721353</v>
      </c>
    </row>
    <row r="11" spans="1:4">
      <c r="A11" s="8">
        <v>43919</v>
      </c>
      <c r="B11" s="56">
        <v>4950</v>
      </c>
      <c r="C11" s="26">
        <f t="shared" si="1"/>
        <v>0.22585438335809807</v>
      </c>
      <c r="D11" s="38">
        <f t="shared" si="0"/>
        <v>3.4038194619745781</v>
      </c>
    </row>
    <row r="12" spans="1:4">
      <c r="A12" s="8">
        <v>43920</v>
      </c>
      <c r="B12" s="56">
        <v>5704</v>
      </c>
      <c r="C12" s="26">
        <f t="shared" si="1"/>
        <v>0.15232323232323233</v>
      </c>
      <c r="D12" s="38">
        <f t="shared" si="0"/>
        <v>4.8888888400323909</v>
      </c>
    </row>
    <row r="13" spans="1:4">
      <c r="A13" s="8">
        <v>43921</v>
      </c>
      <c r="B13" s="56">
        <v>6741</v>
      </c>
      <c r="C13" s="26">
        <f t="shared" si="1"/>
        <v>0.1818022440392707</v>
      </c>
      <c r="D13" s="38">
        <f t="shared" si="0"/>
        <v>4.149573131970862</v>
      </c>
    </row>
    <row r="14" spans="1:4">
      <c r="A14" s="8">
        <v>43922</v>
      </c>
      <c r="B14" s="56">
        <v>7773</v>
      </c>
      <c r="C14" s="26">
        <f t="shared" si="1"/>
        <v>0.15309301290609703</v>
      </c>
      <c r="D14" s="38">
        <f t="shared" si="0"/>
        <v>4.8659695214796796</v>
      </c>
    </row>
    <row r="15" spans="1:4">
      <c r="A15" s="8">
        <v>43923</v>
      </c>
      <c r="B15" s="56">
        <v>9008</v>
      </c>
      <c r="C15" s="26">
        <f t="shared" si="1"/>
        <v>0.15888331403576483</v>
      </c>
      <c r="D15" s="38">
        <f t="shared" si="0"/>
        <v>4.7006770735803105</v>
      </c>
    </row>
    <row r="16" spans="1:4">
      <c r="A16" s="8">
        <v>43924</v>
      </c>
      <c r="B16" s="56">
        <v>10268</v>
      </c>
      <c r="C16" s="26">
        <f t="shared" si="1"/>
        <v>0.13987566607460036</v>
      </c>
      <c r="D16" s="38">
        <f t="shared" si="0"/>
        <v>5.2944657847913597</v>
      </c>
    </row>
    <row r="17" spans="1:4">
      <c r="A17" s="8">
        <v>43925</v>
      </c>
      <c r="B17" s="56">
        <v>11545</v>
      </c>
      <c r="C17" s="26">
        <f t="shared" si="1"/>
        <v>0.12436696532917803</v>
      </c>
      <c r="D17" s="38">
        <f t="shared" si="0"/>
        <v>5.9132069389160344</v>
      </c>
    </row>
    <row r="18" spans="1:4">
      <c r="A18" s="8">
        <v>43926</v>
      </c>
      <c r="B18" s="56">
        <v>12350</v>
      </c>
      <c r="C18" s="26">
        <f t="shared" si="1"/>
        <v>6.9727154612386308E-2</v>
      </c>
      <c r="D18" s="38">
        <f t="shared" si="0"/>
        <v>10.283530436626666</v>
      </c>
    </row>
    <row r="19" spans="1:4">
      <c r="A19" s="8">
        <v>43927</v>
      </c>
      <c r="B19" s="56">
        <v>13629</v>
      </c>
      <c r="C19" s="26">
        <f t="shared" si="1"/>
        <v>0.10356275303643725</v>
      </c>
      <c r="D19" s="38">
        <f t="shared" si="0"/>
        <v>7.0338985663313718</v>
      </c>
    </row>
    <row r="20" spans="1:4">
      <c r="A20" s="8">
        <v>43928</v>
      </c>
      <c r="B20" s="56">
        <v>14747</v>
      </c>
      <c r="C20" s="26">
        <f t="shared" si="1"/>
        <v>8.2030963386895583E-2</v>
      </c>
      <c r="D20" s="38">
        <f t="shared" si="0"/>
        <v>8.7918438211140977</v>
      </c>
    </row>
    <row r="21" spans="1:4">
      <c r="A21" s="8">
        <v>43929</v>
      </c>
      <c r="B21" s="56">
        <v>15698</v>
      </c>
      <c r="C21" s="26">
        <f t="shared" si="1"/>
        <v>6.4487692412016004E-2</v>
      </c>
      <c r="D21" s="38">
        <f t="shared" si="0"/>
        <v>11.091482948530885</v>
      </c>
    </row>
    <row r="22" spans="1:4">
      <c r="A22" s="8">
        <v>43930</v>
      </c>
      <c r="B22" s="56">
        <v>16826</v>
      </c>
      <c r="C22" s="26">
        <f t="shared" ref="C22:C23" si="2">(B22-B21)/B21</f>
        <v>7.1856287425149698E-2</v>
      </c>
      <c r="D22" s="38">
        <f t="shared" ref="D22:D23" si="3">(LN(2)/LN(B22/B21))</f>
        <v>9.988863935997184</v>
      </c>
    </row>
    <row r="23" spans="1:4">
      <c r="A23" s="8">
        <v>43931</v>
      </c>
      <c r="B23" s="56">
        <v>17968</v>
      </c>
      <c r="C23" s="26">
        <f t="shared" si="2"/>
        <v>6.7871151788898132E-2</v>
      </c>
      <c r="D23" s="38">
        <f t="shared" si="3"/>
        <v>10.555472954784234</v>
      </c>
    </row>
    <row r="24" spans="1:4">
      <c r="A24" s="8">
        <v>43932</v>
      </c>
      <c r="B24" s="56">
        <v>18986</v>
      </c>
      <c r="C24" s="26">
        <f t="shared" ref="C24" si="4">(B24-B23)/B23</f>
        <v>5.6656277827248441E-2</v>
      </c>
      <c r="D24" s="38">
        <f t="shared" ref="D24" si="5">(LN(2)/LN(B24/B23))</f>
        <v>12.577642507955398</v>
      </c>
    </row>
    <row r="25" spans="1:4">
      <c r="A25" s="8">
        <v>43933</v>
      </c>
      <c r="B25" s="56">
        <v>19895</v>
      </c>
      <c r="C25" s="26">
        <f t="shared" ref="C25" si="6">(B25-B24)/B24</f>
        <v>4.7877383335089015E-2</v>
      </c>
      <c r="D25" s="38">
        <f t="shared" ref="D25" si="7">(LN(2)/LN(B25/B24))</f>
        <v>14.821421707304372</v>
      </c>
    </row>
    <row r="26" spans="1:4">
      <c r="A26" s="8">
        <v>43934</v>
      </c>
      <c r="B26" s="56">
        <v>21019</v>
      </c>
      <c r="C26" s="26">
        <f>(B26-B25)/B25</f>
        <v>5.6496607187735609E-2</v>
      </c>
      <c r="D26" s="38">
        <f>(LN(2)/LN(B26/B25))</f>
        <v>12.612227663194551</v>
      </c>
    </row>
    <row r="27" spans="1:4">
      <c r="A27" s="8">
        <v>43935</v>
      </c>
      <c r="B27" s="56">
        <v>21628</v>
      </c>
      <c r="C27" s="26">
        <f>(B27-B26)/B26</f>
        <v>2.8973785622531993E-2</v>
      </c>
      <c r="D27" s="38">
        <f>(LN(2)/LN(B27/B26))</f>
        <v>24.268176005353027</v>
      </c>
    </row>
    <row r="28" spans="1:4">
      <c r="A28" s="8">
        <v>43936</v>
      </c>
      <c r="B28" s="56">
        <v>22519</v>
      </c>
      <c r="C28" s="26">
        <f>(B28-B27)/B27</f>
        <v>4.1196597003883853E-2</v>
      </c>
      <c r="D28" s="38">
        <f>(LN(2)/LN(B28/B27))</f>
        <v>17.169592171387023</v>
      </c>
    </row>
    <row r="29" spans="1:4">
      <c r="A29" s="8">
        <v>43937</v>
      </c>
      <c r="B29" s="56">
        <v>23340</v>
      </c>
      <c r="C29" s="26">
        <f t="shared" ref="C29:C30" si="8">(B29-B28)/B28</f>
        <v>3.6458102047160178E-2</v>
      </c>
      <c r="D29" s="38">
        <f t="shared" ref="D29:D30" si="9">(LN(2)/LN(B29/B28))</f>
        <v>19.356662775040331</v>
      </c>
    </row>
    <row r="30" spans="1:4">
      <c r="A30" s="8">
        <v>43938</v>
      </c>
      <c r="B30" s="56">
        <v>24753</v>
      </c>
      <c r="C30" s="26">
        <f t="shared" si="8"/>
        <v>6.0539845758354756E-2</v>
      </c>
      <c r="D30" s="38">
        <f t="shared" si="9"/>
        <v>11.79261613626988</v>
      </c>
    </row>
  </sheetData>
  <pageMargins left="0.7" right="0.7" top="0.75" bottom="0.75" header="0.3" footer="0.3"/>
  <pageSetup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67" t="s">
        <v>49</v>
      </c>
      <c r="C1" s="28"/>
      <c r="D1" s="39"/>
    </row>
    <row r="2" spans="1:4">
      <c r="A2" s="1" t="s">
        <v>41</v>
      </c>
      <c r="B2" s="69">
        <v>2231647</v>
      </c>
      <c r="C2" s="28"/>
      <c r="D2" s="39"/>
    </row>
    <row r="3" spans="1:4">
      <c r="A3" s="1" t="s">
        <v>43</v>
      </c>
      <c r="B3" s="68" t="s">
        <v>50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43919</v>
      </c>
      <c r="B5" s="9">
        <v>753</v>
      </c>
      <c r="C5" s="26" t="e">
        <f>(B5-#REF!)/#REF!</f>
        <v>#REF!</v>
      </c>
      <c r="D5" s="38" t="e">
        <f>(LN(2)/LN(B5/#REF!))</f>
        <v>#REF!</v>
      </c>
    </row>
    <row r="6" spans="1:4">
      <c r="A6" s="8">
        <v>43920</v>
      </c>
      <c r="B6" s="9">
        <v>869</v>
      </c>
      <c r="C6" s="26">
        <f t="shared" ref="C6:C15" si="0">(B6-B5)/B5</f>
        <v>0.15405046480743692</v>
      </c>
      <c r="D6" s="38">
        <f t="shared" ref="D6:D15" si="1">(LN(2)/LN(B6/B5))</f>
        <v>4.8377816315098832</v>
      </c>
    </row>
    <row r="7" spans="1:4">
      <c r="A7" s="8">
        <v>43921</v>
      </c>
      <c r="B7" s="56">
        <v>961</v>
      </c>
      <c r="C7" s="26">
        <f t="shared" si="0"/>
        <v>0.10586881472957423</v>
      </c>
      <c r="D7" s="38">
        <f t="shared" si="1"/>
        <v>6.8879890531118244</v>
      </c>
    </row>
    <row r="8" spans="1:4">
      <c r="A8" s="8">
        <v>43922</v>
      </c>
      <c r="B8" s="56">
        <v>1125</v>
      </c>
      <c r="C8" s="26">
        <f t="shared" si="0"/>
        <v>0.17065556711758584</v>
      </c>
      <c r="D8" s="38">
        <f t="shared" si="1"/>
        <v>4.3991495236190712</v>
      </c>
    </row>
    <row r="9" spans="1:4">
      <c r="A9" s="8">
        <v>43923</v>
      </c>
      <c r="B9" s="56">
        <v>1279</v>
      </c>
      <c r="C9" s="26">
        <f t="shared" si="0"/>
        <v>0.13688888888888889</v>
      </c>
      <c r="D9" s="38">
        <f t="shared" si="1"/>
        <v>5.4027401671764901</v>
      </c>
    </row>
    <row r="10" spans="1:4">
      <c r="A10" s="8">
        <v>43924</v>
      </c>
      <c r="B10" s="56">
        <v>1418</v>
      </c>
      <c r="C10" s="26">
        <f t="shared" si="0"/>
        <v>0.10867865519937452</v>
      </c>
      <c r="D10" s="38">
        <f t="shared" si="1"/>
        <v>6.7185667727284111</v>
      </c>
    </row>
    <row r="11" spans="1:4">
      <c r="A11" s="8">
        <v>43925</v>
      </c>
      <c r="B11" s="56">
        <v>1519</v>
      </c>
      <c r="C11" s="26">
        <f t="shared" si="0"/>
        <v>7.1227080394922426E-2</v>
      </c>
      <c r="D11" s="38">
        <f t="shared" si="1"/>
        <v>10.074111484317552</v>
      </c>
    </row>
    <row r="12" spans="1:4">
      <c r="A12" s="8">
        <v>43926</v>
      </c>
      <c r="B12" s="56">
        <v>1608</v>
      </c>
      <c r="C12" s="26">
        <f t="shared" si="0"/>
        <v>5.8591178406846613E-2</v>
      </c>
      <c r="D12" s="38">
        <f t="shared" si="1"/>
        <v>12.173515938351329</v>
      </c>
    </row>
    <row r="13" spans="1:4">
      <c r="A13" s="8">
        <v>43927</v>
      </c>
      <c r="B13" s="56">
        <v>1734</v>
      </c>
      <c r="C13" s="26">
        <f t="shared" si="0"/>
        <v>7.8358208955223885E-2</v>
      </c>
      <c r="D13" s="38">
        <f t="shared" si="1"/>
        <v>9.1880947394534846</v>
      </c>
    </row>
    <row r="14" spans="1:4">
      <c r="A14" s="8">
        <v>43928</v>
      </c>
      <c r="B14" s="35">
        <v>1878</v>
      </c>
      <c r="C14" s="26">
        <f t="shared" si="0"/>
        <v>8.3044982698961933E-2</v>
      </c>
      <c r="D14" s="38">
        <f t="shared" si="1"/>
        <v>8.6886133067559541</v>
      </c>
    </row>
    <row r="15" spans="1:4">
      <c r="A15" s="8">
        <v>43929</v>
      </c>
      <c r="B15" s="9">
        <v>2009</v>
      </c>
      <c r="C15" s="26">
        <f t="shared" si="0"/>
        <v>6.9755058572949946E-2</v>
      </c>
      <c r="D15" s="38">
        <f t="shared" si="1"/>
        <v>10.27955231421552</v>
      </c>
    </row>
    <row r="16" spans="1:4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56"/>
    </row>
    <row r="23" spans="2:2">
      <c r="B23" s="56"/>
    </row>
    <row r="24" spans="2:2">
      <c r="B24" s="56"/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35"/>
    </row>
    <row r="30" spans="2:2">
      <c r="B30" s="56"/>
    </row>
    <row r="31" spans="2:2">
      <c r="B31" s="5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% Increase</vt:lpstr>
      <vt:lpstr>Doubling Time</vt:lpstr>
      <vt:lpstr>Number of Infections</vt:lpstr>
      <vt:lpstr>Infection Percentage</vt:lpstr>
      <vt:lpstr>Infection Odds</vt:lpstr>
      <vt:lpstr>Case Percentage</vt:lpstr>
      <vt:lpstr>Infection Projection</vt:lpstr>
      <vt:lpstr>Two-Weeks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2020-06-01T21:24:10Z</dcterms:modified>
</cp:coreProperties>
</file>