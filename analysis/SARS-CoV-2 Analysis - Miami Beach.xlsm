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916B6CBE-2D54-D14E-877D-6565CBC0644A}" xr6:coauthVersionLast="45" xr6:coauthVersionMax="45" xr10:uidLastSave="{00000000-0000-0000-0000-000000000000}"/>
  <bookViews>
    <workbookView xWindow="0" yWindow="460" windowWidth="28800" windowHeight="17540" firstSheet="3" activeTab="7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5" l="1"/>
  <c r="M7" i="5"/>
  <c r="C58" i="1"/>
  <c r="D58" i="1"/>
  <c r="E58" i="1"/>
  <c r="F58" i="1"/>
  <c r="G58" i="1"/>
  <c r="J58" i="1" s="1"/>
  <c r="H58" i="1"/>
  <c r="I58" i="1" s="1"/>
  <c r="C59" i="1"/>
  <c r="D59" i="1"/>
  <c r="E59" i="1"/>
  <c r="F59" i="1"/>
  <c r="G59" i="1"/>
  <c r="J59" i="1" s="1"/>
  <c r="H59" i="1"/>
  <c r="I59" i="1" s="1"/>
  <c r="C60" i="1"/>
  <c r="D60" i="1"/>
  <c r="E60" i="1"/>
  <c r="F60" i="1"/>
  <c r="G60" i="1"/>
  <c r="J60" i="1" s="1"/>
  <c r="H60" i="1"/>
  <c r="I60" i="1" s="1"/>
  <c r="C58" i="12"/>
  <c r="D58" i="12"/>
  <c r="C59" i="12"/>
  <c r="D59" i="12"/>
  <c r="C60" i="12"/>
  <c r="D60" i="12"/>
  <c r="C60" i="10"/>
  <c r="D60" i="10"/>
  <c r="C58" i="10"/>
  <c r="D58" i="10"/>
  <c r="C59" i="10"/>
  <c r="D59" i="10"/>
  <c r="C57" i="12" l="1"/>
  <c r="D57" i="12"/>
  <c r="C57" i="1"/>
  <c r="D57" i="1"/>
  <c r="E57" i="1"/>
  <c r="F57" i="1"/>
  <c r="G57" i="1"/>
  <c r="H57" i="1"/>
  <c r="J57" i="1"/>
  <c r="C57" i="10"/>
  <c r="D57" i="10"/>
  <c r="I57" i="1" l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7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1" i="1" s="1"/>
  <c r="U9" i="1"/>
  <c r="C6" i="6" s="1"/>
  <c r="X6" i="1"/>
  <c r="T9" i="1"/>
  <c r="T6" i="1"/>
  <c r="K58" i="1" l="1"/>
  <c r="L58" i="1"/>
  <c r="O58" i="1" s="1"/>
  <c r="P58" i="1"/>
  <c r="K59" i="1"/>
  <c r="M58" i="1"/>
  <c r="Q58" i="1"/>
  <c r="L59" i="1"/>
  <c r="O59" i="1" s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5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60" i="1" l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3" i="1" s="1"/>
  <c r="C8" i="6" s="1"/>
  <c r="U63" i="1"/>
  <c r="V75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7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9" i="1" l="1"/>
  <c r="U18" i="1"/>
  <c r="V71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<sst xmlns="http://schemas.openxmlformats.org/spreadsheetml/2006/main" count="165" uniqueCount="65">
  <si>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</si>
  <si>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</si>
  <si>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</si>
  <si>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</si>
  <si>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</si>
  <si>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</si>
  <si>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</si>
  <si>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</si>
  <si>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</si>
  <si>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</si>
  <si>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</si>
  <si>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</si>
  <si>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</si>
  <si>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</si>
  <si>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</si>
  <si>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</si>
  <si>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</si>
  <si>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</si>
  <si>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</si>
  <si>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</si>
  <si>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</si>
  <si>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</si>
  <si>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</si>
  <si>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</si>
  <si>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</si>
  <si>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</si>
  <si>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</si>
  <si>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</si>
  <si>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</si>
  <si>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</si>
  <si>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</si>
  <si>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</si>
  <si>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</si>
  <si>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</si>
  <si>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</si>
  <si>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</si>
  <si>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</si>
  <si>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</si>
  <si>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</si>
  <si>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</si>
  <si>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</si>
  <si>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</si>
  <si>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</si>
  <si>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</si>
  <si>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</si>
  <si>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</si>
  <si>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</si>
  <si>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</si>
  <si>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</si>
  <si>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</si>
  <si>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</si>
  <si>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</si>
  <si>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</si>
  <si>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</si>
  <si>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</si>
  <si>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</si>
  <si>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</si>
  <si>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</si>
  <si>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</si>
  <si>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</si>
  <si>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</si>
  <si>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</si>
  <si>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</si>
  <si>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4 - 10</t>
  </si>
  <si>
    <t>May 11 - 17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</si>
</sst>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350735352996129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compute!$D$6:$D$10042</c:f>
              <c:numCache>
                <c:formatCode>0.0%</c:formatCode>
                <c:ptCount val="10037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8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compute!$E$6:$E$10042</c:f>
              <c:numCache>
                <c:formatCode>0.0</c:formatCode>
                <c:ptCount val="10037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compute!$G$5:$G$10042</c:f>
              <c:numCache>
                <c:formatCode>#,##0</c:formatCode>
                <c:ptCount val="10038"/>
                <c:pt idx="0">
                  <c:v>584.61538461538464</c:v>
                </c:pt>
                <c:pt idx="1">
                  <c:v>753.84615384615381</c:v>
                </c:pt>
                <c:pt idx="2">
                  <c:v>984.61538461538464</c:v>
                </c:pt>
                <c:pt idx="3">
                  <c:v>1326.9230769230769</c:v>
                </c:pt>
                <c:pt idx="4">
                  <c:v>1784.6153846153845</c:v>
                </c:pt>
                <c:pt idx="5">
                  <c:v>2319.2307692307691</c:v>
                </c:pt>
                <c:pt idx="6">
                  <c:v>3123.0769230769229</c:v>
                </c:pt>
                <c:pt idx="7">
                  <c:v>3580.7692307692309</c:v>
                </c:pt>
                <c:pt idx="8">
                  <c:v>4534.6153846153848</c:v>
                </c:pt>
                <c:pt idx="9">
                  <c:v>5273.0769230769229</c:v>
                </c:pt>
                <c:pt idx="10">
                  <c:v>6450</c:v>
                </c:pt>
                <c:pt idx="11">
                  <c:v>7534.6153846153848</c:v>
                </c:pt>
                <c:pt idx="12">
                  <c:v>8811.538461538461</c:v>
                </c:pt>
                <c:pt idx="13">
                  <c:v>9465.3846153846152</c:v>
                </c:pt>
                <c:pt idx="14">
                  <c:v>10776.923076923076</c:v>
                </c:pt>
                <c:pt idx="15">
                  <c:v>11923.076923076924</c:v>
                </c:pt>
                <c:pt idx="16">
                  <c:v>12757.692307692309</c:v>
                </c:pt>
                <c:pt idx="17">
                  <c:v>13796.153846153846</c:v>
                </c:pt>
                <c:pt idx="18">
                  <c:v>14676.923076923076</c:v>
                </c:pt>
                <c:pt idx="19">
                  <c:v>15734.615384615385</c:v>
                </c:pt>
                <c:pt idx="20">
                  <c:v>16434.615384615383</c:v>
                </c:pt>
                <c:pt idx="21">
                  <c:v>17257.692307692309</c:v>
                </c:pt>
                <c:pt idx="22">
                  <c:v>17876.923076923078</c:v>
                </c:pt>
                <c:pt idx="23">
                  <c:v>18680.76923076923</c:v>
                </c:pt>
                <c:pt idx="24">
                  <c:v>19300</c:v>
                </c:pt>
                <c:pt idx="25">
                  <c:v>20480.76923076923</c:v>
                </c:pt>
                <c:pt idx="26">
                  <c:v>21050</c:v>
                </c:pt>
                <c:pt idx="27">
                  <c:v>21711.538461538461</c:v>
                </c:pt>
                <c:pt idx="28">
                  <c:v>22507.692307692309</c:v>
                </c:pt>
                <c:pt idx="29">
                  <c:v>23323.076923076922</c:v>
                </c:pt>
                <c:pt idx="30">
                  <c:v>23950</c:v>
                </c:pt>
                <c:pt idx="31">
                  <c:v>24665.384615384617</c:v>
                </c:pt>
                <c:pt idx="32">
                  <c:v>25607.692307692309</c:v>
                </c:pt>
                <c:pt idx="33">
                  <c:v>25807.692307692309</c:v>
                </c:pt>
                <c:pt idx="34">
                  <c:v>26926.923076923078</c:v>
                </c:pt>
                <c:pt idx="35">
                  <c:v>27534.615384615383</c:v>
                </c:pt>
                <c:pt idx="36">
                  <c:v>28323.076923076922</c:v>
                </c:pt>
                <c:pt idx="37">
                  <c:v>28530.76923076923</c:v>
                </c:pt>
                <c:pt idx="38">
                  <c:v>28807.692307692309</c:v>
                </c:pt>
                <c:pt idx="39">
                  <c:v>29557.692307692309</c:v>
                </c:pt>
                <c:pt idx="40">
                  <c:v>30138.461538461539</c:v>
                </c:pt>
                <c:pt idx="41">
                  <c:v>30492.307692307691</c:v>
                </c:pt>
                <c:pt idx="42">
                  <c:v>31407.692307692309</c:v>
                </c:pt>
                <c:pt idx="43">
                  <c:v>31826.923076923078</c:v>
                </c:pt>
                <c:pt idx="44">
                  <c:v>32253.846153846152</c:v>
                </c:pt>
                <c:pt idx="45">
                  <c:v>32815.384615384617</c:v>
                </c:pt>
                <c:pt idx="46">
                  <c:v>33053.846153846156</c:v>
                </c:pt>
                <c:pt idx="47">
                  <c:v>33519.230769230766</c:v>
                </c:pt>
                <c:pt idx="48">
                  <c:v>33934.615384615383</c:v>
                </c:pt>
                <c:pt idx="49">
                  <c:v>34126.923076923078</c:v>
                </c:pt>
                <c:pt idx="50">
                  <c:v>34673.076923076922</c:v>
                </c:pt>
                <c:pt idx="51">
                  <c:v>34888.461538461539</c:v>
                </c:pt>
                <c:pt idx="52">
                  <c:v>35196.153846153844</c:v>
                </c:pt>
                <c:pt idx="53">
                  <c:v>35680.769230769234</c:v>
                </c:pt>
                <c:pt idx="54">
                  <c:v>36323.076923076922</c:v>
                </c:pt>
                <c:pt idx="55">
                  <c:v>36880.769230769234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compute!$I$5:$I$10042</c:f>
              <c:numCache>
                <c:formatCode>#,##0</c:formatCode>
                <c:ptCount val="10038"/>
                <c:pt idx="0">
                  <c:v>797.20279720279711</c:v>
                </c:pt>
                <c:pt idx="1">
                  <c:v>1027.9720279720279</c:v>
                </c:pt>
                <c:pt idx="2">
                  <c:v>1342.6573426573427</c:v>
                </c:pt>
                <c:pt idx="3">
                  <c:v>1809.4405594405596</c:v>
                </c:pt>
                <c:pt idx="4">
                  <c:v>2433.5664335664333</c:v>
                </c:pt>
                <c:pt idx="5">
                  <c:v>3162.5874125874129</c:v>
                </c:pt>
                <c:pt idx="6">
                  <c:v>4258.7412587412591</c:v>
                </c:pt>
                <c:pt idx="7">
                  <c:v>4882.8671328671335</c:v>
                </c:pt>
                <c:pt idx="8">
                  <c:v>6183.5664335664333</c:v>
                </c:pt>
                <c:pt idx="9">
                  <c:v>7190.5594405594411</c:v>
                </c:pt>
                <c:pt idx="10">
                  <c:v>8795.454545454546</c:v>
                </c:pt>
                <c:pt idx="11">
                  <c:v>10274.475524475523</c:v>
                </c:pt>
                <c:pt idx="12">
                  <c:v>12015.734265734267</c:v>
                </c:pt>
                <c:pt idx="13">
                  <c:v>12907.342657342657</c:v>
                </c:pt>
                <c:pt idx="14">
                  <c:v>14695.804195804196</c:v>
                </c:pt>
                <c:pt idx="15">
                  <c:v>16258.741258741256</c:v>
                </c:pt>
                <c:pt idx="16">
                  <c:v>17396.853146853147</c:v>
                </c:pt>
                <c:pt idx="17">
                  <c:v>18812.937062937061</c:v>
                </c:pt>
                <c:pt idx="18">
                  <c:v>20013.98601398601</c:v>
                </c:pt>
                <c:pt idx="19">
                  <c:v>21456.293706293705</c:v>
                </c:pt>
                <c:pt idx="20">
                  <c:v>22410.839160839161</c:v>
                </c:pt>
                <c:pt idx="21">
                  <c:v>23533.21678321678</c:v>
                </c:pt>
                <c:pt idx="22">
                  <c:v>24377.622377622378</c:v>
                </c:pt>
                <c:pt idx="23">
                  <c:v>25473.776223776225</c:v>
                </c:pt>
                <c:pt idx="24">
                  <c:v>26318.181818181816</c:v>
                </c:pt>
                <c:pt idx="25">
                  <c:v>27928.321678321681</c:v>
                </c:pt>
                <c:pt idx="26">
                  <c:v>28704.545454545456</c:v>
                </c:pt>
                <c:pt idx="27">
                  <c:v>29606.643356643355</c:v>
                </c:pt>
                <c:pt idx="28">
                  <c:v>30692.307692307691</c:v>
                </c:pt>
                <c:pt idx="29">
                  <c:v>31804.195804195806</c:v>
                </c:pt>
                <c:pt idx="30">
                  <c:v>32659.090909090912</c:v>
                </c:pt>
                <c:pt idx="31">
                  <c:v>33634.615384615383</c:v>
                </c:pt>
                <c:pt idx="32">
                  <c:v>34919.580419580423</c:v>
                </c:pt>
                <c:pt idx="33">
                  <c:v>35192.307692307688</c:v>
                </c:pt>
                <c:pt idx="34">
                  <c:v>36718.531468531466</c:v>
                </c:pt>
                <c:pt idx="35">
                  <c:v>37547.202797202801</c:v>
                </c:pt>
                <c:pt idx="36">
                  <c:v>38622.377622377622</c:v>
                </c:pt>
                <c:pt idx="37">
                  <c:v>38905.594405594398</c:v>
                </c:pt>
                <c:pt idx="38">
                  <c:v>39283.216783216776</c:v>
                </c:pt>
                <c:pt idx="39">
                  <c:v>40305.944055944055</c:v>
                </c:pt>
                <c:pt idx="40">
                  <c:v>41097.902097902093</c:v>
                </c:pt>
                <c:pt idx="41">
                  <c:v>41580.419580419592</c:v>
                </c:pt>
                <c:pt idx="42">
                  <c:v>42828.67132867132</c:v>
                </c:pt>
                <c:pt idx="43">
                  <c:v>43400.349650349643</c:v>
                </c:pt>
                <c:pt idx="44">
                  <c:v>43982.517482517476</c:v>
                </c:pt>
                <c:pt idx="45">
                  <c:v>44748.251748251751</c:v>
                </c:pt>
                <c:pt idx="46">
                  <c:v>45073.426573426565</c:v>
                </c:pt>
                <c:pt idx="47">
                  <c:v>45708.041958041955</c:v>
                </c:pt>
                <c:pt idx="48">
                  <c:v>46274.475524475529</c:v>
                </c:pt>
                <c:pt idx="49">
                  <c:v>46536.71328671329</c:v>
                </c:pt>
                <c:pt idx="50">
                  <c:v>47281.468531468534</c:v>
                </c:pt>
                <c:pt idx="51">
                  <c:v>47575.174825174829</c:v>
                </c:pt>
                <c:pt idx="52">
                  <c:v>47994.755244755244</c:v>
                </c:pt>
                <c:pt idx="53">
                  <c:v>48655.594405594398</c:v>
                </c:pt>
                <c:pt idx="54">
                  <c:v>49531.468531468534</c:v>
                </c:pt>
                <c:pt idx="55">
                  <c:v>50291.958041958045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compute!$F$5:$F$10042</c:f>
              <c:numCache>
                <c:formatCode>#,##0</c:formatCode>
                <c:ptCount val="10038"/>
                <c:pt idx="0">
                  <c:v>1266.6666666666667</c:v>
                </c:pt>
                <c:pt idx="1">
                  <c:v>1633.3333333333333</c:v>
                </c:pt>
                <c:pt idx="2">
                  <c:v>2133.3333333333335</c:v>
                </c:pt>
                <c:pt idx="3">
                  <c:v>2875</c:v>
                </c:pt>
                <c:pt idx="4">
                  <c:v>3866.6666666666665</c:v>
                </c:pt>
                <c:pt idx="5">
                  <c:v>5025</c:v>
                </c:pt>
                <c:pt idx="6">
                  <c:v>6766.666666666667</c:v>
                </c:pt>
                <c:pt idx="7">
                  <c:v>7758.333333333333</c:v>
                </c:pt>
                <c:pt idx="8">
                  <c:v>9825</c:v>
                </c:pt>
                <c:pt idx="9">
                  <c:v>11425</c:v>
                </c:pt>
                <c:pt idx="10">
                  <c:v>13975</c:v>
                </c:pt>
                <c:pt idx="11">
                  <c:v>16325</c:v>
                </c:pt>
                <c:pt idx="12">
                  <c:v>19091.666666666668</c:v>
                </c:pt>
                <c:pt idx="13">
                  <c:v>20508.333333333332</c:v>
                </c:pt>
                <c:pt idx="14">
                  <c:v>23350</c:v>
                </c:pt>
                <c:pt idx="15">
                  <c:v>25833.333333333332</c:v>
                </c:pt>
                <c:pt idx="16">
                  <c:v>27641.666666666668</c:v>
                </c:pt>
                <c:pt idx="17">
                  <c:v>29891.666666666668</c:v>
                </c:pt>
                <c:pt idx="18">
                  <c:v>31800</c:v>
                </c:pt>
                <c:pt idx="19">
                  <c:v>34091.666666666664</c:v>
                </c:pt>
                <c:pt idx="20">
                  <c:v>35608.333333333336</c:v>
                </c:pt>
                <c:pt idx="21">
                  <c:v>37391.666666666664</c:v>
                </c:pt>
                <c:pt idx="22">
                  <c:v>38733.333333333336</c:v>
                </c:pt>
                <c:pt idx="23">
                  <c:v>40475</c:v>
                </c:pt>
                <c:pt idx="24">
                  <c:v>41816.666666666664</c:v>
                </c:pt>
                <c:pt idx="25">
                  <c:v>44375</c:v>
                </c:pt>
                <c:pt idx="26">
                  <c:v>45608.333333333336</c:v>
                </c:pt>
                <c:pt idx="27">
                  <c:v>47041.666666666664</c:v>
                </c:pt>
                <c:pt idx="28">
                  <c:v>48766.666666666664</c:v>
                </c:pt>
                <c:pt idx="29">
                  <c:v>50533.333333333336</c:v>
                </c:pt>
                <c:pt idx="30">
                  <c:v>51891.666666666664</c:v>
                </c:pt>
                <c:pt idx="31">
                  <c:v>53441.666666666664</c:v>
                </c:pt>
                <c:pt idx="32">
                  <c:v>55483.333333333336</c:v>
                </c:pt>
                <c:pt idx="33">
                  <c:v>55916.666666666664</c:v>
                </c:pt>
                <c:pt idx="34">
                  <c:v>58341.666666666664</c:v>
                </c:pt>
                <c:pt idx="35">
                  <c:v>59658.333333333336</c:v>
                </c:pt>
                <c:pt idx="36">
                  <c:v>61366.666666666664</c:v>
                </c:pt>
                <c:pt idx="37">
                  <c:v>61816.666666666664</c:v>
                </c:pt>
                <c:pt idx="38">
                  <c:v>62416.666666666664</c:v>
                </c:pt>
                <c:pt idx="39">
                  <c:v>64041.666666666664</c:v>
                </c:pt>
                <c:pt idx="40">
                  <c:v>65300</c:v>
                </c:pt>
                <c:pt idx="41">
                  <c:v>66066.666666666672</c:v>
                </c:pt>
                <c:pt idx="42">
                  <c:v>68050</c:v>
                </c:pt>
                <c:pt idx="43">
                  <c:v>68958.333333333328</c:v>
                </c:pt>
                <c:pt idx="44">
                  <c:v>69883.333333333328</c:v>
                </c:pt>
                <c:pt idx="45">
                  <c:v>71100</c:v>
                </c:pt>
                <c:pt idx="46">
                  <c:v>71616.666666666672</c:v>
                </c:pt>
                <c:pt idx="47">
                  <c:v>72625</c:v>
                </c:pt>
                <c:pt idx="48">
                  <c:v>73525</c:v>
                </c:pt>
                <c:pt idx="49">
                  <c:v>73941.666666666672</c:v>
                </c:pt>
                <c:pt idx="50">
                  <c:v>75125</c:v>
                </c:pt>
                <c:pt idx="51">
                  <c:v>75591.666666666672</c:v>
                </c:pt>
                <c:pt idx="52">
                  <c:v>76258.333333333328</c:v>
                </c:pt>
                <c:pt idx="53">
                  <c:v>77308.333333333328</c:v>
                </c:pt>
                <c:pt idx="54">
                  <c:v>78700</c:v>
                </c:pt>
                <c:pt idx="55">
                  <c:v>79908.333333333328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07273455225"/>
          <c:y val="0.14745762711864407"/>
          <c:w val="0.8458022154010410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compute!$L$5:$L$60</c:f>
              <c:numCache>
                <c:formatCode>0.0%</c:formatCode>
                <c:ptCount val="56"/>
                <c:pt idx="0">
                  <c:v>1.2414482997222098E-3</c:v>
                </c:pt>
                <c:pt idx="1">
                  <c:v>1.6008149127996912E-3</c:v>
                </c:pt>
                <c:pt idx="2">
                  <c:v>2.0908602942689846E-3</c:v>
                </c:pt>
                <c:pt idx="3">
                  <c:v>2.8177609434484364E-3</c:v>
                </c:pt>
                <c:pt idx="4">
                  <c:v>3.7896842833625346E-3</c:v>
                </c:pt>
                <c:pt idx="5">
                  <c:v>4.9249560837663969E-3</c:v>
                </c:pt>
                <c:pt idx="6">
                  <c:v>6.6319474958844351E-3</c:v>
                </c:pt>
                <c:pt idx="7">
                  <c:v>7.6038708357985341E-3</c:v>
                </c:pt>
                <c:pt idx="8">
                  <c:v>9.6293917458716138E-3</c:v>
                </c:pt>
                <c:pt idx="9">
                  <c:v>1.119753696657335E-2</c:v>
                </c:pt>
                <c:pt idx="10">
                  <c:v>1.3696768412066747E-2</c:v>
                </c:pt>
                <c:pt idx="11">
                  <c:v>1.5999981704972424E-2</c:v>
                </c:pt>
                <c:pt idx="12">
                  <c:v>1.8711566149102514E-2</c:v>
                </c:pt>
                <c:pt idx="13">
                  <c:v>2.0100028063265513E-2</c:v>
                </c:pt>
                <c:pt idx="14">
                  <c:v>2.2885119314615995E-2</c:v>
                </c:pt>
                <c:pt idx="15">
                  <c:v>2.5319011375913487E-2</c:v>
                </c:pt>
                <c:pt idx="16">
                  <c:v>2.7091342172227431E-2</c:v>
                </c:pt>
                <c:pt idx="17">
                  <c:v>2.9296546388839249E-2</c:v>
                </c:pt>
                <c:pt idx="18">
                  <c:v>3.1166886261447049E-2</c:v>
                </c:pt>
                <c:pt idx="19">
                  <c:v>3.3412927593181312E-2</c:v>
                </c:pt>
                <c:pt idx="20">
                  <c:v>3.4899398583638164E-2</c:v>
                </c:pt>
                <c:pt idx="21">
                  <c:v>3.6647227110878651E-2</c:v>
                </c:pt>
                <c:pt idx="22">
                  <c:v>3.7962182217821251E-2</c:v>
                </c:pt>
                <c:pt idx="23">
                  <c:v>3.966917362993929E-2</c:v>
                </c:pt>
                <c:pt idx="24">
                  <c:v>4.098412873688189E-2</c:v>
                </c:pt>
                <c:pt idx="25">
                  <c:v>4.3491527605399774E-2</c:v>
                </c:pt>
                <c:pt idx="26">
                  <c:v>4.4700306213024031E-2</c:v>
                </c:pt>
                <c:pt idx="27">
                  <c:v>4.6105102973236008E-2</c:v>
                </c:pt>
                <c:pt idx="28">
                  <c:v>4.7795759539305073E-2</c:v>
                </c:pt>
                <c:pt idx="29">
                  <c:v>4.9527253220496573E-2</c:v>
                </c:pt>
                <c:pt idx="30">
                  <c:v>5.0858543173488154E-2</c:v>
                </c:pt>
                <c:pt idx="31">
                  <c:v>5.2377683856042967E-2</c:v>
                </c:pt>
                <c:pt idx="32">
                  <c:v>5.4378702497042575E-2</c:v>
                </c:pt>
                <c:pt idx="33">
                  <c:v>5.4803408494315968E-2</c:v>
                </c:pt>
                <c:pt idx="34">
                  <c:v>5.7180128594442041E-2</c:v>
                </c:pt>
                <c:pt idx="35">
                  <c:v>5.8470581432311174E-2</c:v>
                </c:pt>
                <c:pt idx="36">
                  <c:v>6.0144903152331258E-2</c:v>
                </c:pt>
                <c:pt idx="37">
                  <c:v>6.0585943995653625E-2</c:v>
                </c:pt>
                <c:pt idx="38">
                  <c:v>6.1173998453416777E-2</c:v>
                </c:pt>
                <c:pt idx="39">
                  <c:v>6.2766645943191979E-2</c:v>
                </c:pt>
                <c:pt idx="40">
                  <c:v>6.3999926819889696E-2</c:v>
                </c:pt>
                <c:pt idx="41">
                  <c:v>6.4751329738142613E-2</c:v>
                </c:pt>
                <c:pt idx="42">
                  <c:v>6.669517641797082E-2</c:v>
                </c:pt>
                <c:pt idx="43">
                  <c:v>6.7585425527640033E-2</c:v>
                </c:pt>
                <c:pt idx="44">
                  <c:v>6.8492009483358221E-2</c:v>
                </c:pt>
                <c:pt idx="45">
                  <c:v>6.9684453244933511E-2</c:v>
                </c:pt>
                <c:pt idx="46">
                  <c:v>7.019083347245178E-2</c:v>
                </c:pt>
                <c:pt idx="47">
                  <c:v>7.1179091658414836E-2</c:v>
                </c:pt>
                <c:pt idx="48">
                  <c:v>7.206117334505957E-2</c:v>
                </c:pt>
                <c:pt idx="49">
                  <c:v>7.2469544496283983E-2</c:v>
                </c:pt>
                <c:pt idx="50">
                  <c:v>7.3629318565761312E-2</c:v>
                </c:pt>
                <c:pt idx="51">
                  <c:v>7.408669425513266E-2</c:v>
                </c:pt>
                <c:pt idx="52">
                  <c:v>7.4740088097091706E-2</c:v>
                </c:pt>
                <c:pt idx="53">
                  <c:v>7.5769183398177231E-2</c:v>
                </c:pt>
                <c:pt idx="54">
                  <c:v>7.7133143043266753E-2</c:v>
                </c:pt>
                <c:pt idx="55">
                  <c:v>7.8317419381817563E-2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compute!$N$5:$N$60</c:f>
              <c:numCache>
                <c:formatCode>0.00%</c:formatCode>
                <c:ptCount val="56"/>
                <c:pt idx="0">
                  <c:v>1.69288404507574E-3</c:v>
                </c:pt>
                <c:pt idx="1">
                  <c:v>2.1829294265450338E-3</c:v>
                </c:pt>
                <c:pt idx="2">
                  <c:v>2.851173128548616E-3</c:v>
                </c:pt>
                <c:pt idx="3">
                  <c:v>3.8424012865205951E-3</c:v>
                </c:pt>
                <c:pt idx="4">
                  <c:v>5.167751295494365E-3</c:v>
                </c:pt>
                <c:pt idx="5">
                  <c:v>6.715849205135997E-3</c:v>
                </c:pt>
                <c:pt idx="6">
                  <c:v>9.043564767115141E-3</c:v>
                </c:pt>
                <c:pt idx="7">
                  <c:v>1.0368914776088912E-2</c:v>
                </c:pt>
                <c:pt idx="8">
                  <c:v>1.3130988744370379E-2</c:v>
                </c:pt>
                <c:pt idx="9">
                  <c:v>1.5269368590781845E-2</c:v>
                </c:pt>
                <c:pt idx="10">
                  <c:v>1.8677411471000112E-2</c:v>
                </c:pt>
                <c:pt idx="11">
                  <c:v>2.1818156870416945E-2</c:v>
                </c:pt>
                <c:pt idx="12">
                  <c:v>2.551577202150343E-2</c:v>
                </c:pt>
                <c:pt idx="13">
                  <c:v>2.7409129177180244E-2</c:v>
                </c:pt>
                <c:pt idx="14">
                  <c:v>3.1206980883567263E-2</c:v>
                </c:pt>
                <c:pt idx="15">
                  <c:v>3.4525924603518388E-2</c:v>
                </c:pt>
                <c:pt idx="16">
                  <c:v>3.6942739325764681E-2</c:v>
                </c:pt>
                <c:pt idx="17">
                  <c:v>3.9949835984780802E-2</c:v>
                </c:pt>
                <c:pt idx="18">
                  <c:v>4.2500299447427795E-2</c:v>
                </c:pt>
                <c:pt idx="19">
                  <c:v>4.5563083081610882E-2</c:v>
                </c:pt>
                <c:pt idx="20">
                  <c:v>4.7590088977688419E-2</c:v>
                </c:pt>
                <c:pt idx="21">
                  <c:v>4.997349151483451E-2</c:v>
                </c:pt>
                <c:pt idx="22">
                  <c:v>5.1766612115210796E-2</c:v>
                </c:pt>
                <c:pt idx="23">
                  <c:v>5.4094327677189948E-2</c:v>
                </c:pt>
                <c:pt idx="24">
                  <c:v>5.5887448277566219E-2</c:v>
                </c:pt>
                <c:pt idx="25">
                  <c:v>5.9306628552817889E-2</c:v>
                </c:pt>
                <c:pt idx="26">
                  <c:v>6.0954963017760051E-2</c:v>
                </c:pt>
                <c:pt idx="27">
                  <c:v>6.287059496350364E-2</c:v>
                </c:pt>
                <c:pt idx="28">
                  <c:v>6.5176035735415999E-2</c:v>
                </c:pt>
                <c:pt idx="29">
                  <c:v>6.7537163482495333E-2</c:v>
                </c:pt>
                <c:pt idx="30">
                  <c:v>6.9352558872938397E-2</c:v>
                </c:pt>
                <c:pt idx="31">
                  <c:v>7.1424114349149484E-2</c:v>
                </c:pt>
                <c:pt idx="32">
                  <c:v>7.4152776132330789E-2</c:v>
                </c:pt>
                <c:pt idx="33">
                  <c:v>7.4731920674067198E-2</c:v>
                </c:pt>
                <c:pt idx="34">
                  <c:v>7.7972902628784591E-2</c:v>
                </c:pt>
                <c:pt idx="35">
                  <c:v>7.9732611044060681E-2</c:v>
                </c:pt>
                <c:pt idx="36">
                  <c:v>8.2015777025906261E-2</c:v>
                </c:pt>
                <c:pt idx="37">
                  <c:v>8.2617196357709477E-2</c:v>
                </c:pt>
                <c:pt idx="38">
                  <c:v>8.3419088800113783E-2</c:v>
                </c:pt>
                <c:pt idx="39">
                  <c:v>8.5590880831625443E-2</c:v>
                </c:pt>
                <c:pt idx="40">
                  <c:v>8.7272627481667781E-2</c:v>
                </c:pt>
                <c:pt idx="41">
                  <c:v>8.8297267824739942E-2</c:v>
                </c:pt>
                <c:pt idx="42">
                  <c:v>9.0947967842687466E-2</c:v>
                </c:pt>
                <c:pt idx="43">
                  <c:v>9.2161943901327301E-2</c:v>
                </c:pt>
                <c:pt idx="44">
                  <c:v>9.3398194750033928E-2</c:v>
                </c:pt>
                <c:pt idx="45">
                  <c:v>9.5024254424909319E-2</c:v>
                </c:pt>
                <c:pt idx="46">
                  <c:v>9.5714772916979662E-2</c:v>
                </c:pt>
                <c:pt idx="47">
                  <c:v>9.7062397716020252E-2</c:v>
                </c:pt>
                <c:pt idx="48">
                  <c:v>9.8265236379626697E-2</c:v>
                </c:pt>
                <c:pt idx="49">
                  <c:v>9.8822106131296356E-2</c:v>
                </c:pt>
                <c:pt idx="50">
                  <c:v>0.10040361622603815</c:v>
                </c:pt>
                <c:pt idx="51">
                  <c:v>0.10102731034790817</c:v>
                </c:pt>
                <c:pt idx="52">
                  <c:v>0.1019183019505796</c:v>
                </c:pt>
                <c:pt idx="53">
                  <c:v>0.10332161372478713</c:v>
                </c:pt>
                <c:pt idx="54">
                  <c:v>0.10518155869536376</c:v>
                </c:pt>
                <c:pt idx="55">
                  <c:v>0.10679648097520576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2.6898046493981208E-3</c:v>
                </c:pt>
                <c:pt idx="1">
                  <c:v>3.4684323110659976E-3</c:v>
                </c:pt>
                <c:pt idx="2">
                  <c:v>4.5301973042494673E-3</c:v>
                </c:pt>
                <c:pt idx="3">
                  <c:v>6.1051487108049456E-3</c:v>
                </c:pt>
                <c:pt idx="4">
                  <c:v>8.2109826139521586E-3</c:v>
                </c:pt>
                <c:pt idx="5">
                  <c:v>1.0670738181493861E-2</c:v>
                </c:pt>
                <c:pt idx="6">
                  <c:v>1.4369219574416277E-2</c:v>
                </c:pt>
                <c:pt idx="7">
                  <c:v>1.6475053477563489E-2</c:v>
                </c:pt>
                <c:pt idx="8">
                  <c:v>2.086368211605516E-2</c:v>
                </c:pt>
                <c:pt idx="9">
                  <c:v>2.4261330094242261E-2</c:v>
                </c:pt>
                <c:pt idx="10">
                  <c:v>2.967633155947795E-2</c:v>
                </c:pt>
                <c:pt idx="11">
                  <c:v>3.4666627027440257E-2</c:v>
                </c:pt>
                <c:pt idx="12">
                  <c:v>4.0541726656388784E-2</c:v>
                </c:pt>
                <c:pt idx="13">
                  <c:v>4.3550060803741943E-2</c:v>
                </c:pt>
                <c:pt idx="14">
                  <c:v>4.9584425181667988E-2</c:v>
                </c:pt>
                <c:pt idx="15">
                  <c:v>5.4857857981145883E-2</c:v>
                </c:pt>
                <c:pt idx="16">
                  <c:v>5.8697908039826101E-2</c:v>
                </c:pt>
                <c:pt idx="17">
                  <c:v>6.3475850509151707E-2</c:v>
                </c:pt>
                <c:pt idx="18">
                  <c:v>6.7528253566468618E-2</c:v>
                </c:pt>
                <c:pt idx="19">
                  <c:v>7.2394676451892834E-2</c:v>
                </c:pt>
                <c:pt idx="20">
                  <c:v>7.5615363597882707E-2</c:v>
                </c:pt>
                <c:pt idx="21">
                  <c:v>7.9402325406903729E-2</c:v>
                </c:pt>
                <c:pt idx="22">
                  <c:v>8.225139480527939E-2</c:v>
                </c:pt>
                <c:pt idx="23">
                  <c:v>8.5949876198201797E-2</c:v>
                </c:pt>
                <c:pt idx="24">
                  <c:v>8.879894559657743E-2</c:v>
                </c:pt>
                <c:pt idx="25">
                  <c:v>9.4231643145032851E-2</c:v>
                </c:pt>
                <c:pt idx="26">
                  <c:v>9.6850663461552078E-2</c:v>
                </c:pt>
                <c:pt idx="27">
                  <c:v>9.9894389775344677E-2</c:v>
                </c:pt>
                <c:pt idx="28">
                  <c:v>0.10355747900182764</c:v>
                </c:pt>
                <c:pt idx="29">
                  <c:v>0.10730904864440925</c:v>
                </c:pt>
                <c:pt idx="30">
                  <c:v>0.11019351020922433</c:v>
                </c:pt>
                <c:pt idx="31">
                  <c:v>0.11348498168809308</c:v>
                </c:pt>
                <c:pt idx="32">
                  <c:v>0.11782052207692559</c:v>
                </c:pt>
                <c:pt idx="33">
                  <c:v>0.11874071840435126</c:v>
                </c:pt>
                <c:pt idx="34">
                  <c:v>0.12389027862129107</c:v>
                </c:pt>
                <c:pt idx="35">
                  <c:v>0.12668625977000755</c:v>
                </c:pt>
                <c:pt idx="36">
                  <c:v>0.13031395683005106</c:v>
                </c:pt>
                <c:pt idx="37">
                  <c:v>0.13126954532391619</c:v>
                </c:pt>
                <c:pt idx="38">
                  <c:v>0.13254366331573633</c:v>
                </c:pt>
                <c:pt idx="39">
                  <c:v>0.13599439954358261</c:v>
                </c:pt>
                <c:pt idx="40">
                  <c:v>0.13866650810976103</c:v>
                </c:pt>
                <c:pt idx="41">
                  <c:v>0.14029454776597569</c:v>
                </c:pt>
                <c:pt idx="42">
                  <c:v>0.14450621557227009</c:v>
                </c:pt>
                <c:pt idx="43">
                  <c:v>0.14643508864322005</c:v>
                </c:pt>
                <c:pt idx="44">
                  <c:v>0.14839935388060946</c:v>
                </c:pt>
                <c:pt idx="45">
                  <c:v>0.15098298203068924</c:v>
                </c:pt>
                <c:pt idx="46">
                  <c:v>0.15208013919031219</c:v>
                </c:pt>
                <c:pt idx="47">
                  <c:v>0.15422136525989882</c:v>
                </c:pt>
                <c:pt idx="48">
                  <c:v>0.15613254224762907</c:v>
                </c:pt>
                <c:pt idx="49">
                  <c:v>0.15701734640861531</c:v>
                </c:pt>
                <c:pt idx="50">
                  <c:v>0.15953019022581619</c:v>
                </c:pt>
                <c:pt idx="51">
                  <c:v>0.16052117088612075</c:v>
                </c:pt>
                <c:pt idx="52">
                  <c:v>0.16193685754369869</c:v>
                </c:pt>
                <c:pt idx="53">
                  <c:v>0.16416656402938398</c:v>
                </c:pt>
                <c:pt idx="54">
                  <c:v>0.16712180992707798</c:v>
                </c:pt>
                <c:pt idx="55">
                  <c:v>0.16968774199393802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compute!$Q$5:$Q$10042</c:f>
              <c:numCache>
                <c:formatCode>0</c:formatCode>
                <c:ptCount val="10038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compute!$R$5:$R$10042</c:f>
              <c:numCache>
                <c:formatCode>0</c:formatCode>
                <c:ptCount val="10038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layout>
                <c:manualLayout>
                  <c:x val="-0.11623931623931637"/>
                  <c:y val="-5.7627118644067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compute!$S$5:$S$10042</c:f>
              <c:numCache>
                <c:formatCode>0</c:formatCode>
                <c:ptCount val="10038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2.6898046493981208E-3</c:v>
                </c:pt>
                <c:pt idx="1">
                  <c:v>3.4684323110659976E-3</c:v>
                </c:pt>
                <c:pt idx="2">
                  <c:v>4.5301973042494673E-3</c:v>
                </c:pt>
                <c:pt idx="3">
                  <c:v>6.1051487108049456E-3</c:v>
                </c:pt>
                <c:pt idx="4">
                  <c:v>8.2109826139521586E-3</c:v>
                </c:pt>
                <c:pt idx="5">
                  <c:v>1.0670738181493861E-2</c:v>
                </c:pt>
                <c:pt idx="6">
                  <c:v>1.4369219574416277E-2</c:v>
                </c:pt>
                <c:pt idx="7">
                  <c:v>1.6475053477563489E-2</c:v>
                </c:pt>
                <c:pt idx="8">
                  <c:v>2.086368211605516E-2</c:v>
                </c:pt>
                <c:pt idx="9">
                  <c:v>2.4261330094242261E-2</c:v>
                </c:pt>
                <c:pt idx="10">
                  <c:v>2.967633155947795E-2</c:v>
                </c:pt>
                <c:pt idx="11">
                  <c:v>3.4666627027440257E-2</c:v>
                </c:pt>
                <c:pt idx="12">
                  <c:v>4.0541726656388784E-2</c:v>
                </c:pt>
                <c:pt idx="13">
                  <c:v>4.3550060803741943E-2</c:v>
                </c:pt>
                <c:pt idx="14">
                  <c:v>4.9584425181667988E-2</c:v>
                </c:pt>
                <c:pt idx="15">
                  <c:v>5.4857857981145883E-2</c:v>
                </c:pt>
                <c:pt idx="16">
                  <c:v>5.8697908039826101E-2</c:v>
                </c:pt>
                <c:pt idx="17">
                  <c:v>6.3475850509151707E-2</c:v>
                </c:pt>
                <c:pt idx="18">
                  <c:v>6.7528253566468618E-2</c:v>
                </c:pt>
                <c:pt idx="19">
                  <c:v>7.2394676451892834E-2</c:v>
                </c:pt>
                <c:pt idx="20">
                  <c:v>7.5615363597882707E-2</c:v>
                </c:pt>
                <c:pt idx="21">
                  <c:v>7.9402325406903729E-2</c:v>
                </c:pt>
                <c:pt idx="22">
                  <c:v>8.225139480527939E-2</c:v>
                </c:pt>
                <c:pt idx="23">
                  <c:v>8.5949876198201797E-2</c:v>
                </c:pt>
                <c:pt idx="24">
                  <c:v>8.879894559657743E-2</c:v>
                </c:pt>
                <c:pt idx="25">
                  <c:v>9.4231643145032851E-2</c:v>
                </c:pt>
                <c:pt idx="26">
                  <c:v>9.6850663461552078E-2</c:v>
                </c:pt>
                <c:pt idx="27">
                  <c:v>9.9894389775344677E-2</c:v>
                </c:pt>
                <c:pt idx="28">
                  <c:v>0.10355747900182764</c:v>
                </c:pt>
                <c:pt idx="29">
                  <c:v>0.10730904864440925</c:v>
                </c:pt>
                <c:pt idx="30">
                  <c:v>0.11019351020922433</c:v>
                </c:pt>
                <c:pt idx="31">
                  <c:v>0.11348498168809308</c:v>
                </c:pt>
                <c:pt idx="32">
                  <c:v>0.11782052207692559</c:v>
                </c:pt>
                <c:pt idx="33">
                  <c:v>0.11874071840435126</c:v>
                </c:pt>
                <c:pt idx="34">
                  <c:v>0.12389027862129107</c:v>
                </c:pt>
                <c:pt idx="35">
                  <c:v>0.12668625977000755</c:v>
                </c:pt>
                <c:pt idx="36">
                  <c:v>0.13031395683005106</c:v>
                </c:pt>
                <c:pt idx="37">
                  <c:v>0.13126954532391619</c:v>
                </c:pt>
                <c:pt idx="38">
                  <c:v>0.13254366331573633</c:v>
                </c:pt>
                <c:pt idx="39">
                  <c:v>0.13599439954358261</c:v>
                </c:pt>
                <c:pt idx="40">
                  <c:v>0.13866650810976103</c:v>
                </c:pt>
                <c:pt idx="41">
                  <c:v>0.14029454776597569</c:v>
                </c:pt>
                <c:pt idx="42">
                  <c:v>0.14450621557227009</c:v>
                </c:pt>
                <c:pt idx="43">
                  <c:v>0.14643508864322005</c:v>
                </c:pt>
                <c:pt idx="44">
                  <c:v>0.14839935388060946</c:v>
                </c:pt>
                <c:pt idx="45">
                  <c:v>0.15098298203068924</c:v>
                </c:pt>
                <c:pt idx="46">
                  <c:v>0.15208013919031219</c:v>
                </c:pt>
                <c:pt idx="47">
                  <c:v>0.15422136525989882</c:v>
                </c:pt>
                <c:pt idx="48">
                  <c:v>0.15613254224762907</c:v>
                </c:pt>
                <c:pt idx="49">
                  <c:v>0.15701734640861531</c:v>
                </c:pt>
                <c:pt idx="50">
                  <c:v>0.15953019022581619</c:v>
                </c:pt>
                <c:pt idx="51">
                  <c:v>0.16052117088612075</c:v>
                </c:pt>
                <c:pt idx="52">
                  <c:v>0.16193685754369869</c:v>
                </c:pt>
                <c:pt idx="53">
                  <c:v>0.16416656402938398</c:v>
                </c:pt>
                <c:pt idx="54">
                  <c:v>0.16712180992707798</c:v>
                </c:pt>
                <c:pt idx="55">
                  <c:v>0.16968774199393802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4 - 10</c:v>
                </c:pt>
                <c:pt idx="1">
                  <c:v>May 11 - 17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895</c:v>
                </c:pt>
                <c:pt idx="1">
                  <c:v>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17,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0.2773</cdr:x>
      <cdr:y>0.2845</cdr:y>
    </cdr:from>
    <cdr:to>
      <cdr:x>0.78069</cdr:x>
      <cdr:y>0.4322</cdr:y>
    </cdr:to>
    <cdr:sp macro="" textlink="compute!$V$7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60214" y="2131770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0.71309</cdr:x>
      <cdr:y>0.79667</cdr:y>
    </cdr:from>
    <cdr:to>
      <cdr:x>0.83978</cdr:x>
      <cdr:y>0.82881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302299" y="6016456"/>
          <a:ext cx="942022" cy="2427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1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1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0" totalsRowShown="0" headerRowDxfId="23" dataDxfId="22" headerRowCellStyle="Heading 3">
  <autoFilter ref="A4:V60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K30" sqref="K30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tabSelected="1" zoomScaleNormal="100" workbookViewId="0">
      <selection activeCell="O33" sqref="O33"/>
    </sheetView>
  </sheetViews>
  <sheetFormatPr baseColWidth="10" defaultRowHeight="16" x14ac:dyDescent="0.2"/>
  <cols>
    <col min="12" max="12" width="16.1640625" customWidth="1"/>
  </cols>
  <sheetData>
    <row r="7" spans="12:13" x14ac:dyDescent="0.2">
      <c r="L7" s="33" t="s">
        <v>63</v>
      </c>
      <c r="M7">
        <f>compute!B53-compute!B46</f>
        <v>895</v>
      </c>
    </row>
    <row r="8" spans="12:13" x14ac:dyDescent="0.2">
      <c r="L8" s="33" t="s">
        <v>64</v>
      </c>
      <c r="M8">
        <f>compute!B60-compute!B53</f>
        <v>766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9589</v>
      </c>
      <c r="D6" s="24"/>
      <c r="E6" s="17"/>
      <c r="F6" s="18"/>
      <c r="G6" s="82">
        <f ca="1">compute!U12</f>
        <v>79908.333333333328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compute!V73</f>
        <v>doubing in 45.5 days</v>
      </c>
      <c r="D8" s="44"/>
      <c r="E8" s="43"/>
      <c r="F8" s="46"/>
      <c r="G8" s="47" t="str">
        <f ca="1">compute!V75</f>
        <v>+1.5%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0.16968774199393802</v>
      </c>
      <c r="D14" s="18"/>
      <c r="E14" s="17"/>
      <c r="F14" s="18"/>
      <c r="G14" s="19">
        <f ca="1">compute!U18</f>
        <v>8.4188251419036693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7"/>
  <sheetViews>
    <sheetView topLeftCell="A33" workbookViewId="0">
      <selection sqref="A1:B60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9" t="s">
        <v>40</v>
      </c>
      <c r="B1" s="9" t="s">
        <v>44</v>
      </c>
      <c r="C1" s="71"/>
    </row>
    <row r="2" spans="1:24" ht="17" x14ac:dyDescent="0.2">
      <c r="A2" s="9" t="s">
        <v>41</v>
      </c>
      <c r="B2" s="57">
        <v>470914</v>
      </c>
      <c r="C2" s="72"/>
    </row>
    <row r="3" spans="1:24" x14ac:dyDescent="0.2">
      <c r="A3" s="9" t="s">
        <v>43</v>
      </c>
      <c r="B3" s="12" t="s">
        <v>35</v>
      </c>
      <c r="C3" s="71"/>
    </row>
    <row r="4" spans="1:24" s="2" customFormat="1" ht="81" customHeight="1" thickBot="1" x14ac:dyDescent="0.25">
      <c r="A4" s="62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1266.6666666666667</v>
      </c>
      <c r="G5" s="56">
        <f>Table2[[#This Row],[cases]]*100/$T$13</f>
        <v>584.61538461538464</v>
      </c>
      <c r="H5" s="56">
        <f>Table2[[#This Row],[cases]]*100/$T$16</f>
        <v>1381.8181818181818</v>
      </c>
      <c r="I5" s="56">
        <f>Table2[[#This Row],[infection count, high end of estimate range]]-Table2[[#This Row],[infection count, low end of estimate range]]</f>
        <v>797.20279720279711</v>
      </c>
      <c r="J5" s="56">
        <f>(Table2[[#This Row],[infection count, low end of estimate range]]+Table2[[#This Row],[infection count, high end of estimate range]])/2</f>
        <v>983.21678321678314</v>
      </c>
      <c r="K5" s="26">
        <f>Table2[[#This Row],[estimated infections]]/$T$6</f>
        <v>2.6898046493981208E-3</v>
      </c>
      <c r="L5" s="26">
        <f>Table2[[#This Row],[infection count, low end of estimate range]]/$T$6</f>
        <v>1.2414482997222098E-3</v>
      </c>
      <c r="M5" s="26">
        <f>Table2[[#This Row],[infection count, high end of estimate range]]/$T$6</f>
        <v>2.9343323447979497E-3</v>
      </c>
      <c r="N5" s="14">
        <f>Table2[[#This Row],[infection percentage, high end of estimate range]]-Table2[[#This Row],[infection percentage, low end of estimate range]]</f>
        <v>1.69288404507574E-3</v>
      </c>
      <c r="O5" s="26">
        <f>(Table2[[#This Row],[infection percentage, low end of estimate range]]+Table2[[#This Row],[infection percentage, high end of estimate range]])/2</f>
        <v>2.08789032226008E-3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1633.3333333333333</v>
      </c>
      <c r="G6" s="56">
        <f>Table2[[#This Row],[cases]]*100/$T$13</f>
        <v>753.84615384615381</v>
      </c>
      <c r="H6" s="56">
        <f>Table2[[#This Row],[cases]]*100/$T$16</f>
        <v>1781.8181818181818</v>
      </c>
      <c r="I6" s="56">
        <f>Table2[[#This Row],[infection count, high end of estimate range]]-Table2[[#This Row],[infection count, low end of estimate range]]</f>
        <v>1027.9720279720279</v>
      </c>
      <c r="J6" s="56">
        <f>(Table2[[#This Row],[infection count, low end of estimate range]]+Table2[[#This Row],[infection count, high end of estimate range]])/2</f>
        <v>1267.8321678321677</v>
      </c>
      <c r="K6" s="26">
        <f>Table2[[#This Row],[estimated infections]]/$T$6</f>
        <v>3.4684323110659976E-3</v>
      </c>
      <c r="L6" s="26">
        <f>Table2[[#This Row],[infection count, low end of estimate range]]/$T$6</f>
        <v>1.6008149127996912E-3</v>
      </c>
      <c r="M6" s="26">
        <f>Table2[[#This Row],[infection count, high end of estimate range]]/$T$6</f>
        <v>3.783744339344725E-3</v>
      </c>
      <c r="N6" s="14">
        <f>Table2[[#This Row],[infection percentage, high end of estimate range]]-Table2[[#This Row],[infection percentage, low end of estimate range]]</f>
        <v>2.1829294265450338E-3</v>
      </c>
      <c r="O6" s="26">
        <f>(Table2[[#This Row],[infection percentage, low end of estimate range]]+Table2[[#This Row],[infection percentage, high end of estimate range]])/2</f>
        <v>2.6922796260722081E-3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OFFSET(compute!A5,COUNTA(compute!A5:A10038)-1,0)</f>
        <v>43968</v>
      </c>
      <c r="V6" s="3"/>
      <c r="X6" t="str">
        <f>"Number of Confirmed COVID-19 Cases " &amp; B1</f>
        <v>Number of Confirmed COVID-19 Cases Miami</v>
      </c>
    </row>
    <row r="7" spans="1:24" x14ac:dyDescent="0.2">
      <c r="A7" s="8">
        <v>43915</v>
      </c>
      <c r="B7" s="9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2133.3333333333335</v>
      </c>
      <c r="G7" s="56">
        <f>Table2[[#This Row],[cases]]*100/$T$13</f>
        <v>984.61538461538464</v>
      </c>
      <c r="H7" s="56">
        <f>Table2[[#This Row],[cases]]*100/$T$16</f>
        <v>2327.2727272727275</v>
      </c>
      <c r="I7" s="56">
        <f>Table2[[#This Row],[infection count, high end of estimate range]]-Table2[[#This Row],[infection count, low end of estimate range]]</f>
        <v>1342.6573426573427</v>
      </c>
      <c r="J7" s="56">
        <f>(Table2[[#This Row],[infection count, low end of estimate range]]+Table2[[#This Row],[infection count, high end of estimate range]])/2</f>
        <v>1655.9440559440561</v>
      </c>
      <c r="K7" s="26">
        <f>Table2[[#This Row],[estimated infections]]/$T$6</f>
        <v>4.5301973042494673E-3</v>
      </c>
      <c r="L7" s="26">
        <f>Table2[[#This Row],[infection count, low end of estimate range]]/$T$6</f>
        <v>2.0908602942689846E-3</v>
      </c>
      <c r="M7" s="26">
        <f>Table2[[#This Row],[infection count, high end of estimate range]]/$T$6</f>
        <v>4.9420334228176006E-3</v>
      </c>
      <c r="N7" s="14">
        <f>Table2[[#This Row],[infection percentage, high end of estimate range]]-Table2[[#This Row],[infection percentage, low end of estimate range]]</f>
        <v>2.851173128548616E-3</v>
      </c>
      <c r="O7" s="26">
        <f>(Table2[[#This Row],[infection percentage, low end of estimate range]]+Table2[[#This Row],[infection percentage, high end of estimate range]])/2</f>
        <v>3.5164468585432923E-3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 x14ac:dyDescent="0.2">
      <c r="A8" s="8">
        <v>43916</v>
      </c>
      <c r="B8" s="9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2875</v>
      </c>
      <c r="G8" s="56">
        <f>Table2[[#This Row],[cases]]*100/$T$13</f>
        <v>1326.9230769230769</v>
      </c>
      <c r="H8" s="56">
        <f>Table2[[#This Row],[cases]]*100/$T$16</f>
        <v>3136.3636363636365</v>
      </c>
      <c r="I8" s="56">
        <f>Table2[[#This Row],[infection count, high end of estimate range]]-Table2[[#This Row],[infection count, low end of estimate range]]</f>
        <v>1809.4405594405596</v>
      </c>
      <c r="J8" s="56">
        <f>(Table2[[#This Row],[infection count, low end of estimate range]]+Table2[[#This Row],[infection count, high end of estimate range]])/2</f>
        <v>2231.6433566433566</v>
      </c>
      <c r="K8" s="26">
        <f>Table2[[#This Row],[estimated infections]]/$T$6</f>
        <v>6.1051487108049456E-3</v>
      </c>
      <c r="L8" s="26">
        <f>Table2[[#This Row],[infection count, low end of estimate range]]/$T$6</f>
        <v>2.8177609434484364E-3</v>
      </c>
      <c r="M8" s="26">
        <f>Table2[[#This Row],[infection count, high end of estimate range]]/$T$6</f>
        <v>6.6601622299690315E-3</v>
      </c>
      <c r="N8" s="14">
        <f>Table2[[#This Row],[infection percentage, high end of estimate range]]-Table2[[#This Row],[infection percentage, low end of estimate range]]</f>
        <v>3.8424012865205951E-3</v>
      </c>
      <c r="O8" s="26">
        <f>(Table2[[#This Row],[infection percentage, low end of estimate range]]+Table2[[#This Row],[infection percentage, high end of estimate range]])/2</f>
        <v>4.7389615867087335E-3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3866.6666666666665</v>
      </c>
      <c r="G9" s="56">
        <f>Table2[[#This Row],[cases]]*100/$T$13</f>
        <v>1784.6153846153845</v>
      </c>
      <c r="H9" s="56">
        <f>Table2[[#This Row],[cases]]*100/$T$16</f>
        <v>4218.181818181818</v>
      </c>
      <c r="I9" s="56">
        <f>Table2[[#This Row],[infection count, high end of estimate range]]-Table2[[#This Row],[infection count, low end of estimate range]]</f>
        <v>2433.5664335664333</v>
      </c>
      <c r="J9" s="56">
        <f>(Table2[[#This Row],[infection count, low end of estimate range]]+Table2[[#This Row],[infection count, high end of estimate range]])/2</f>
        <v>3001.3986013986014</v>
      </c>
      <c r="K9" s="26">
        <f>Table2[[#This Row],[estimated infections]]/$T$6</f>
        <v>8.2109826139521586E-3</v>
      </c>
      <c r="L9" s="26">
        <f>Table2[[#This Row],[infection count, low end of estimate range]]/$T$6</f>
        <v>3.7896842833625346E-3</v>
      </c>
      <c r="M9" s="26">
        <f>Table2[[#This Row],[infection count, high end of estimate range]]/$T$6</f>
        <v>8.9574355788568996E-3</v>
      </c>
      <c r="N9" s="14">
        <f>Table2[[#This Row],[infection percentage, high end of estimate range]]-Table2[[#This Row],[infection percentage, low end of estimate range]]</f>
        <v>5.167751295494365E-3</v>
      </c>
      <c r="O9" s="26">
        <f>(Table2[[#This Row],[infection percentage, low end of estimate range]]+Table2[[#This Row],[infection percentage, high end of estimate range]])/2</f>
        <v>6.3735599311097171E-3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OFFSET(compute!B4,COUNTA(compute!B4:B10038)-1,0)</f>
        <v>9589</v>
      </c>
      <c r="V9" s="3"/>
    </row>
    <row r="10" spans="1:24" x14ac:dyDescent="0.2">
      <c r="A10" s="8">
        <v>43918</v>
      </c>
      <c r="B10" s="9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5025</v>
      </c>
      <c r="G10" s="56">
        <f>Table2[[#This Row],[cases]]*100/$T$13</f>
        <v>2319.2307692307691</v>
      </c>
      <c r="H10" s="56">
        <f>Table2[[#This Row],[cases]]*100/$T$16</f>
        <v>5481.818181818182</v>
      </c>
      <c r="I10" s="56">
        <f>Table2[[#This Row],[infection count, high end of estimate range]]-Table2[[#This Row],[infection count, low end of estimate range]]</f>
        <v>3162.5874125874129</v>
      </c>
      <c r="J10" s="56">
        <f>(Table2[[#This Row],[infection count, low end of estimate range]]+Table2[[#This Row],[infection count, high end of estimate range]])/2</f>
        <v>3900.5244755244757</v>
      </c>
      <c r="K10" s="26">
        <f>Table2[[#This Row],[estimated infections]]/$T$6</f>
        <v>1.0670738181493861E-2</v>
      </c>
      <c r="L10" s="26">
        <f>Table2[[#This Row],[infection count, low end of estimate range]]/$T$6</f>
        <v>4.9249560837663969E-3</v>
      </c>
      <c r="M10" s="26">
        <f>Table2[[#This Row],[infection count, high end of estimate range]]/$T$6</f>
        <v>1.1640805288902394E-2</v>
      </c>
      <c r="N10" s="14">
        <f>Table2[[#This Row],[infection percentage, high end of estimate range]]-Table2[[#This Row],[infection percentage, low end of estimate range]]</f>
        <v>6.715849205135997E-3</v>
      </c>
      <c r="O10" s="26">
        <f>(Table2[[#This Row],[infection percentage, low end of estimate range]]+Table2[[#This Row],[infection percentage, high end of estimate range]])/2</f>
        <v>8.282880686334395E-3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 x14ac:dyDescent="0.2">
      <c r="A11" s="8">
        <v>43919</v>
      </c>
      <c r="B11" s="9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6766.666666666667</v>
      </c>
      <c r="G11" s="56">
        <f>Table2[[#This Row],[cases]]*100/$T$13</f>
        <v>3123.0769230769229</v>
      </c>
      <c r="H11" s="56">
        <f>Table2[[#This Row],[cases]]*100/$T$16</f>
        <v>7381.818181818182</v>
      </c>
      <c r="I11" s="56">
        <f>Table2[[#This Row],[infection count, high end of estimate range]]-Table2[[#This Row],[infection count, low end of estimate range]]</f>
        <v>4258.7412587412591</v>
      </c>
      <c r="J11" s="56">
        <f>(Table2[[#This Row],[infection count, low end of estimate range]]+Table2[[#This Row],[infection count, high end of estimate range]])/2</f>
        <v>5252.4475524475529</v>
      </c>
      <c r="K11" s="26">
        <f>Table2[[#This Row],[estimated infections]]/$T$6</f>
        <v>1.4369219574416277E-2</v>
      </c>
      <c r="L11" s="26">
        <f>Table2[[#This Row],[infection count, low end of estimate range]]/$T$6</f>
        <v>6.6319474958844351E-3</v>
      </c>
      <c r="M11" s="26">
        <f>Table2[[#This Row],[infection count, high end of estimate range]]/$T$6</f>
        <v>1.5675512262999576E-2</v>
      </c>
      <c r="N11" s="14">
        <f>Table2[[#This Row],[infection percentage, high end of estimate range]]-Table2[[#This Row],[infection percentage, low end of estimate range]]</f>
        <v>9.043564767115141E-3</v>
      </c>
      <c r="O11" s="26">
        <f>(Table2[[#This Row],[infection percentage, low end of estimate range]]+Table2[[#This Row],[infection percentage, high end of estimate range]])/2</f>
        <v>1.1153729879442006E-2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7758.333333333333</v>
      </c>
      <c r="G12" s="56">
        <f>Table2[[#This Row],[cases]]*100/$T$13</f>
        <v>3580.7692307692309</v>
      </c>
      <c r="H12" s="56">
        <f>Table2[[#This Row],[cases]]*100/$T$16</f>
        <v>8463.636363636364</v>
      </c>
      <c r="I12" s="56">
        <f>Table2[[#This Row],[infection count, high end of estimate range]]-Table2[[#This Row],[infection count, low end of estimate range]]</f>
        <v>4882.8671328671335</v>
      </c>
      <c r="J12" s="56">
        <f>(Table2[[#This Row],[infection count, low end of estimate range]]+Table2[[#This Row],[infection count, high end of estimate range]])/2</f>
        <v>6022.2027972027972</v>
      </c>
      <c r="K12" s="26">
        <f>Table2[[#This Row],[estimated infections]]/$T$6</f>
        <v>1.6475053477563489E-2</v>
      </c>
      <c r="L12" s="26">
        <f>Table2[[#This Row],[infection count, low end of estimate range]]/$T$6</f>
        <v>7.6038708357985341E-3</v>
      </c>
      <c r="M12" s="26">
        <f>Table2[[#This Row],[infection count, high end of estimate range]]/$T$6</f>
        <v>1.7972785611887445E-2</v>
      </c>
      <c r="N12" s="14">
        <f>Table2[[#This Row],[infection percentage, high end of estimate range]]-Table2[[#This Row],[infection percentage, low end of estimate range]]</f>
        <v>1.0368914776088912E-2</v>
      </c>
      <c r="O12" s="26">
        <f>(Table2[[#This Row],[infection percentage, low end of estimate range]]+Table2[[#This Row],[infection percentage, high end of estimate range]])/2</f>
        <v>1.2788328223842989E-2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79908.333333333328</v>
      </c>
      <c r="V12" s="3"/>
    </row>
    <row r="13" spans="1:24" x14ac:dyDescent="0.2">
      <c r="A13" s="8">
        <v>43921</v>
      </c>
      <c r="B13" s="56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9825</v>
      </c>
      <c r="G13" s="56">
        <f>Table2[[#This Row],[cases]]*100/$T$13</f>
        <v>4534.6153846153848</v>
      </c>
      <c r="H13" s="56">
        <f>Table2[[#This Row],[cases]]*100/$T$16</f>
        <v>10718.181818181818</v>
      </c>
      <c r="I13" s="56">
        <f>Table2[[#This Row],[infection count, high end of estimate range]]-Table2[[#This Row],[infection count, low end of estimate range]]</f>
        <v>6183.5664335664333</v>
      </c>
      <c r="J13" s="56">
        <f>(Table2[[#This Row],[infection count, low end of estimate range]]+Table2[[#This Row],[infection count, high end of estimate range]])/2</f>
        <v>7626.3986013986014</v>
      </c>
      <c r="K13" s="26">
        <f>Table2[[#This Row],[estimated infections]]/$T$6</f>
        <v>2.086368211605516E-2</v>
      </c>
      <c r="L13" s="26">
        <f>Table2[[#This Row],[infection count, low end of estimate range]]/$T$6</f>
        <v>9.6293917458716138E-3</v>
      </c>
      <c r="M13" s="26">
        <f>Table2[[#This Row],[infection count, high end of estimate range]]/$T$6</f>
        <v>2.2760380490241993E-2</v>
      </c>
      <c r="N13" s="14">
        <f>Table2[[#This Row],[infection percentage, high end of estimate range]]-Table2[[#This Row],[infection percentage, low end of estimate range]]</f>
        <v>1.3130988744370379E-2</v>
      </c>
      <c r="O13" s="26">
        <f>(Table2[[#This Row],[infection percentage, low end of estimate range]]+Table2[[#This Row],[infection percentage, high end of estimate range]])/2</f>
        <v>1.6194886118056803E-2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26</v>
      </c>
      <c r="V13" s="3"/>
    </row>
    <row r="14" spans="1:24" x14ac:dyDescent="0.2">
      <c r="A14" s="8">
        <v>43922</v>
      </c>
      <c r="B14" s="56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11425</v>
      </c>
      <c r="G14" s="56">
        <f>Table2[[#This Row],[cases]]*100/$T$13</f>
        <v>5273.0769230769229</v>
      </c>
      <c r="H14" s="56">
        <f>Table2[[#This Row],[cases]]*100/$T$16</f>
        <v>12463.636363636364</v>
      </c>
      <c r="I14" s="56">
        <f>Table2[[#This Row],[infection count, high end of estimate range]]-Table2[[#This Row],[infection count, low end of estimate range]]</f>
        <v>7190.5594405594411</v>
      </c>
      <c r="J14" s="56">
        <f>(Table2[[#This Row],[infection count, low end of estimate range]]+Table2[[#This Row],[infection count, high end of estimate range]])/2</f>
        <v>8868.356643356643</v>
      </c>
      <c r="K14" s="26">
        <f>Table2[[#This Row],[estimated infections]]/$T$6</f>
        <v>2.4261330094242261E-2</v>
      </c>
      <c r="L14" s="26">
        <f>Table2[[#This Row],[infection count, low end of estimate range]]/$T$6</f>
        <v>1.119753696657335E-2</v>
      </c>
      <c r="M14" s="26">
        <f>Table2[[#This Row],[infection count, high end of estimate range]]/$T$6</f>
        <v>2.6466905557355196E-2</v>
      </c>
      <c r="N14" s="14">
        <f>Table2[[#This Row],[infection percentage, high end of estimate range]]-Table2[[#This Row],[infection percentage, low end of estimate range]]</f>
        <v>1.5269368590781845E-2</v>
      </c>
      <c r="O14" s="26">
        <f>(Table2[[#This Row],[infection percentage, low end of estimate range]]+Table2[[#This Row],[infection percentage, high end of estimate range]])/2</f>
        <v>1.8832221261964273E-2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 x14ac:dyDescent="0.2">
      <c r="A15" s="8">
        <v>43923</v>
      </c>
      <c r="B15" s="56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13975</v>
      </c>
      <c r="G15" s="56">
        <f>Table2[[#This Row],[cases]]*100/$T$13</f>
        <v>6450</v>
      </c>
      <c r="H15" s="56">
        <f>Table2[[#This Row],[cases]]*100/$T$16</f>
        <v>15245.454545454546</v>
      </c>
      <c r="I15" s="56">
        <f>Table2[[#This Row],[infection count, high end of estimate range]]-Table2[[#This Row],[infection count, low end of estimate range]]</f>
        <v>8795.454545454546</v>
      </c>
      <c r="J15" s="56">
        <f>(Table2[[#This Row],[infection count, low end of estimate range]]+Table2[[#This Row],[infection count, high end of estimate range]])/2</f>
        <v>10847.727272727272</v>
      </c>
      <c r="K15" s="26">
        <f>Table2[[#This Row],[estimated infections]]/$T$6</f>
        <v>2.967633155947795E-2</v>
      </c>
      <c r="L15" s="26">
        <f>Table2[[#This Row],[infection count, low end of estimate range]]/$T$6</f>
        <v>1.3696768412066747E-2</v>
      </c>
      <c r="M15" s="26">
        <f>Table2[[#This Row],[infection count, high end of estimate range]]/$T$6</f>
        <v>3.2374179883066859E-2</v>
      </c>
      <c r="N15" s="14">
        <f>Table2[[#This Row],[infection percentage, high end of estimate range]]-Table2[[#This Row],[infection percentage, low end of estimate range]]</f>
        <v>1.8677411471000112E-2</v>
      </c>
      <c r="O15" s="26">
        <f>(Table2[[#This Row],[infection percentage, low end of estimate range]]+Table2[[#This Row],[infection percentage, high end of estimate range]])/2</f>
        <v>2.3035474147566803E-2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0.16968774199393802</v>
      </c>
      <c r="V15" s="3"/>
    </row>
    <row r="16" spans="1:24" x14ac:dyDescent="0.2">
      <c r="A16" s="8">
        <v>43924</v>
      </c>
      <c r="B16" s="56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16325</v>
      </c>
      <c r="G16" s="56">
        <f>Table2[[#This Row],[cases]]*100/$T$13</f>
        <v>7534.6153846153848</v>
      </c>
      <c r="H16" s="56">
        <f>Table2[[#This Row],[cases]]*100/$T$16</f>
        <v>17809.090909090908</v>
      </c>
      <c r="I16" s="56">
        <f>Table2[[#This Row],[infection count, high end of estimate range]]-Table2[[#This Row],[infection count, low end of estimate range]]</f>
        <v>10274.475524475523</v>
      </c>
      <c r="J16" s="56">
        <f>(Table2[[#This Row],[infection count, low end of estimate range]]+Table2[[#This Row],[infection count, high end of estimate range]])/2</f>
        <v>12671.853146853147</v>
      </c>
      <c r="K16" s="26">
        <f>Table2[[#This Row],[estimated infections]]/$T$6</f>
        <v>3.4666627027440257E-2</v>
      </c>
      <c r="L16" s="26">
        <f>Table2[[#This Row],[infection count, low end of estimate range]]/$T$6</f>
        <v>1.5999981704972424E-2</v>
      </c>
      <c r="M16" s="26">
        <f>Table2[[#This Row],[infection count, high end of estimate range]]/$T$6</f>
        <v>3.7818138575389369E-2</v>
      </c>
      <c r="N16" s="14">
        <f>Table2[[#This Row],[infection percentage, high end of estimate range]]-Table2[[#This Row],[infection percentage, low end of estimate range]]</f>
        <v>2.1818156870416945E-2</v>
      </c>
      <c r="O16" s="26">
        <f>(Table2[[#This Row],[infection percentage, low end of estimate range]]+Table2[[#This Row],[infection percentage, high end of estimate range]])/2</f>
        <v>2.6909060140180897E-2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11</v>
      </c>
      <c r="V16" s="3"/>
    </row>
    <row r="17" spans="1:22" x14ac:dyDescent="0.2">
      <c r="A17" s="8">
        <v>43925</v>
      </c>
      <c r="B17" s="56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19091.666666666668</v>
      </c>
      <c r="G17" s="56">
        <f>Table2[[#This Row],[cases]]*100/$T$13</f>
        <v>8811.538461538461</v>
      </c>
      <c r="H17" s="56">
        <f>Table2[[#This Row],[cases]]*100/$T$16</f>
        <v>20827.272727272728</v>
      </c>
      <c r="I17" s="56">
        <f>Table2[[#This Row],[infection count, high end of estimate range]]-Table2[[#This Row],[infection count, low end of estimate range]]</f>
        <v>12015.734265734267</v>
      </c>
      <c r="J17" s="56">
        <f>(Table2[[#This Row],[infection count, low end of estimate range]]+Table2[[#This Row],[infection count, high end of estimate range]])/2</f>
        <v>14819.405594405594</v>
      </c>
      <c r="K17" s="26">
        <f>Table2[[#This Row],[estimated infections]]/$T$6</f>
        <v>4.0541726656388784E-2</v>
      </c>
      <c r="L17" s="26">
        <f>Table2[[#This Row],[infection count, low end of estimate range]]/$T$6</f>
        <v>1.8711566149102514E-2</v>
      </c>
      <c r="M17" s="26">
        <f>Table2[[#This Row],[infection count, high end of estimate range]]/$T$6</f>
        <v>4.4227338170605944E-2</v>
      </c>
      <c r="N17" s="14">
        <f>Table2[[#This Row],[infection percentage, high end of estimate range]]-Table2[[#This Row],[infection percentage, low end of estimate range]]</f>
        <v>2.551577202150343E-2</v>
      </c>
      <c r="O17" s="26">
        <f>(Table2[[#This Row],[infection percentage, low end of estimate range]]+Table2[[#This Row],[infection percentage, high end of estimate range]])/2</f>
        <v>3.1469452159854229E-2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 x14ac:dyDescent="0.2">
      <c r="A18" s="8">
        <v>43926</v>
      </c>
      <c r="B18" s="56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20508.333333333332</v>
      </c>
      <c r="G18" s="56">
        <f>Table2[[#This Row],[cases]]*100/$T$13</f>
        <v>9465.3846153846152</v>
      </c>
      <c r="H18" s="56">
        <f>Table2[[#This Row],[cases]]*100/$T$16</f>
        <v>22372.727272727272</v>
      </c>
      <c r="I18" s="56">
        <f>Table2[[#This Row],[infection count, high end of estimate range]]-Table2[[#This Row],[infection count, low end of estimate range]]</f>
        <v>12907.342657342657</v>
      </c>
      <c r="J18" s="56">
        <f>(Table2[[#This Row],[infection count, low end of estimate range]]+Table2[[#This Row],[infection count, high end of estimate range]])/2</f>
        <v>15919.055944055945</v>
      </c>
      <c r="K18" s="26">
        <f>Table2[[#This Row],[estimated infections]]/$T$6</f>
        <v>4.3550060803741943E-2</v>
      </c>
      <c r="L18" s="26">
        <f>Table2[[#This Row],[infection count, low end of estimate range]]/$T$6</f>
        <v>2.0100028063265513E-2</v>
      </c>
      <c r="M18" s="26">
        <f>Table2[[#This Row],[infection count, high end of estimate range]]/$T$6</f>
        <v>4.7509157240445757E-2</v>
      </c>
      <c r="N18" s="14">
        <f>Table2[[#This Row],[infection percentage, high end of estimate range]]-Table2[[#This Row],[infection percentage, low end of estimate range]]</f>
        <v>2.7409129177180244E-2</v>
      </c>
      <c r="O18" s="26">
        <f>(Table2[[#This Row],[infection percentage, low end of estimate range]]+Table2[[#This Row],[infection percentage, high end of estimate range]])/2</f>
        <v>3.3804592651855633E-2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8.4188251419036693</v>
      </c>
      <c r="V18" s="3"/>
    </row>
    <row r="19" spans="1:22" x14ac:dyDescent="0.2">
      <c r="A19" s="8">
        <v>43927</v>
      </c>
      <c r="B19" s="56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23350</v>
      </c>
      <c r="G19" s="35">
        <f>Table2[[#This Row],[cases]]*100/$T$13</f>
        <v>10776.923076923076</v>
      </c>
      <c r="H19" s="35">
        <f>Table2[[#This Row],[cases]]*100/$T$16</f>
        <v>25472.727272727272</v>
      </c>
      <c r="I19" s="35">
        <f>Table2[[#This Row],[infection count, high end of estimate range]]-Table2[[#This Row],[infection count, low end of estimate range]]</f>
        <v>14695.804195804196</v>
      </c>
      <c r="J19" s="35">
        <f>(Table2[[#This Row],[infection count, low end of estimate range]]+Table2[[#This Row],[infection count, high end of estimate range]])/2</f>
        <v>18124.825174825175</v>
      </c>
      <c r="K19" s="26">
        <f>Table2[[#This Row],[estimated infections]]/$T$6</f>
        <v>4.9584425181667988E-2</v>
      </c>
      <c r="L19" s="27">
        <f>Table2[[#This Row],[infection count, low end of estimate range]]/$T$6</f>
        <v>2.2885119314615995E-2</v>
      </c>
      <c r="M19" s="26">
        <f>Table2[[#This Row],[infection count, high end of estimate range]]/$T$6</f>
        <v>5.4092100198183259E-2</v>
      </c>
      <c r="N19" s="15">
        <f>Table2[[#This Row],[infection percentage, high end of estimate range]]-Table2[[#This Row],[infection percentage, low end of estimate range]]</f>
        <v>3.1206980883567263E-2</v>
      </c>
      <c r="O19" s="27">
        <f>(Table2[[#This Row],[infection percentage, low end of estimate range]]+Table2[[#This Row],[infection percentage, high end of estimate range]])/2</f>
        <v>3.848860975639963E-2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12</v>
      </c>
      <c r="V19" s="32" t="s">
        <v>23</v>
      </c>
    </row>
    <row r="20" spans="1:22" x14ac:dyDescent="0.2">
      <c r="A20" s="8">
        <v>43928</v>
      </c>
      <c r="B20" s="56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25833.333333333332</v>
      </c>
      <c r="G20" s="35">
        <f>Table2[[#This Row],[cases]]*100/$T$13</f>
        <v>11923.076923076924</v>
      </c>
      <c r="H20" s="35">
        <f>Table2[[#This Row],[cases]]*100/$T$16</f>
        <v>28181.81818181818</v>
      </c>
      <c r="I20" s="35">
        <f>Table2[[#This Row],[infection count, high end of estimate range]]-Table2[[#This Row],[infection count, low end of estimate range]]</f>
        <v>16258.741258741256</v>
      </c>
      <c r="J20" s="35">
        <f>(Table2[[#This Row],[infection count, low end of estimate range]]+Table2[[#This Row],[infection count, high end of estimate range]])/2</f>
        <v>20052.447552447553</v>
      </c>
      <c r="K20" s="26">
        <f>Table2[[#This Row],[estimated infections]]/$T$6</f>
        <v>5.4857857981145883E-2</v>
      </c>
      <c r="L20" s="27">
        <f>Table2[[#This Row],[infection count, low end of estimate range]]/$T$6</f>
        <v>2.5319011375913487E-2</v>
      </c>
      <c r="M20" s="26">
        <f>Table2[[#This Row],[infection count, high end of estimate range]]/$T$6</f>
        <v>5.9844935979431871E-2</v>
      </c>
      <c r="N20" s="15">
        <f>Table2[[#This Row],[infection percentage, high end of estimate range]]-Table2[[#This Row],[infection percentage, low end of estimate range]]</f>
        <v>3.4525924603518388E-2</v>
      </c>
      <c r="O20" s="27">
        <f>(Table2[[#This Row],[infection percentage, low end of estimate range]]+Table2[[#This Row],[infection percentage, high end of estimate range]])/2</f>
        <v>4.2581973677672677E-2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 x14ac:dyDescent="0.2">
      <c r="A21" s="8">
        <v>43929</v>
      </c>
      <c r="B21" s="56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27641.666666666668</v>
      </c>
      <c r="G21" s="35">
        <f>Table2[[#This Row],[cases]]*100/$T$13</f>
        <v>12757.692307692309</v>
      </c>
      <c r="H21" s="35">
        <f>Table2[[#This Row],[cases]]*100/$T$16</f>
        <v>30154.545454545456</v>
      </c>
      <c r="I21" s="35">
        <f>Table2[[#This Row],[infection count, high end of estimate range]]-Table2[[#This Row],[infection count, low end of estimate range]]</f>
        <v>17396.853146853147</v>
      </c>
      <c r="J21" s="35">
        <f>(Table2[[#This Row],[infection count, low end of estimate range]]+Table2[[#This Row],[infection count, high end of estimate range]])/2</f>
        <v>21456.118881118884</v>
      </c>
      <c r="K21" s="26">
        <f>Table2[[#This Row],[estimated infections]]/$T$6</f>
        <v>5.8697908039826101E-2</v>
      </c>
      <c r="L21" s="27">
        <f>Table2[[#This Row],[infection count, low end of estimate range]]/$T$6</f>
        <v>2.7091342172227431E-2</v>
      </c>
      <c r="M21" s="27">
        <f>Table2[[#This Row],[infection count, high end of estimate range]]/$T$6</f>
        <v>6.4034081497992112E-2</v>
      </c>
      <c r="N21" s="15">
        <f>Table2[[#This Row],[infection percentage, high end of estimate range]]-Table2[[#This Row],[infection percentage, low end of estimate range]]</f>
        <v>3.6942739325764681E-2</v>
      </c>
      <c r="O21" s="27">
        <f>(Table2[[#This Row],[infection percentage, low end of estimate range]]+Table2[[#This Row],[infection percentage, high end of estimate range]])/2</f>
        <v>4.5562711835109772E-2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45.491086389368192</v>
      </c>
      <c r="V21" s="31"/>
    </row>
    <row r="22" spans="1:22" x14ac:dyDescent="0.2">
      <c r="A22" s="8">
        <v>43930</v>
      </c>
      <c r="B22" s="56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29891.666666666668</v>
      </c>
      <c r="G22" s="35">
        <f>Table2[[#This Row],[cases]]*100/$T$13</f>
        <v>13796.153846153846</v>
      </c>
      <c r="H22" s="35">
        <f>Table2[[#This Row],[cases]]*100/$T$16</f>
        <v>32609.090909090908</v>
      </c>
      <c r="I22" s="35">
        <f>Table2[[#This Row],[infection count, high end of estimate range]]-Table2[[#This Row],[infection count, low end of estimate range]]</f>
        <v>18812.937062937061</v>
      </c>
      <c r="J22" s="35">
        <f>(Table2[[#This Row],[infection count, low end of estimate range]]+Table2[[#This Row],[infection count, high end of estimate range]])/2</f>
        <v>23202.622377622378</v>
      </c>
      <c r="K22" s="26">
        <f>Table2[[#This Row],[estimated infections]]/$T$6</f>
        <v>6.3475850509151707E-2</v>
      </c>
      <c r="L22" s="27">
        <f>Table2[[#This Row],[infection count, low end of estimate range]]/$T$6</f>
        <v>2.9296546388839249E-2</v>
      </c>
      <c r="M22" s="27">
        <f>Table2[[#This Row],[infection count, high end of estimate range]]/$T$6</f>
        <v>6.9246382373620047E-2</v>
      </c>
      <c r="N22" s="15">
        <f>Table2[[#This Row],[infection percentage, high end of estimate range]]-Table2[[#This Row],[infection percentage, low end of estimate range]]</f>
        <v>3.9949835984780802E-2</v>
      </c>
      <c r="O22" s="27">
        <f>(Table2[[#This Row],[infection percentage, low end of estimate range]]+Table2[[#This Row],[infection percentage, high end of estimate range]])/2</f>
        <v>4.9271464381229646E-2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 x14ac:dyDescent="0.2">
      <c r="A23" s="8">
        <v>43931</v>
      </c>
      <c r="B23" s="56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31800</v>
      </c>
      <c r="G23" s="35">
        <f>Table2[[#This Row],[cases]]*100/$T$13</f>
        <v>14676.923076923076</v>
      </c>
      <c r="H23" s="35">
        <f>Table2[[#This Row],[cases]]*100/$T$16</f>
        <v>34690.909090909088</v>
      </c>
      <c r="I23" s="35">
        <f>Table2[[#This Row],[infection count, high end of estimate range]]-Table2[[#This Row],[infection count, low end of estimate range]]</f>
        <v>20013.98601398601</v>
      </c>
      <c r="J23" s="35">
        <f>(Table2[[#This Row],[infection count, low end of estimate range]]+Table2[[#This Row],[infection count, high end of estimate range]])/2</f>
        <v>24683.916083916083</v>
      </c>
      <c r="K23" s="26">
        <f>Table2[[#This Row],[estimated infections]]/$T$6</f>
        <v>6.7528253566468618E-2</v>
      </c>
      <c r="L23" s="27">
        <f>Table2[[#This Row],[infection count, low end of estimate range]]/$T$6</f>
        <v>3.1166886261447049E-2</v>
      </c>
      <c r="M23" s="27">
        <f>Table2[[#This Row],[infection count, high end of estimate range]]/$T$6</f>
        <v>7.3667185708874844E-2</v>
      </c>
      <c r="N23" s="15">
        <f>Table2[[#This Row],[infection percentage, high end of estimate range]]-Table2[[#This Row],[infection percentage, low end of estimate range]]</f>
        <v>4.2500299447427795E-2</v>
      </c>
      <c r="O23" s="27">
        <f>(Table2[[#This Row],[infection percentage, low end of estimate range]]+Table2[[#This Row],[infection percentage, high end of estimate range]])/2</f>
        <v>5.2417035985160947E-2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 x14ac:dyDescent="0.2">
      <c r="A24" s="8">
        <v>43932</v>
      </c>
      <c r="B24" s="56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34091.666666666664</v>
      </c>
      <c r="G24" s="35">
        <f>Table2[[#This Row],[cases]]*100/$T$13</f>
        <v>15734.615384615385</v>
      </c>
      <c r="H24" s="35">
        <f>Table2[[#This Row],[cases]]*100/$T$16</f>
        <v>37190.909090909088</v>
      </c>
      <c r="I24" s="35">
        <f>Table2[[#This Row],[infection count, high end of estimate range]]-Table2[[#This Row],[infection count, low end of estimate range]]</f>
        <v>21456.293706293705</v>
      </c>
      <c r="J24" s="35">
        <f>(Table2[[#This Row],[infection count, low end of estimate range]]+Table2[[#This Row],[infection count, high end of estimate range]])/2</f>
        <v>26462.762237762236</v>
      </c>
      <c r="K24" s="26">
        <f>Table2[[#This Row],[estimated infections]]/$T$6</f>
        <v>7.2394676451892834E-2</v>
      </c>
      <c r="L24" s="27">
        <f>Table2[[#This Row],[infection count, low end of estimate range]]/$T$6</f>
        <v>3.3412927593181312E-2</v>
      </c>
      <c r="M24" s="27">
        <f>Table2[[#This Row],[infection count, high end of estimate range]]/$T$6</f>
        <v>7.8976010674792194E-2</v>
      </c>
      <c r="N24" s="15">
        <f>Table2[[#This Row],[infection percentage, high end of estimate range]]-Table2[[#This Row],[infection percentage, low end of estimate range]]</f>
        <v>4.5563083081610882E-2</v>
      </c>
      <c r="O24" s="27">
        <f>(Table2[[#This Row],[infection percentage, low end of estimate range]]+Table2[[#This Row],[infection percentage, high end of estimate range]])/2</f>
        <v>5.6194469133986749E-2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 x14ac:dyDescent="0.2">
      <c r="A25" s="8">
        <v>43933</v>
      </c>
      <c r="B25" s="56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35608.333333333336</v>
      </c>
      <c r="G25" s="35">
        <f>Table2[[#This Row],[cases]]*100/$T$13</f>
        <v>16434.615384615383</v>
      </c>
      <c r="H25" s="35">
        <f>Table2[[#This Row],[cases]]*100/$T$16</f>
        <v>38845.454545454544</v>
      </c>
      <c r="I25" s="35">
        <f>Table2[[#This Row],[infection count, high end of estimate range]]-Table2[[#This Row],[infection count, low end of estimate range]]</f>
        <v>22410.839160839161</v>
      </c>
      <c r="J25" s="35">
        <f>(Table2[[#This Row],[infection count, low end of estimate range]]+Table2[[#This Row],[infection count, high end of estimate range]])/2</f>
        <v>27640.034965034964</v>
      </c>
      <c r="K25" s="26">
        <f>Table2[[#This Row],[estimated infections]]/$T$6</f>
        <v>7.5615363597882707E-2</v>
      </c>
      <c r="L25" s="27">
        <f>Table2[[#This Row],[infection count, low end of estimate range]]/$T$6</f>
        <v>3.4899398583638164E-2</v>
      </c>
      <c r="M25" s="27">
        <f>Table2[[#This Row],[infection count, high end of estimate range]]/$T$6</f>
        <v>8.2489487561326583E-2</v>
      </c>
      <c r="N25" s="15">
        <f>Table2[[#This Row],[infection percentage, high end of estimate range]]-Table2[[#This Row],[infection percentage, low end of estimate range]]</f>
        <v>4.7590088977688419E-2</v>
      </c>
      <c r="O25" s="27">
        <f>(Table2[[#This Row],[infection percentage, low end of estimate range]]+Table2[[#This Row],[infection percentage, high end of estimate range]])/2</f>
        <v>5.8694443072482373E-2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 x14ac:dyDescent="0.2">
      <c r="A26" s="8">
        <v>43934</v>
      </c>
      <c r="B26" s="56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37391.666666666664</v>
      </c>
      <c r="G26" s="35">
        <f>Table2[[#This Row],[cases]]*100/$T$13</f>
        <v>17257.692307692309</v>
      </c>
      <c r="H26" s="35">
        <f>Table2[[#This Row],[cases]]*100/$T$16</f>
        <v>40790.909090909088</v>
      </c>
      <c r="I26" s="35">
        <f>Table2[[#This Row],[infection count, high end of estimate range]]-Table2[[#This Row],[infection count, low end of estimate range]]</f>
        <v>23533.21678321678</v>
      </c>
      <c r="J26" s="35">
        <f>(Table2[[#This Row],[infection count, low end of estimate range]]+Table2[[#This Row],[infection count, high end of estimate range]])/2</f>
        <v>29024.3006993007</v>
      </c>
      <c r="K26" s="26">
        <f>Table2[[#This Row],[estimated infections]]/$T$6</f>
        <v>7.9402325406903729E-2</v>
      </c>
      <c r="L26" s="27">
        <f>Table2[[#This Row],[infection count, low end of estimate range]]/$T$6</f>
        <v>3.6647227110878651E-2</v>
      </c>
      <c r="M26" s="27">
        <f>Table2[[#This Row],[infection count, high end of estimate range]]/$T$6</f>
        <v>8.6620718625713161E-2</v>
      </c>
      <c r="N26" s="15">
        <f>Table2[[#This Row],[infection percentage, high end of estimate range]]-Table2[[#This Row],[infection percentage, low end of estimate range]]</f>
        <v>4.997349151483451E-2</v>
      </c>
      <c r="O26" s="27">
        <f>(Table2[[#This Row],[infection percentage, low end of estimate range]]+Table2[[#This Row],[infection percentage, high end of estimate range]])/2</f>
        <v>6.1633972868295903E-2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 x14ac:dyDescent="0.2">
      <c r="A27" s="8">
        <v>43935</v>
      </c>
      <c r="B27" s="56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38733.333333333336</v>
      </c>
      <c r="G27" s="35">
        <f>Table2[[#This Row],[cases]]*100/$T$13</f>
        <v>17876.923076923078</v>
      </c>
      <c r="H27" s="35">
        <f>Table2[[#This Row],[cases]]*100/$T$16</f>
        <v>42254.545454545456</v>
      </c>
      <c r="I27" s="35">
        <f>Table2[[#This Row],[infection count, high end of estimate range]]-Table2[[#This Row],[infection count, low end of estimate range]]</f>
        <v>24377.622377622378</v>
      </c>
      <c r="J27" s="35">
        <f>(Table2[[#This Row],[infection count, low end of estimate range]]+Table2[[#This Row],[infection count, high end of estimate range]])/2</f>
        <v>30065.734265734267</v>
      </c>
      <c r="K27" s="26">
        <f>Table2[[#This Row],[estimated infections]]/$T$6</f>
        <v>8.225139480527939E-2</v>
      </c>
      <c r="L27" s="27">
        <f>Table2[[#This Row],[infection count, low end of estimate range]]/$T$6</f>
        <v>3.7962182217821251E-2</v>
      </c>
      <c r="M27" s="27">
        <f>Table2[[#This Row],[infection count, high end of estimate range]]/$T$6</f>
        <v>8.9728794333032047E-2</v>
      </c>
      <c r="N27" s="15">
        <f>Table2[[#This Row],[infection percentage, high end of estimate range]]-Table2[[#This Row],[infection percentage, low end of estimate range]]</f>
        <v>5.1766612115210796E-2</v>
      </c>
      <c r="O27" s="27">
        <f>(Table2[[#This Row],[infection percentage, low end of estimate range]]+Table2[[#This Row],[infection percentage, high end of estimate range]])/2</f>
        <v>6.3845488275426646E-2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 x14ac:dyDescent="0.2">
      <c r="A28" s="8">
        <v>43936</v>
      </c>
      <c r="B28" s="56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40475</v>
      </c>
      <c r="G28" s="35">
        <f>Table2[[#This Row],[cases]]*100/$T$13</f>
        <v>18680.76923076923</v>
      </c>
      <c r="H28" s="35">
        <f>Table2[[#This Row],[cases]]*100/$T$16</f>
        <v>44154.545454545456</v>
      </c>
      <c r="I28" s="35">
        <f>Table2[[#This Row],[infection count, high end of estimate range]]-Table2[[#This Row],[infection count, low end of estimate range]]</f>
        <v>25473.776223776225</v>
      </c>
      <c r="J28" s="35">
        <f>(Table2[[#This Row],[infection count, low end of estimate range]]+Table2[[#This Row],[infection count, high end of estimate range]])/2</f>
        <v>31417.657342657345</v>
      </c>
      <c r="K28" s="26">
        <f>Table2[[#This Row],[estimated infections]]/$T$6</f>
        <v>8.5949876198201797E-2</v>
      </c>
      <c r="L28" s="27">
        <f>Table2[[#This Row],[infection count, low end of estimate range]]/$T$6</f>
        <v>3.966917362993929E-2</v>
      </c>
      <c r="M28" s="27">
        <f>Table2[[#This Row],[infection count, high end of estimate range]]/$T$6</f>
        <v>9.3763501307129238E-2</v>
      </c>
      <c r="N28" s="15">
        <f>Table2[[#This Row],[infection percentage, high end of estimate range]]-Table2[[#This Row],[infection percentage, low end of estimate range]]</f>
        <v>5.4094327677189948E-2</v>
      </c>
      <c r="O28" s="27">
        <f>(Table2[[#This Row],[infection percentage, low end of estimate range]]+Table2[[#This Row],[infection percentage, high end of estimate range]])/2</f>
        <v>6.6716337468534267E-2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 x14ac:dyDescent="0.2">
      <c r="A29" s="8">
        <v>43937</v>
      </c>
      <c r="B29" s="56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41816.666666666664</v>
      </c>
      <c r="G29" s="35">
        <f>Table2[[#This Row],[cases]]*100/$T$13</f>
        <v>19300</v>
      </c>
      <c r="H29" s="35">
        <f>Table2[[#This Row],[cases]]*100/$T$16</f>
        <v>45618.181818181816</v>
      </c>
      <c r="I29" s="35">
        <f>Table2[[#This Row],[infection count, high end of estimate range]]-Table2[[#This Row],[infection count, low end of estimate range]]</f>
        <v>26318.181818181816</v>
      </c>
      <c r="J29" s="35">
        <f>(Table2[[#This Row],[infection count, low end of estimate range]]+Table2[[#This Row],[infection count, high end of estimate range]])/2</f>
        <v>32459.090909090908</v>
      </c>
      <c r="K29" s="26">
        <f>Table2[[#This Row],[estimated infections]]/$T$6</f>
        <v>8.879894559657743E-2</v>
      </c>
      <c r="L29" s="27">
        <f>Table2[[#This Row],[infection count, low end of estimate range]]/$T$6</f>
        <v>4.098412873688189E-2</v>
      </c>
      <c r="M29" s="27">
        <f>Table2[[#This Row],[infection count, high end of estimate range]]/$T$6</f>
        <v>9.687157701444811E-2</v>
      </c>
      <c r="N29" s="15">
        <f>Table2[[#This Row],[infection percentage, high end of estimate range]]-Table2[[#This Row],[infection percentage, low end of estimate range]]</f>
        <v>5.5887448277566219E-2</v>
      </c>
      <c r="O29" s="27">
        <f>(Table2[[#This Row],[infection percentage, low end of estimate range]]+Table2[[#This Row],[infection percentage, high end of estimate range]])/2</f>
        <v>6.8927852875664997E-2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 x14ac:dyDescent="0.2">
      <c r="A30" s="8">
        <v>43938</v>
      </c>
      <c r="B30" s="56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44375</v>
      </c>
      <c r="G30" s="35">
        <f>Table2[[#This Row],[cases]]*100/$T$13</f>
        <v>20480.76923076923</v>
      </c>
      <c r="H30" s="35">
        <f>Table2[[#This Row],[cases]]*100/$T$16</f>
        <v>48409.090909090912</v>
      </c>
      <c r="I30" s="35">
        <f>Table2[[#This Row],[infection count, high end of estimate range]]-Table2[[#This Row],[infection count, low end of estimate range]]</f>
        <v>27928.321678321681</v>
      </c>
      <c r="J30" s="35">
        <f>(Table2[[#This Row],[infection count, low end of estimate range]]+Table2[[#This Row],[infection count, high end of estimate range]])/2</f>
        <v>34444.930069930073</v>
      </c>
      <c r="K30" s="26">
        <f>Table2[[#This Row],[estimated infections]]/$T$6</f>
        <v>9.4231643145032851E-2</v>
      </c>
      <c r="L30" s="27">
        <f>Table2[[#This Row],[infection count, low end of estimate range]]/$T$6</f>
        <v>4.3491527605399774E-2</v>
      </c>
      <c r="M30" s="27">
        <f>Table2[[#This Row],[infection count, high end of estimate range]]/$T$6</f>
        <v>0.10279815615821766</v>
      </c>
      <c r="N30" s="15">
        <f>Table2[[#This Row],[infection percentage, high end of estimate range]]-Table2[[#This Row],[infection percentage, low end of estimate range]]</f>
        <v>5.9306628552817889E-2</v>
      </c>
      <c r="O30" s="27">
        <f>(Table2[[#This Row],[infection percentage, low end of estimate range]]+Table2[[#This Row],[infection percentage, high end of estimate range]])/2</f>
        <v>7.3144841881808725E-2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 x14ac:dyDescent="0.2">
      <c r="A31" s="8">
        <v>43939</v>
      </c>
      <c r="B31" s="56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45608.333333333336</v>
      </c>
      <c r="G31" s="35">
        <f>Table2[[#This Row],[cases]]*100/$T$13</f>
        <v>21050</v>
      </c>
      <c r="H31" s="35">
        <f>Table2[[#This Row],[cases]]*100/$T$16</f>
        <v>49754.545454545456</v>
      </c>
      <c r="I31" s="35">
        <f>Table2[[#This Row],[infection count, high end of estimate range]]-Table2[[#This Row],[infection count, low end of estimate range]]</f>
        <v>28704.545454545456</v>
      </c>
      <c r="J31" s="35">
        <f>(Table2[[#This Row],[infection count, low end of estimate range]]+Table2[[#This Row],[infection count, high end of estimate range]])/2</f>
        <v>35402.272727272728</v>
      </c>
      <c r="K31" s="26">
        <f>Table2[[#This Row],[estimated infections]]/$T$6</f>
        <v>9.6850663461552078E-2</v>
      </c>
      <c r="L31" s="27">
        <f>Table2[[#This Row],[infection count, low end of estimate range]]/$T$6</f>
        <v>4.4700306213024031E-2</v>
      </c>
      <c r="M31" s="27">
        <f>Table2[[#This Row],[infection count, high end of estimate range]]/$T$6</f>
        <v>0.10565526923078408</v>
      </c>
      <c r="N31" s="15">
        <f>Table2[[#This Row],[infection percentage, high end of estimate range]]-Table2[[#This Row],[infection percentage, low end of estimate range]]</f>
        <v>6.0954963017760051E-2</v>
      </c>
      <c r="O31" s="27">
        <f>(Table2[[#This Row],[infection percentage, low end of estimate range]]+Table2[[#This Row],[infection percentage, high end of estimate range]])/2</f>
        <v>7.517778772190406E-2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 x14ac:dyDescent="0.2">
      <c r="A32" s="8">
        <v>43940</v>
      </c>
      <c r="B32" s="56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47041.666666666664</v>
      </c>
      <c r="G32" s="35">
        <f>Table2[[#This Row],[cases]]*100/$T$13</f>
        <v>21711.538461538461</v>
      </c>
      <c r="H32" s="35">
        <f>Table2[[#This Row],[cases]]*100/$T$16</f>
        <v>51318.181818181816</v>
      </c>
      <c r="I32" s="35">
        <f>Table2[[#This Row],[infection count, high end of estimate range]]-Table2[[#This Row],[infection count, low end of estimate range]]</f>
        <v>29606.643356643355</v>
      </c>
      <c r="J32" s="35">
        <f>(Table2[[#This Row],[infection count, low end of estimate range]]+Table2[[#This Row],[infection count, high end of estimate range]])/2</f>
        <v>36514.860139860139</v>
      </c>
      <c r="K32" s="26">
        <f>Table2[[#This Row],[estimated infections]]/$T$6</f>
        <v>9.9894389775344677E-2</v>
      </c>
      <c r="L32" s="27">
        <f>Table2[[#This Row],[infection count, low end of estimate range]]/$T$6</f>
        <v>4.6105102973236008E-2</v>
      </c>
      <c r="M32" s="27">
        <f>Table2[[#This Row],[infection count, high end of estimate range]]/$T$6</f>
        <v>0.10897569793673965</v>
      </c>
      <c r="N32" s="15">
        <f>Table2[[#This Row],[infection percentage, high end of estimate range]]-Table2[[#This Row],[infection percentage, low end of estimate range]]</f>
        <v>6.287059496350364E-2</v>
      </c>
      <c r="O32" s="27">
        <f>(Table2[[#This Row],[infection percentage, low end of estimate range]]+Table2[[#This Row],[infection percentage, high end of estimate range]])/2</f>
        <v>7.7540400454987835E-2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 x14ac:dyDescent="0.2">
      <c r="A33" s="8">
        <v>43941</v>
      </c>
      <c r="B33" s="56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48766.666666666664</v>
      </c>
      <c r="G33" s="35">
        <f>Table2[[#This Row],[cases]]*100/$T$13</f>
        <v>22507.692307692309</v>
      </c>
      <c r="H33" s="35">
        <f>Table2[[#This Row],[cases]]*100/$T$16</f>
        <v>53200</v>
      </c>
      <c r="I33" s="35">
        <f>Table2[[#This Row],[infection count, high end of estimate range]]-Table2[[#This Row],[infection count, low end of estimate range]]</f>
        <v>30692.307692307691</v>
      </c>
      <c r="J33" s="35">
        <f>(Table2[[#This Row],[infection count, low end of estimate range]]+Table2[[#This Row],[infection count, high end of estimate range]])/2</f>
        <v>37853.846153846156</v>
      </c>
      <c r="K33" s="26">
        <f>Table2[[#This Row],[estimated infections]]/$T$6</f>
        <v>0.10355747900182764</v>
      </c>
      <c r="L33" s="27">
        <f>Table2[[#This Row],[infection count, low end of estimate range]]/$T$6</f>
        <v>4.7795759539305073E-2</v>
      </c>
      <c r="M33" s="27">
        <f>Table2[[#This Row],[infection count, high end of estimate range]]/$T$6</f>
        <v>0.11297179527472108</v>
      </c>
      <c r="N33" s="15">
        <f>Table2[[#This Row],[infection percentage, high end of estimate range]]-Table2[[#This Row],[infection percentage, low end of estimate range]]</f>
        <v>6.5176035735415999E-2</v>
      </c>
      <c r="O33" s="27">
        <f>(Table2[[#This Row],[infection percentage, low end of estimate range]]+Table2[[#This Row],[infection percentage, high end of estimate range]])/2</f>
        <v>8.0383777407013079E-2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 x14ac:dyDescent="0.2">
      <c r="A34" s="8">
        <v>43942</v>
      </c>
      <c r="B34" s="56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50533.333333333336</v>
      </c>
      <c r="G34" s="35">
        <f>Table2[[#This Row],[cases]]*100/$T$13</f>
        <v>23323.076923076922</v>
      </c>
      <c r="H34" s="35">
        <f>Table2[[#This Row],[cases]]*100/$T$16</f>
        <v>55127.272727272728</v>
      </c>
      <c r="I34" s="35">
        <f>Table2[[#This Row],[infection count, high end of estimate range]]-Table2[[#This Row],[infection count, low end of estimate range]]</f>
        <v>31804.195804195806</v>
      </c>
      <c r="J34" s="35">
        <f>(Table2[[#This Row],[infection count, low end of estimate range]]+Table2[[#This Row],[infection count, high end of estimate range]])/2</f>
        <v>39225.174825174821</v>
      </c>
      <c r="K34" s="26">
        <f>Table2[[#This Row],[estimated infections]]/$T$6</f>
        <v>0.10730904864440925</v>
      </c>
      <c r="L34" s="27">
        <f>Table2[[#This Row],[infection count, low end of estimate range]]/$T$6</f>
        <v>4.9527253220496573E-2</v>
      </c>
      <c r="M34" s="27">
        <f>Table2[[#This Row],[infection count, high end of estimate range]]/$T$6</f>
        <v>0.11706441670299191</v>
      </c>
      <c r="N34" s="15">
        <f>Table2[[#This Row],[infection percentage, high end of estimate range]]-Table2[[#This Row],[infection percentage, low end of estimate range]]</f>
        <v>6.7537163482495333E-2</v>
      </c>
      <c r="O34" s="27">
        <f>(Table2[[#This Row],[infection percentage, low end of estimate range]]+Table2[[#This Row],[infection percentage, high end of estimate range]])/2</f>
        <v>8.3295834961744239E-2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 x14ac:dyDescent="0.2">
      <c r="A35" s="8">
        <v>43943</v>
      </c>
      <c r="B35" s="56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51891.666666666664</v>
      </c>
      <c r="G35" s="35">
        <f>Table2[[#This Row],[cases]]*100/$T$13</f>
        <v>23950</v>
      </c>
      <c r="H35" s="35">
        <f>Table2[[#This Row],[cases]]*100/$T$16</f>
        <v>56609.090909090912</v>
      </c>
      <c r="I35" s="35">
        <f>Table2[[#This Row],[infection count, high end of estimate range]]-Table2[[#This Row],[infection count, low end of estimate range]]</f>
        <v>32659.090909090912</v>
      </c>
      <c r="J35" s="35">
        <f>(Table2[[#This Row],[infection count, low end of estimate range]]+Table2[[#This Row],[infection count, high end of estimate range]])/2</f>
        <v>40279.545454545456</v>
      </c>
      <c r="K35" s="26">
        <f>Table2[[#This Row],[estimated infections]]/$T$6</f>
        <v>0.11019351020922433</v>
      </c>
      <c r="L35" s="27">
        <f>Table2[[#This Row],[infection count, low end of estimate range]]/$T$6</f>
        <v>5.0858543173488154E-2</v>
      </c>
      <c r="M35" s="27">
        <f>Table2[[#This Row],[infection count, high end of estimate range]]/$T$6</f>
        <v>0.12021110204642654</v>
      </c>
      <c r="N35" s="15">
        <f>Table2[[#This Row],[infection percentage, high end of estimate range]]-Table2[[#This Row],[infection percentage, low end of estimate range]]</f>
        <v>6.9352558872938397E-2</v>
      </c>
      <c r="O35" s="27">
        <f>(Table2[[#This Row],[infection percentage, low end of estimate range]]+Table2[[#This Row],[infection percentage, high end of estimate range]])/2</f>
        <v>8.5534822609957345E-2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 x14ac:dyDescent="0.2">
      <c r="A36" s="8">
        <v>43944</v>
      </c>
      <c r="B36" s="56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53441.666666666664</v>
      </c>
      <c r="G36" s="35">
        <f>Table2[[#This Row],[cases]]*100/$T$13</f>
        <v>24665.384615384617</v>
      </c>
      <c r="H36" s="35">
        <f>Table2[[#This Row],[cases]]*100/$T$16</f>
        <v>58300</v>
      </c>
      <c r="I36" s="35">
        <f>Table2[[#This Row],[infection count, high end of estimate range]]-Table2[[#This Row],[infection count, low end of estimate range]]</f>
        <v>33634.615384615383</v>
      </c>
      <c r="J36" s="35">
        <f>(Table2[[#This Row],[infection count, low end of estimate range]]+Table2[[#This Row],[infection count, high end of estimate range]])/2</f>
        <v>41482.692307692312</v>
      </c>
      <c r="K36" s="26">
        <f>Table2[[#This Row],[estimated infections]]/$T$6</f>
        <v>0.11348498168809308</v>
      </c>
      <c r="L36" s="27">
        <f>Table2[[#This Row],[infection count, low end of estimate range]]/$T$6</f>
        <v>5.2377683856042967E-2</v>
      </c>
      <c r="M36" s="27">
        <f>Table2[[#This Row],[infection count, high end of estimate range]]/$T$6</f>
        <v>0.12380179820519245</v>
      </c>
      <c r="N36" s="15">
        <f>Table2[[#This Row],[infection percentage, high end of estimate range]]-Table2[[#This Row],[infection percentage, low end of estimate range]]</f>
        <v>7.1424114349149484E-2</v>
      </c>
      <c r="O36" s="27">
        <f>(Table2[[#This Row],[infection percentage, low end of estimate range]]+Table2[[#This Row],[infection percentage, high end of estimate range]])/2</f>
        <v>8.8089741030617702E-2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 x14ac:dyDescent="0.2">
      <c r="A37" s="8">
        <v>43945</v>
      </c>
      <c r="B37" s="56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55483.333333333336</v>
      </c>
      <c r="G37" s="35">
        <f>Table2[[#This Row],[cases]]*100/$T$13</f>
        <v>25607.692307692309</v>
      </c>
      <c r="H37" s="35">
        <f>Table2[[#This Row],[cases]]*100/$T$16</f>
        <v>60527.272727272728</v>
      </c>
      <c r="I37" s="35">
        <f>Table2[[#This Row],[infection count, high end of estimate range]]-Table2[[#This Row],[infection count, low end of estimate range]]</f>
        <v>34919.580419580423</v>
      </c>
      <c r="J37" s="35">
        <f>(Table2[[#This Row],[infection count, low end of estimate range]]+Table2[[#This Row],[infection count, high end of estimate range]])/2</f>
        <v>43067.482517482516</v>
      </c>
      <c r="K37" s="26">
        <f>Table2[[#This Row],[estimated infections]]/$T$6</f>
        <v>0.11782052207692559</v>
      </c>
      <c r="L37" s="27">
        <f>Table2[[#This Row],[infection count, low end of estimate range]]/$T$6</f>
        <v>5.4378702497042575E-2</v>
      </c>
      <c r="M37" s="27">
        <f>Table2[[#This Row],[infection count, high end of estimate range]]/$T$6</f>
        <v>0.12853147862937336</v>
      </c>
      <c r="N37" s="15">
        <f>Table2[[#This Row],[infection percentage, high end of estimate range]]-Table2[[#This Row],[infection percentage, low end of estimate range]]</f>
        <v>7.4152776132330789E-2</v>
      </c>
      <c r="O37" s="27">
        <f>(Table2[[#This Row],[infection percentage, low end of estimate range]]+Table2[[#This Row],[infection percentage, high end of estimate range]])/2</f>
        <v>9.1455090563207969E-2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 x14ac:dyDescent="0.2">
      <c r="A38" s="8">
        <v>43946</v>
      </c>
      <c r="B38" s="56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55916.666666666664</v>
      </c>
      <c r="G38" s="35">
        <f>Table2[[#This Row],[cases]]*100/$T$13</f>
        <v>25807.692307692309</v>
      </c>
      <c r="H38" s="35">
        <f>Table2[[#This Row],[cases]]*100/$T$16</f>
        <v>61000</v>
      </c>
      <c r="I38" s="35">
        <f>Table2[[#This Row],[infection count, high end of estimate range]]-Table2[[#This Row],[infection count, low end of estimate range]]</f>
        <v>35192.307692307688</v>
      </c>
      <c r="J38" s="35">
        <f>(Table2[[#This Row],[infection count, low end of estimate range]]+Table2[[#This Row],[infection count, high end of estimate range]])/2</f>
        <v>43403.846153846156</v>
      </c>
      <c r="K38" s="26">
        <f>Table2[[#This Row],[estimated infections]]/$T$6</f>
        <v>0.11874071840435126</v>
      </c>
      <c r="L38" s="27">
        <f>Table2[[#This Row],[infection count, low end of estimate range]]/$T$6</f>
        <v>5.4803408494315968E-2</v>
      </c>
      <c r="M38" s="27">
        <f>Table2[[#This Row],[infection count, high end of estimate range]]/$T$6</f>
        <v>0.12953532916838317</v>
      </c>
      <c r="N38" s="15">
        <f>Table2[[#This Row],[infection percentage, high end of estimate range]]-Table2[[#This Row],[infection percentage, low end of estimate range]]</f>
        <v>7.4731920674067198E-2</v>
      </c>
      <c r="O38" s="27">
        <f>(Table2[[#This Row],[infection percentage, low end of estimate range]]+Table2[[#This Row],[infection percentage, high end of estimate range]])/2</f>
        <v>9.2169368831349574E-2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 x14ac:dyDescent="0.2">
      <c r="A39" s="8">
        <v>43947</v>
      </c>
      <c r="B39" s="56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58341.666666666664</v>
      </c>
      <c r="G39" s="35">
        <f>Table2[[#This Row],[cases]]*100/$T$13</f>
        <v>26926.923076923078</v>
      </c>
      <c r="H39" s="35">
        <f>Table2[[#This Row],[cases]]*100/$T$16</f>
        <v>63645.454545454544</v>
      </c>
      <c r="I39" s="35">
        <f>Table2[[#This Row],[infection count, high end of estimate range]]-Table2[[#This Row],[infection count, low end of estimate range]]</f>
        <v>36718.531468531466</v>
      </c>
      <c r="J39" s="35">
        <f>(Table2[[#This Row],[infection count, low end of estimate range]]+Table2[[#This Row],[infection count, high end of estimate range]])/2</f>
        <v>45286.188811188811</v>
      </c>
      <c r="K39" s="26">
        <f>Table2[[#This Row],[estimated infections]]/$T$6</f>
        <v>0.12389027862129107</v>
      </c>
      <c r="L39" s="27">
        <f>Table2[[#This Row],[infection count, low end of estimate range]]/$T$6</f>
        <v>5.7180128594442041E-2</v>
      </c>
      <c r="M39" s="27">
        <f>Table2[[#This Row],[infection count, high end of estimate range]]/$T$6</f>
        <v>0.13515303122322664</v>
      </c>
      <c r="N39" s="15">
        <f>Table2[[#This Row],[infection percentage, high end of estimate range]]-Table2[[#This Row],[infection percentage, low end of estimate range]]</f>
        <v>7.7972902628784591E-2</v>
      </c>
      <c r="O39" s="27">
        <f>(Table2[[#This Row],[infection percentage, low end of estimate range]]+Table2[[#This Row],[infection percentage, high end of estimate range]])/2</f>
        <v>9.6166579908834343E-2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 x14ac:dyDescent="0.2">
      <c r="A40" s="8">
        <v>43948</v>
      </c>
      <c r="B40" s="56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59658.333333333336</v>
      </c>
      <c r="G40" s="35">
        <f>Table2[[#This Row],[cases]]*100/$T$13</f>
        <v>27534.615384615383</v>
      </c>
      <c r="H40" s="35">
        <f>Table2[[#This Row],[cases]]*100/$T$16</f>
        <v>65081.818181818184</v>
      </c>
      <c r="I40" s="35">
        <f>Table2[[#This Row],[infection count, high end of estimate range]]-Table2[[#This Row],[infection count, low end of estimate range]]</f>
        <v>37547.202797202801</v>
      </c>
      <c r="J40" s="35">
        <f>(Table2[[#This Row],[infection count, low end of estimate range]]+Table2[[#This Row],[infection count, high end of estimate range]])/2</f>
        <v>46308.216783216783</v>
      </c>
      <c r="K40" s="26">
        <f>Table2[[#This Row],[estimated infections]]/$T$6</f>
        <v>0.12668625977000755</v>
      </c>
      <c r="L40" s="27">
        <f>Table2[[#This Row],[infection count, low end of estimate range]]/$T$6</f>
        <v>5.8470581432311174E-2</v>
      </c>
      <c r="M40" s="27">
        <f>Table2[[#This Row],[infection count, high end of estimate range]]/$T$6</f>
        <v>0.13820319247637186</v>
      </c>
      <c r="N40" s="15">
        <f>Table2[[#This Row],[infection percentage, high end of estimate range]]-Table2[[#This Row],[infection percentage, low end of estimate range]]</f>
        <v>7.9732611044060681E-2</v>
      </c>
      <c r="O40" s="27">
        <f>(Table2[[#This Row],[infection percentage, low end of estimate range]]+Table2[[#This Row],[infection percentage, high end of estimate range]])/2</f>
        <v>9.8336886954341521E-2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 x14ac:dyDescent="0.2">
      <c r="A41" s="8">
        <v>43949</v>
      </c>
      <c r="B41" s="56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61366.666666666664</v>
      </c>
      <c r="G41" s="35">
        <f>Table2[[#This Row],[cases]]*100/$T$13</f>
        <v>28323.076923076922</v>
      </c>
      <c r="H41" s="35">
        <f>Table2[[#This Row],[cases]]*100/$T$16</f>
        <v>66945.454545454544</v>
      </c>
      <c r="I41" s="35">
        <f>Table2[[#This Row],[infection count, high end of estimate range]]-Table2[[#This Row],[infection count, low end of estimate range]]</f>
        <v>38622.377622377622</v>
      </c>
      <c r="J41" s="35">
        <f>(Table2[[#This Row],[infection count, low end of estimate range]]+Table2[[#This Row],[infection count, high end of estimate range]])/2</f>
        <v>47634.265734265733</v>
      </c>
      <c r="K41" s="26">
        <f>Table2[[#This Row],[estimated infections]]/$T$6</f>
        <v>0.13031395683005106</v>
      </c>
      <c r="L41" s="27">
        <f>Table2[[#This Row],[infection count, low end of estimate range]]/$T$6</f>
        <v>6.0144903152331258E-2</v>
      </c>
      <c r="M41" s="27">
        <f>Table2[[#This Row],[infection count, high end of estimate range]]/$T$6</f>
        <v>0.14216068017823752</v>
      </c>
      <c r="N41" s="15">
        <f>Table2[[#This Row],[infection percentage, high end of estimate range]]-Table2[[#This Row],[infection percentage, low end of estimate range]]</f>
        <v>8.2015777025906261E-2</v>
      </c>
      <c r="O41" s="27">
        <f>(Table2[[#This Row],[infection percentage, low end of estimate range]]+Table2[[#This Row],[infection percentage, high end of estimate range]])/2</f>
        <v>0.10115279166528439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 x14ac:dyDescent="0.2">
      <c r="A42" s="8">
        <v>43950</v>
      </c>
      <c r="B42" s="56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61816.666666666664</v>
      </c>
      <c r="G42" s="35">
        <f>Table2[[#This Row],[cases]]*100/$T$13</f>
        <v>28530.76923076923</v>
      </c>
      <c r="H42" s="35">
        <f>Table2[[#This Row],[cases]]*100/$T$16</f>
        <v>67436.363636363632</v>
      </c>
      <c r="I42" s="35">
        <f>Table2[[#This Row],[infection count, high end of estimate range]]-Table2[[#This Row],[infection count, low end of estimate range]]</f>
        <v>38905.594405594398</v>
      </c>
      <c r="J42" s="35">
        <f>(Table2[[#This Row],[infection count, low end of estimate range]]+Table2[[#This Row],[infection count, high end of estimate range]])/2</f>
        <v>47983.566433566433</v>
      </c>
      <c r="K42" s="26">
        <f>Table2[[#This Row],[estimated infections]]/$T$6</f>
        <v>0.13126954532391619</v>
      </c>
      <c r="L42" s="27">
        <f>Table2[[#This Row],[infection count, low end of estimate range]]/$T$6</f>
        <v>6.0585943995653625E-2</v>
      </c>
      <c r="M42" s="27">
        <f>Table2[[#This Row],[infection count, high end of estimate range]]/$T$6</f>
        <v>0.1432031403533631</v>
      </c>
      <c r="N42" s="15">
        <f>Table2[[#This Row],[infection percentage, high end of estimate range]]-Table2[[#This Row],[infection percentage, low end of estimate range]]</f>
        <v>8.2617196357709477E-2</v>
      </c>
      <c r="O42" s="27">
        <f>(Table2[[#This Row],[infection percentage, low end of estimate range]]+Table2[[#This Row],[infection percentage, high end of estimate range]])/2</f>
        <v>0.10189454217450836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 x14ac:dyDescent="0.2">
      <c r="A43" s="8">
        <v>43951</v>
      </c>
      <c r="B43" s="56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62416.666666666664</v>
      </c>
      <c r="G43" s="35">
        <f>Table2[[#This Row],[cases]]*100/$T$13</f>
        <v>28807.692307692309</v>
      </c>
      <c r="H43" s="35">
        <f>Table2[[#This Row],[cases]]*100/$T$16</f>
        <v>68090.909090909088</v>
      </c>
      <c r="I43" s="35">
        <f>Table2[[#This Row],[infection count, high end of estimate range]]-Table2[[#This Row],[infection count, low end of estimate range]]</f>
        <v>39283.216783216776</v>
      </c>
      <c r="J43" s="35">
        <f>(Table2[[#This Row],[infection count, low end of estimate range]]+Table2[[#This Row],[infection count, high end of estimate range]])/2</f>
        <v>48449.3006993007</v>
      </c>
      <c r="K43" s="26">
        <f>Table2[[#This Row],[estimated infections]]/$T$6</f>
        <v>0.13254366331573633</v>
      </c>
      <c r="L43" s="27">
        <f>Table2[[#This Row],[infection count, low end of estimate range]]/$T$6</f>
        <v>6.1173998453416777E-2</v>
      </c>
      <c r="M43" s="27">
        <f>Table2[[#This Row],[infection count, high end of estimate range]]/$T$6</f>
        <v>0.14459308725353057</v>
      </c>
      <c r="N43" s="15">
        <f>Table2[[#This Row],[infection percentage, high end of estimate range]]-Table2[[#This Row],[infection percentage, low end of estimate range]]</f>
        <v>8.3419088800113783E-2</v>
      </c>
      <c r="O43" s="27">
        <f>(Table2[[#This Row],[infection percentage, low end of estimate range]]+Table2[[#This Row],[infection percentage, high end of estimate range]])/2</f>
        <v>0.10288354285347368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 x14ac:dyDescent="0.2">
      <c r="A44" s="8">
        <v>43952</v>
      </c>
      <c r="B44" s="56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64041.666666666664</v>
      </c>
      <c r="G44" s="35">
        <f>Table2[[#This Row],[cases]]*100/$T$13</f>
        <v>29557.692307692309</v>
      </c>
      <c r="H44" s="35">
        <f>Table2[[#This Row],[cases]]*100/$T$16</f>
        <v>69863.636363636368</v>
      </c>
      <c r="I44" s="35">
        <f>Table2[[#This Row],[infection count, high end of estimate range]]-Table2[[#This Row],[infection count, low end of estimate range]]</f>
        <v>40305.944055944055</v>
      </c>
      <c r="J44" s="35">
        <f>(Table2[[#This Row],[infection count, low end of estimate range]]+Table2[[#This Row],[infection count, high end of estimate range]])/2</f>
        <v>49710.66433566434</v>
      </c>
      <c r="K44" s="26">
        <f>Table2[[#This Row],[estimated infections]]/$T$6</f>
        <v>0.13599439954358261</v>
      </c>
      <c r="L44" s="27">
        <f>Table2[[#This Row],[infection count, low end of estimate range]]/$T$6</f>
        <v>6.2766645943191979E-2</v>
      </c>
      <c r="M44" s="27">
        <f>Table2[[#This Row],[infection count, high end of estimate range]]/$T$6</f>
        <v>0.14835752677481742</v>
      </c>
      <c r="N44" s="15">
        <f>Table2[[#This Row],[infection percentage, high end of estimate range]]-Table2[[#This Row],[infection percentage, low end of estimate range]]</f>
        <v>8.5590880831625443E-2</v>
      </c>
      <c r="O44" s="27">
        <f>(Table2[[#This Row],[infection percentage, low end of estimate range]]+Table2[[#This Row],[infection percentage, high end of estimate range]])/2</f>
        <v>0.1055620863590047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 x14ac:dyDescent="0.2">
      <c r="A45" s="8">
        <v>43953</v>
      </c>
      <c r="B45" s="56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65300</v>
      </c>
      <c r="G45" s="35">
        <f>Table2[[#This Row],[cases]]*100/$T$13</f>
        <v>30138.461538461539</v>
      </c>
      <c r="H45" s="35">
        <f>Table2[[#This Row],[cases]]*100/$T$16</f>
        <v>71236.363636363632</v>
      </c>
      <c r="I45" s="35">
        <f>Table2[[#This Row],[infection count, high end of estimate range]]-Table2[[#This Row],[infection count, low end of estimate range]]</f>
        <v>41097.902097902093</v>
      </c>
      <c r="J45" s="35">
        <f>(Table2[[#This Row],[infection count, low end of estimate range]]+Table2[[#This Row],[infection count, high end of estimate range]])/2</f>
        <v>50687.412587412589</v>
      </c>
      <c r="K45" s="26">
        <f>Table2[[#This Row],[estimated infections]]/$T$6</f>
        <v>0.13866650810976103</v>
      </c>
      <c r="L45" s="27">
        <f>Table2[[#This Row],[infection count, low end of estimate range]]/$T$6</f>
        <v>6.3999926819889696E-2</v>
      </c>
      <c r="M45" s="27">
        <f>Table2[[#This Row],[infection count, high end of estimate range]]/$T$6</f>
        <v>0.15127255430155748</v>
      </c>
      <c r="N45" s="15">
        <f>Table2[[#This Row],[infection percentage, high end of estimate range]]-Table2[[#This Row],[infection percentage, low end of estimate range]]</f>
        <v>8.7272627481667781E-2</v>
      </c>
      <c r="O45" s="27">
        <f>(Table2[[#This Row],[infection percentage, low end of estimate range]]+Table2[[#This Row],[infection percentage, high end of estimate range]])/2</f>
        <v>0.10763624056072359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 x14ac:dyDescent="0.2">
      <c r="A46" s="8">
        <v>43954</v>
      </c>
      <c r="B46" s="56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66066.666666666672</v>
      </c>
      <c r="G46" s="35">
        <f>Table2[[#This Row],[cases]]*100/$T$13</f>
        <v>30492.307692307691</v>
      </c>
      <c r="H46" s="35">
        <f>Table2[[#This Row],[cases]]*100/$T$16</f>
        <v>72072.727272727279</v>
      </c>
      <c r="I46" s="35">
        <f>Table2[[#This Row],[infection count, high end of estimate range]]-Table2[[#This Row],[infection count, low end of estimate range]]</f>
        <v>41580.419580419592</v>
      </c>
      <c r="J46" s="35">
        <f>(Table2[[#This Row],[infection count, low end of estimate range]]+Table2[[#This Row],[infection count, high end of estimate range]])/2</f>
        <v>51282.517482517484</v>
      </c>
      <c r="K46" s="26">
        <f>Table2[[#This Row],[estimated infections]]/$T$6</f>
        <v>0.14029454776597569</v>
      </c>
      <c r="L46" s="27">
        <f>Table2[[#This Row],[infection count, low end of estimate range]]/$T$6</f>
        <v>6.4751329738142613E-2</v>
      </c>
      <c r="M46" s="27">
        <f>Table2[[#This Row],[infection count, high end of estimate range]]/$T$6</f>
        <v>0.15304859756288255</v>
      </c>
      <c r="N46" s="15">
        <f>Table2[[#This Row],[infection percentage, high end of estimate range]]-Table2[[#This Row],[infection percentage, low end of estimate range]]</f>
        <v>8.8297267824739942E-2</v>
      </c>
      <c r="O46" s="27">
        <f>(Table2[[#This Row],[infection percentage, low end of estimate range]]+Table2[[#This Row],[infection percentage, high end of estimate range]])/2</f>
        <v>0.10889996365051258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 x14ac:dyDescent="0.2">
      <c r="A47" s="8">
        <v>43955</v>
      </c>
      <c r="B47" s="56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68050</v>
      </c>
      <c r="G47" s="35">
        <f>Table2[[#This Row],[cases]]*100/$T$13</f>
        <v>31407.692307692309</v>
      </c>
      <c r="H47" s="35">
        <f>Table2[[#This Row],[cases]]*100/$T$16</f>
        <v>74236.363636363632</v>
      </c>
      <c r="I47" s="35">
        <f>Table2[[#This Row],[infection count, high end of estimate range]]-Table2[[#This Row],[infection count, low end of estimate range]]</f>
        <v>42828.67132867132</v>
      </c>
      <c r="J47" s="35">
        <f>(Table2[[#This Row],[infection count, low end of estimate range]]+Table2[[#This Row],[infection count, high end of estimate range]])/2</f>
        <v>52822.027972027972</v>
      </c>
      <c r="K47" s="26">
        <f>Table2[[#This Row],[estimated infections]]/$T$6</f>
        <v>0.14450621557227009</v>
      </c>
      <c r="L47" s="27">
        <f>Table2[[#This Row],[infection count, low end of estimate range]]/$T$6</f>
        <v>6.669517641797082E-2</v>
      </c>
      <c r="M47" s="27">
        <f>Table2[[#This Row],[infection count, high end of estimate range]]/$T$6</f>
        <v>0.15764314426065829</v>
      </c>
      <c r="N47" s="15">
        <f>Table2[[#This Row],[infection percentage, high end of estimate range]]-Table2[[#This Row],[infection percentage, low end of estimate range]]</f>
        <v>9.0947967842687466E-2</v>
      </c>
      <c r="O47" s="27">
        <f>(Table2[[#This Row],[infection percentage, low end of estimate range]]+Table2[[#This Row],[infection percentage, high end of estimate range]])/2</f>
        <v>0.11216916033931455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 x14ac:dyDescent="0.2">
      <c r="A48" s="8">
        <v>43956</v>
      </c>
      <c r="B48" s="56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68958.333333333328</v>
      </c>
      <c r="G48" s="35">
        <f>Table2[[#This Row],[cases]]*100/$T$13</f>
        <v>31826.923076923078</v>
      </c>
      <c r="H48" s="35">
        <f>Table2[[#This Row],[cases]]*100/$T$16</f>
        <v>75227.272727272721</v>
      </c>
      <c r="I48" s="35">
        <f>Table2[[#This Row],[infection count, high end of estimate range]]-Table2[[#This Row],[infection count, low end of estimate range]]</f>
        <v>43400.349650349643</v>
      </c>
      <c r="J48" s="35">
        <f>(Table2[[#This Row],[infection count, low end of estimate range]]+Table2[[#This Row],[infection count, high end of estimate range]])/2</f>
        <v>53527.097902097899</v>
      </c>
      <c r="K48" s="26">
        <f>Table2[[#This Row],[estimated infections]]/$T$6</f>
        <v>0.14643508864322005</v>
      </c>
      <c r="L48" s="27">
        <f>Table2[[#This Row],[infection count, low end of estimate range]]/$T$6</f>
        <v>6.7585425527640033E-2</v>
      </c>
      <c r="M48" s="27">
        <f>Table2[[#This Row],[infection count, high end of estimate range]]/$T$6</f>
        <v>0.15974736942896733</v>
      </c>
      <c r="N48" s="15">
        <f>Table2[[#This Row],[infection percentage, high end of estimate range]]-Table2[[#This Row],[infection percentage, low end of estimate range]]</f>
        <v>9.2161943901327301E-2</v>
      </c>
      <c r="O48" s="27">
        <f>(Table2[[#This Row],[infection percentage, low end of estimate range]]+Table2[[#This Row],[infection percentage, high end of estimate range]])/2</f>
        <v>0.11366639747830368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 x14ac:dyDescent="0.2">
      <c r="A49" s="8">
        <v>43957</v>
      </c>
      <c r="B49" s="56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69883.333333333328</v>
      </c>
      <c r="G49" s="35">
        <f>Table2[[#This Row],[cases]]*100/$T$13</f>
        <v>32253.846153846152</v>
      </c>
      <c r="H49" s="35">
        <f>Table2[[#This Row],[cases]]*100/$T$16</f>
        <v>76236.363636363632</v>
      </c>
      <c r="I49" s="35">
        <f>Table2[[#This Row],[infection count, high end of estimate range]]-Table2[[#This Row],[infection count, low end of estimate range]]</f>
        <v>43982.517482517476</v>
      </c>
      <c r="J49" s="35">
        <f>(Table2[[#This Row],[infection count, low end of estimate range]]+Table2[[#This Row],[infection count, high end of estimate range]])/2</f>
        <v>54245.104895104894</v>
      </c>
      <c r="K49" s="26">
        <f>Table2[[#This Row],[estimated infections]]/$T$6</f>
        <v>0.14839935388060946</v>
      </c>
      <c r="L49" s="27">
        <f>Table2[[#This Row],[infection count, low end of estimate range]]/$T$6</f>
        <v>6.8492009483358221E-2</v>
      </c>
      <c r="M49" s="27">
        <f>Table2[[#This Row],[infection count, high end of estimate range]]/$T$6</f>
        <v>0.16189020423339215</v>
      </c>
      <c r="N49" s="15">
        <f>Table2[[#This Row],[infection percentage, high end of estimate range]]-Table2[[#This Row],[infection percentage, low end of estimate range]]</f>
        <v>9.3398194750033928E-2</v>
      </c>
      <c r="O49" s="27">
        <f>(Table2[[#This Row],[infection percentage, low end of estimate range]]+Table2[[#This Row],[infection percentage, high end of estimate range]])/2</f>
        <v>0.11519110685837519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 x14ac:dyDescent="0.2">
      <c r="A50" s="8">
        <v>43958</v>
      </c>
      <c r="B50" s="56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71100</v>
      </c>
      <c r="G50" s="35">
        <f>Table2[[#This Row],[cases]]*100/$T$13</f>
        <v>32815.384615384617</v>
      </c>
      <c r="H50" s="35">
        <f>Table2[[#This Row],[cases]]*100/$T$16</f>
        <v>77563.636363636368</v>
      </c>
      <c r="I50" s="35">
        <f>Table2[[#This Row],[infection count, high end of estimate range]]-Table2[[#This Row],[infection count, low end of estimate range]]</f>
        <v>44748.251748251751</v>
      </c>
      <c r="J50" s="35">
        <f>(Table2[[#This Row],[infection count, low end of estimate range]]+Table2[[#This Row],[infection count, high end of estimate range]])/2</f>
        <v>55189.510489510489</v>
      </c>
      <c r="K50" s="26">
        <f>Table2[[#This Row],[estimated infections]]/$T$6</f>
        <v>0.15098298203068924</v>
      </c>
      <c r="L50" s="27">
        <f>Table2[[#This Row],[infection count, low end of estimate range]]/$T$6</f>
        <v>6.9684453244933511E-2</v>
      </c>
      <c r="M50" s="27">
        <f>Table2[[#This Row],[infection count, high end of estimate range]]/$T$6</f>
        <v>0.16470870766984283</v>
      </c>
      <c r="N50" s="15">
        <f>Table2[[#This Row],[infection percentage, high end of estimate range]]-Table2[[#This Row],[infection percentage, low end of estimate range]]</f>
        <v>9.5024254424909319E-2</v>
      </c>
      <c r="O50" s="27">
        <f>(Table2[[#This Row],[infection percentage, low end of estimate range]]+Table2[[#This Row],[infection percentage, high end of estimate range]])/2</f>
        <v>0.11719658045738818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 x14ac:dyDescent="0.2">
      <c r="A51" s="8">
        <v>43959</v>
      </c>
      <c r="B51" s="56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71616.666666666672</v>
      </c>
      <c r="G51" s="35">
        <f>Table2[[#This Row],[cases]]*100/$T$13</f>
        <v>33053.846153846156</v>
      </c>
      <c r="H51" s="35">
        <f>Table2[[#This Row],[cases]]*100/$T$16</f>
        <v>78127.272727272721</v>
      </c>
      <c r="I51" s="35">
        <f>Table2[[#This Row],[infection count, high end of estimate range]]-Table2[[#This Row],[infection count, low end of estimate range]]</f>
        <v>45073.426573426565</v>
      </c>
      <c r="J51" s="35">
        <f>(Table2[[#This Row],[infection count, low end of estimate range]]+Table2[[#This Row],[infection count, high end of estimate range]])/2</f>
        <v>55590.559440559438</v>
      </c>
      <c r="K51" s="26">
        <f>Table2[[#This Row],[estimated infections]]/$T$6</f>
        <v>0.15208013919031219</v>
      </c>
      <c r="L51" s="27">
        <f>Table2[[#This Row],[infection count, low end of estimate range]]/$T$6</f>
        <v>7.019083347245178E-2</v>
      </c>
      <c r="M51" s="27">
        <f>Table2[[#This Row],[infection count, high end of estimate range]]/$T$6</f>
        <v>0.16590560638943144</v>
      </c>
      <c r="N51" s="15">
        <f>Table2[[#This Row],[infection percentage, high end of estimate range]]-Table2[[#This Row],[infection percentage, low end of estimate range]]</f>
        <v>9.5714772916979662E-2</v>
      </c>
      <c r="O51" s="27">
        <f>(Table2[[#This Row],[infection percentage, low end of estimate range]]+Table2[[#This Row],[infection percentage, high end of estimate range]])/2</f>
        <v>0.11804821993094161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 x14ac:dyDescent="0.2">
      <c r="A52" s="8">
        <v>43960</v>
      </c>
      <c r="B52" s="56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72625</v>
      </c>
      <c r="G52" s="35">
        <f>Table2[[#This Row],[cases]]*100/$T$13</f>
        <v>33519.230769230766</v>
      </c>
      <c r="H52" s="35">
        <f>Table2[[#This Row],[cases]]*100/$T$16</f>
        <v>79227.272727272721</v>
      </c>
      <c r="I52" s="35">
        <f>Table2[[#This Row],[infection count, high end of estimate range]]-Table2[[#This Row],[infection count, low end of estimate range]]</f>
        <v>45708.041958041955</v>
      </c>
      <c r="J52" s="35">
        <f>(Table2[[#This Row],[infection count, low end of estimate range]]+Table2[[#This Row],[infection count, high end of estimate range]])/2</f>
        <v>56373.251748251743</v>
      </c>
      <c r="K52" s="26">
        <f>Table2[[#This Row],[estimated infections]]/$T$6</f>
        <v>0.15422136525989882</v>
      </c>
      <c r="L52" s="27">
        <f>Table2[[#This Row],[infection count, low end of estimate range]]/$T$6</f>
        <v>7.1179091658414836E-2</v>
      </c>
      <c r="M52" s="27">
        <f>Table2[[#This Row],[infection count, high end of estimate range]]/$T$6</f>
        <v>0.16824148937443509</v>
      </c>
      <c r="N52" s="15">
        <f>Table2[[#This Row],[infection percentage, high end of estimate range]]-Table2[[#This Row],[infection percentage, low end of estimate range]]</f>
        <v>9.7062397716020252E-2</v>
      </c>
      <c r="O52" s="27">
        <f>(Table2[[#This Row],[infection percentage, low end of estimate range]]+Table2[[#This Row],[infection percentage, high end of estimate range]])/2</f>
        <v>0.11971029051642496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 x14ac:dyDescent="0.2">
      <c r="A53" s="8">
        <v>43961</v>
      </c>
      <c r="B53" s="56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73525</v>
      </c>
      <c r="G53" s="35">
        <f>Table2[[#This Row],[cases]]*100/$T$13</f>
        <v>33934.615384615383</v>
      </c>
      <c r="H53" s="35">
        <f>Table2[[#This Row],[cases]]*100/$T$16</f>
        <v>80209.090909090912</v>
      </c>
      <c r="I53" s="35">
        <f>Table2[[#This Row],[infection count, high end of estimate range]]-Table2[[#This Row],[infection count, low end of estimate range]]</f>
        <v>46274.475524475529</v>
      </c>
      <c r="J53" s="35">
        <f>(Table2[[#This Row],[infection count, low end of estimate range]]+Table2[[#This Row],[infection count, high end of estimate range]])/2</f>
        <v>57071.853146853144</v>
      </c>
      <c r="K53" s="26">
        <f>Table2[[#This Row],[estimated infections]]/$T$6</f>
        <v>0.15613254224762907</v>
      </c>
      <c r="L53" s="27">
        <f>Table2[[#This Row],[infection count, low end of estimate range]]/$T$6</f>
        <v>7.206117334505957E-2</v>
      </c>
      <c r="M53" s="27">
        <f>Table2[[#This Row],[infection count, high end of estimate range]]/$T$6</f>
        <v>0.17032640972468627</v>
      </c>
      <c r="N53" s="15">
        <f>Table2[[#This Row],[infection percentage, high end of estimate range]]-Table2[[#This Row],[infection percentage, low end of estimate range]]</f>
        <v>9.8265236379626697E-2</v>
      </c>
      <c r="O53" s="27">
        <f>(Table2[[#This Row],[infection percentage, low end of estimate range]]+Table2[[#This Row],[infection percentage, high end of estimate range]])/2</f>
        <v>0.12119379153487292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 x14ac:dyDescent="0.2">
      <c r="A54" s="8">
        <v>43962</v>
      </c>
      <c r="B54" s="56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73941.666666666672</v>
      </c>
      <c r="G54" s="35">
        <f>Table2[[#This Row],[cases]]*100/$T$13</f>
        <v>34126.923076923078</v>
      </c>
      <c r="H54" s="35">
        <f>Table2[[#This Row],[cases]]*100/$T$16</f>
        <v>80663.636363636368</v>
      </c>
      <c r="I54" s="35">
        <f>Table2[[#This Row],[infection count, high end of estimate range]]-Table2[[#This Row],[infection count, low end of estimate range]]</f>
        <v>46536.71328671329</v>
      </c>
      <c r="J54" s="35">
        <f>(Table2[[#This Row],[infection count, low end of estimate range]]+Table2[[#This Row],[infection count, high end of estimate range]])/2</f>
        <v>57395.279720279723</v>
      </c>
      <c r="K54" s="26">
        <f>Table2[[#This Row],[estimated infections]]/$T$6</f>
        <v>0.15701734640861531</v>
      </c>
      <c r="L54" s="27">
        <f>Table2[[#This Row],[infection count, low end of estimate range]]/$T$6</f>
        <v>7.2469544496283983E-2</v>
      </c>
      <c r="M54" s="27">
        <f>Table2[[#This Row],[infection count, high end of estimate range]]/$T$6</f>
        <v>0.17129165062758034</v>
      </c>
      <c r="N54" s="15">
        <f>Table2[[#This Row],[infection percentage, high end of estimate range]]-Table2[[#This Row],[infection percentage, low end of estimate range]]</f>
        <v>9.8822106131296356E-2</v>
      </c>
      <c r="O54" s="27">
        <f>(Table2[[#This Row],[infection percentage, low end of estimate range]]+Table2[[#This Row],[infection percentage, high end of estimate range]])/2</f>
        <v>0.12188059756193216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 x14ac:dyDescent="0.2">
      <c r="A55" s="8">
        <v>43963</v>
      </c>
      <c r="B55" s="56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75125</v>
      </c>
      <c r="G55" s="35">
        <f>Table2[[#This Row],[cases]]*100/$T$13</f>
        <v>34673.076923076922</v>
      </c>
      <c r="H55" s="35">
        <f>Table2[[#This Row],[cases]]*100/$T$16</f>
        <v>81954.545454545456</v>
      </c>
      <c r="I55" s="35">
        <f>Table2[[#This Row],[infection count, high end of estimate range]]-Table2[[#This Row],[infection count, low end of estimate range]]</f>
        <v>47281.468531468534</v>
      </c>
      <c r="J55" s="35">
        <f>(Table2[[#This Row],[infection count, low end of estimate range]]+Table2[[#This Row],[infection count, high end of estimate range]])/2</f>
        <v>58313.811188811189</v>
      </c>
      <c r="K55" s="26">
        <f>Table2[[#This Row],[estimated infections]]/$T$6</f>
        <v>0.15953019022581619</v>
      </c>
      <c r="L55" s="27">
        <f>Table2[[#This Row],[infection count, low end of estimate range]]/$T$6</f>
        <v>7.3629318565761312E-2</v>
      </c>
      <c r="M55" s="27">
        <f>Table2[[#This Row],[infection count, high end of estimate range]]/$T$6</f>
        <v>0.17403293479179946</v>
      </c>
      <c r="N55" s="15">
        <f>Table2[[#This Row],[infection percentage, high end of estimate range]]-Table2[[#This Row],[infection percentage, low end of estimate range]]</f>
        <v>0.10040361622603815</v>
      </c>
      <c r="O55" s="27">
        <f>(Table2[[#This Row],[infection percentage, low end of estimate range]]+Table2[[#This Row],[infection percentage, high end of estimate range]])/2</f>
        <v>0.12383112667878038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 x14ac:dyDescent="0.2">
      <c r="A56" s="8">
        <v>43964</v>
      </c>
      <c r="B56" s="56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75591.666666666672</v>
      </c>
      <c r="G56" s="35">
        <f>Table2[[#This Row],[cases]]*100/$T$13</f>
        <v>34888.461538461539</v>
      </c>
      <c r="H56" s="35">
        <f>Table2[[#This Row],[cases]]*100/$T$16</f>
        <v>82463.636363636368</v>
      </c>
      <c r="I56" s="35">
        <f>Table2[[#This Row],[infection count, high end of estimate range]]-Table2[[#This Row],[infection count, low end of estimate range]]</f>
        <v>47575.174825174829</v>
      </c>
      <c r="J56" s="35">
        <f>(Table2[[#This Row],[infection count, low end of estimate range]]+Table2[[#This Row],[infection count, high end of estimate range]])/2</f>
        <v>58676.048951048957</v>
      </c>
      <c r="K56" s="26">
        <f>Table2[[#This Row],[estimated infections]]/$T$6</f>
        <v>0.16052117088612075</v>
      </c>
      <c r="L56" s="27">
        <f>Table2[[#This Row],[infection count, low end of estimate range]]/$T$6</f>
        <v>7.408669425513266E-2</v>
      </c>
      <c r="M56" s="27">
        <f>Table2[[#This Row],[infection count, high end of estimate range]]/$T$6</f>
        <v>0.17511400460304083</v>
      </c>
      <c r="N56" s="15">
        <f>Table2[[#This Row],[infection percentage, high end of estimate range]]-Table2[[#This Row],[infection percentage, low end of estimate range]]</f>
        <v>0.10102731034790817</v>
      </c>
      <c r="O56" s="27">
        <f>(Table2[[#This Row],[infection percentage, low end of estimate range]]+Table2[[#This Row],[infection percentage, high end of estimate range]])/2</f>
        <v>0.12460034942908674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 x14ac:dyDescent="0.2">
      <c r="A57" s="8">
        <v>43965</v>
      </c>
      <c r="B57" s="56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76258.333333333328</v>
      </c>
      <c r="G57" s="35">
        <f>Table2[[#This Row],[cases]]*100/$T$13</f>
        <v>35196.153846153844</v>
      </c>
      <c r="H57" s="35">
        <f>Table2[[#This Row],[cases]]*100/$T$16</f>
        <v>83190.909090909088</v>
      </c>
      <c r="I57" s="35">
        <f>Table2[[#This Row],[infection count, high end of estimate range]]-Table2[[#This Row],[infection count, low end of estimate range]]</f>
        <v>47994.755244755244</v>
      </c>
      <c r="J57" s="35">
        <f>(Table2[[#This Row],[infection count, low end of estimate range]]+Table2[[#This Row],[infection count, high end of estimate range]])/2</f>
        <v>59193.531468531466</v>
      </c>
      <c r="K57" s="26">
        <f>Table2[[#This Row],[estimated infections]]/$T$6</f>
        <v>0.16193685754369869</v>
      </c>
      <c r="L57" s="27">
        <f>Table2[[#This Row],[infection count, low end of estimate range]]/$T$6</f>
        <v>7.4740088097091706E-2</v>
      </c>
      <c r="M57" s="27">
        <f>Table2[[#This Row],[infection count, high end of estimate range]]/$T$6</f>
        <v>0.17665839004767131</v>
      </c>
      <c r="N57" s="15">
        <f>Table2[[#This Row],[infection percentage, high end of estimate range]]-Table2[[#This Row],[infection percentage, low end of estimate range]]</f>
        <v>0.1019183019505796</v>
      </c>
      <c r="O57" s="27">
        <f>(Table2[[#This Row],[infection percentage, low end of estimate range]]+Table2[[#This Row],[infection percentage, high end of estimate range]])/2</f>
        <v>0.12569923907238151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 x14ac:dyDescent="0.2">
      <c r="A58" s="8">
        <v>43966</v>
      </c>
      <c r="B58" s="56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77308.333333333328</v>
      </c>
      <c r="G58" s="35">
        <f>Table2[[#This Row],[cases]]*100/$T$13</f>
        <v>35680.769230769234</v>
      </c>
      <c r="H58" s="35">
        <f>Table2[[#This Row],[cases]]*100/$T$16</f>
        <v>84336.363636363632</v>
      </c>
      <c r="I58" s="35">
        <f>Table2[[#This Row],[infection count, high end of estimate range]]-Table2[[#This Row],[infection count, low end of estimate range]]</f>
        <v>48655.594405594398</v>
      </c>
      <c r="J58" s="35">
        <f>(Table2[[#This Row],[infection count, low end of estimate range]]+Table2[[#This Row],[infection count, high end of estimate range]])/2</f>
        <v>60008.566433566433</v>
      </c>
      <c r="K58" s="26">
        <f>Table2[[#This Row],[estimated infections]]/$T$6</f>
        <v>0.16416656402938398</v>
      </c>
      <c r="L58" s="27">
        <f>Table2[[#This Row],[infection count, low end of estimate range]]/$T$6</f>
        <v>7.5769183398177231E-2</v>
      </c>
      <c r="M58" s="27">
        <f>Table2[[#This Row],[infection count, high end of estimate range]]/$T$6</f>
        <v>0.17909079712296436</v>
      </c>
      <c r="N58" s="15">
        <f>Table2[[#This Row],[infection percentage, high end of estimate range]]-Table2[[#This Row],[infection percentage, low end of estimate range]]</f>
        <v>0.10332161372478713</v>
      </c>
      <c r="O58" s="27">
        <f>(Table2[[#This Row],[infection percentage, low end of estimate range]]+Table2[[#This Row],[infection percentage, high end of estimate range]])/2</f>
        <v>0.12742999026057078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 x14ac:dyDescent="0.2">
      <c r="A59" s="8">
        <v>43967</v>
      </c>
      <c r="B59" s="56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78700</v>
      </c>
      <c r="G59" s="35">
        <f>Table2[[#This Row],[cases]]*100/$T$13</f>
        <v>36323.076923076922</v>
      </c>
      <c r="H59" s="35">
        <f>Table2[[#This Row],[cases]]*100/$T$16</f>
        <v>85854.545454545456</v>
      </c>
      <c r="I59" s="35">
        <f>Table2[[#This Row],[infection count, high end of estimate range]]-Table2[[#This Row],[infection count, low end of estimate range]]</f>
        <v>49531.468531468534</v>
      </c>
      <c r="J59" s="35">
        <f>(Table2[[#This Row],[infection count, low end of estimate range]]+Table2[[#This Row],[infection count, high end of estimate range]])/2</f>
        <v>61088.811188811189</v>
      </c>
      <c r="K59" s="26">
        <f>Table2[[#This Row],[estimated infections]]/$T$6</f>
        <v>0.16712180992707798</v>
      </c>
      <c r="L59" s="27">
        <f>Table2[[#This Row],[infection count, low end of estimate range]]/$T$6</f>
        <v>7.7133143043266753E-2</v>
      </c>
      <c r="M59" s="27">
        <f>Table2[[#This Row],[infection count, high end of estimate range]]/$T$6</f>
        <v>0.18231470173863051</v>
      </c>
      <c r="N59" s="15">
        <f>Table2[[#This Row],[infection percentage, high end of estimate range]]-Table2[[#This Row],[infection percentage, low end of estimate range]]</f>
        <v>0.10518155869536376</v>
      </c>
      <c r="O59" s="27">
        <f>(Table2[[#This Row],[infection percentage, low end of estimate range]]+Table2[[#This Row],[infection percentage, high end of estimate range]])/2</f>
        <v>0.12972392239094863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 x14ac:dyDescent="0.2">
      <c r="A60" s="8">
        <v>43968</v>
      </c>
      <c r="B60" s="56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79908.333333333328</v>
      </c>
      <c r="G60" s="35">
        <f>Table2[[#This Row],[cases]]*100/$T$13</f>
        <v>36880.769230769234</v>
      </c>
      <c r="H60" s="35">
        <f>Table2[[#This Row],[cases]]*100/$T$16</f>
        <v>87172.727272727279</v>
      </c>
      <c r="I60" s="35">
        <f>Table2[[#This Row],[infection count, high end of estimate range]]-Table2[[#This Row],[infection count, low end of estimate range]]</f>
        <v>50291.958041958045</v>
      </c>
      <c r="J60" s="35">
        <f>(Table2[[#This Row],[infection count, low end of estimate range]]+Table2[[#This Row],[infection count, high end of estimate range]])/2</f>
        <v>62026.748251748257</v>
      </c>
      <c r="K60" s="26">
        <f>Table2[[#This Row],[estimated infections]]/$T$6</f>
        <v>0.16968774199393802</v>
      </c>
      <c r="L60" s="27">
        <f>Table2[[#This Row],[infection count, low end of estimate range]]/$T$6</f>
        <v>7.8317419381817563E-2</v>
      </c>
      <c r="M60" s="27">
        <f>Table2[[#This Row],[infection count, high end of estimate range]]/$T$6</f>
        <v>0.18511390035702333</v>
      </c>
      <c r="N60" s="15">
        <f>Table2[[#This Row],[infection percentage, high end of estimate range]]-Table2[[#This Row],[infection percentage, low end of estimate range]]</f>
        <v>0.10679648097520576</v>
      </c>
      <c r="O60" s="27">
        <f>(Table2[[#This Row],[infection percentage, low end of estimate range]]+Table2[[#This Row],[infection percentage, high end of estimate range]])/2</f>
        <v>0.13171565986942044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 x14ac:dyDescent="0.2">
      <c r="V61" s="55" t="str">
        <f ca="1">"updated " &amp; TEXT($U6,"MMMM d, yyyy") &amp; ", " &amp; T9</f>
        <v>updated May 17, 2020, evening</v>
      </c>
    </row>
    <row r="62" spans="1:22" x14ac:dyDescent="0.2">
      <c r="U62" s="34" t="s">
        <v>32</v>
      </c>
      <c r="V62" s="36"/>
    </row>
    <row r="63" spans="1:22" x14ac:dyDescent="0.2">
      <c r="U63" s="27">
        <f ca="1">OFFSET(compute!D4,COUNTA(compute!D:D)-1,0)</f>
        <v>1.5353663701821263E-2</v>
      </c>
    </row>
    <row r="64" spans="1:22" x14ac:dyDescent="0.2">
      <c r="V64" s="33" t="s">
        <v>24</v>
      </c>
    </row>
    <row r="65" spans="22:22" x14ac:dyDescent="0.2">
      <c r="V65" s="1" t="str">
        <f ca="1">"There have been " &amp;TEXT( U9,"0") &amp; " confirmed cases of COVID-19 disease in " &amp; B1 &amp; " since the start of the outbreak."</f>
        <v>There have been 9589 confirmed cases of COVID-19 disease in Miami since the start of the outbreak.</v>
      </c>
    </row>
    <row r="67" spans="22:22" x14ac:dyDescent="0.2">
      <c r="V67" s="1" t="str">
        <f ca="1">"Around " &amp;TEXT(ROUND(U12,-3),"#,##0") &amp;" people in " &amp; B1 &amp; " may have already been infected with the SARS-CoV-2 virus."</f>
        <v>Around 80,000 people in Miami may have already been infected with the SARS-CoV-2 virus.</v>
      </c>
    </row>
    <row r="69" spans="22:22" x14ac:dyDescent="0.2">
      <c r="V69" s="1" t="str">
        <f ca="1">"Around " &amp; TEXT(U15,"0.0%") &amp; " of the total population of " &amp; B1 &amp; " may have already been infected with the SARS-CoV-2 virus, based on an estimated population of " &amp; TEXT(T6,"0,000") &amp; "."</f>
        <v>Around 17.0% of the total population of Miami may have already been infected with the SARS-CoV-2 virus, based on an estimated population of 470,914.</v>
      </c>
    </row>
    <row r="71" spans="22:22" x14ac:dyDescent="0.2">
      <c r="V71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8.</v>
      </c>
    </row>
    <row r="73" spans="22:22" x14ac:dyDescent="0.2">
      <c r="V73" s="1" t="str">
        <f ca="1">"doubing in " &amp; TEXT(U21,"0.0") &amp; " days"</f>
        <v>doubing in 45.5 days</v>
      </c>
    </row>
    <row r="75" spans="22:22" x14ac:dyDescent="0.2">
      <c r="V75" s="1" t="str">
        <f ca="1">TEXT(U63, "+0.0%;-0.0%") &amp; " per day"</f>
        <v>+1.5% per day</v>
      </c>
    </row>
    <row r="77" spans="22:22" x14ac:dyDescent="0.2">
      <c r="V77" t="str">
        <f ca="1">"The current rate of increase is " &amp; V75</f>
        <v>The current rate of increase is +1.5%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0"/>
  <sheetViews>
    <sheetView topLeftCell="A53" zoomScale="231" workbookViewId="0">
      <selection activeCell="B60" sqref="A1:B60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 x14ac:dyDescent="0.2">
      <c r="A57" s="8">
        <v>43965</v>
      </c>
      <c r="B57" s="9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 x14ac:dyDescent="0.2">
      <c r="A58" s="8">
        <v>43966</v>
      </c>
      <c r="B58" s="9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 x14ac:dyDescent="0.2">
      <c r="A59" s="8">
        <v>43967</v>
      </c>
      <c r="B59" s="9">
        <v>791</v>
      </c>
      <c r="C59" s="26">
        <f t="shared" si="26"/>
        <v>5.0825921219822112E-3</v>
      </c>
      <c r="D59" s="38">
        <f t="shared" si="27"/>
        <v>136.72298852710364</v>
      </c>
    </row>
    <row r="60" spans="1:4" x14ac:dyDescent="0.2">
      <c r="A60" s="8">
        <v>43968</v>
      </c>
      <c r="B60" s="9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0"/>
  <sheetViews>
    <sheetView workbookViewId="0">
      <selection sqref="A1:B6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  <row r="31" spans="1:4" x14ac:dyDescent="0.2">
      <c r="A31" s="8">
        <v>43939</v>
      </c>
      <c r="B31" s="56">
        <v>5473</v>
      </c>
      <c r="C31" s="26">
        <f t="shared" ref="C31:C39" si="16">(B31-B30)/B30</f>
        <v>2.7793427230046949E-2</v>
      </c>
      <c r="D31" s="38">
        <f t="shared" ref="D31:D39" si="17">(LN(2)/LN(B31/B30))</f>
        <v>25.284238323265988</v>
      </c>
    </row>
    <row r="32" spans="1:4" x14ac:dyDescent="0.2">
      <c r="A32" s="8">
        <v>43940</v>
      </c>
      <c r="B32" s="56">
        <v>5645</v>
      </c>
      <c r="C32" s="26">
        <f t="shared" si="16"/>
        <v>3.1427005298739263E-2</v>
      </c>
      <c r="D32" s="38">
        <f t="shared" si="17"/>
        <v>22.400568352945822</v>
      </c>
    </row>
    <row r="33" spans="1:4" x14ac:dyDescent="0.2">
      <c r="A33" s="8">
        <v>43941</v>
      </c>
      <c r="B33" s="56">
        <v>5852</v>
      </c>
      <c r="C33" s="26">
        <f t="shared" si="16"/>
        <v>3.6669619131975202E-2</v>
      </c>
      <c r="D33" s="38">
        <f t="shared" si="17"/>
        <v>19.246985379249875</v>
      </c>
    </row>
    <row r="34" spans="1:4" x14ac:dyDescent="0.2">
      <c r="A34" s="8">
        <v>43942</v>
      </c>
      <c r="B34" s="56">
        <v>6064</v>
      </c>
      <c r="C34" s="26">
        <f t="shared" si="16"/>
        <v>3.6226930963773066E-2</v>
      </c>
      <c r="D34" s="38">
        <f t="shared" si="17"/>
        <v>19.477995929350573</v>
      </c>
    </row>
    <row r="35" spans="1:4" x14ac:dyDescent="0.2">
      <c r="A35" s="8">
        <v>43943</v>
      </c>
      <c r="B35" s="56">
        <v>6227</v>
      </c>
      <c r="C35" s="26">
        <f t="shared" si="16"/>
        <v>2.6879947229551452E-2</v>
      </c>
      <c r="D35" s="38">
        <f t="shared" si="17"/>
        <v>26.131817554080403</v>
      </c>
    </row>
    <row r="36" spans="1:4" x14ac:dyDescent="0.2">
      <c r="A36" s="8">
        <v>43944</v>
      </c>
      <c r="B36" s="56">
        <v>6413</v>
      </c>
      <c r="C36" s="26">
        <f t="shared" si="16"/>
        <v>2.9869921310422355E-2</v>
      </c>
      <c r="D36" s="38">
        <f t="shared" si="17"/>
        <v>23.55039768449053</v>
      </c>
    </row>
    <row r="37" spans="1:4" x14ac:dyDescent="0.2">
      <c r="A37" s="8">
        <v>43945</v>
      </c>
      <c r="B37" s="56">
        <v>6658</v>
      </c>
      <c r="C37" s="26">
        <f t="shared" si="16"/>
        <v>3.8203648838297209E-2</v>
      </c>
      <c r="D37" s="38">
        <f t="shared" si="17"/>
        <v>18.487889118218384</v>
      </c>
    </row>
    <row r="38" spans="1:4" x14ac:dyDescent="0.2">
      <c r="A38" s="8">
        <v>43946</v>
      </c>
      <c r="B38" s="56">
        <v>6710</v>
      </c>
      <c r="C38" s="26">
        <f t="shared" si="16"/>
        <v>7.8101531991589066E-3</v>
      </c>
      <c r="D38" s="38">
        <f t="shared" si="17"/>
        <v>89.095622829796753</v>
      </c>
    </row>
    <row r="39" spans="1:4" x14ac:dyDescent="0.2">
      <c r="A39" s="8">
        <v>43947</v>
      </c>
      <c r="B39" s="56">
        <v>7001</v>
      </c>
      <c r="C39" s="26">
        <f t="shared" si="16"/>
        <v>4.3368107302533529E-2</v>
      </c>
      <c r="D39" s="38">
        <f t="shared" si="17"/>
        <v>16.326999709277924</v>
      </c>
    </row>
    <row r="40" spans="1:4" x14ac:dyDescent="0.2">
      <c r="A40" s="8">
        <v>43948</v>
      </c>
      <c r="B40" s="56">
        <v>7159</v>
      </c>
      <c r="C40" s="26">
        <f t="shared" ref="C40:C55" si="18">(B40-B39)/B39</f>
        <v>2.2568204542208255E-2</v>
      </c>
      <c r="D40" s="38">
        <f t="shared" ref="D40:D55" si="19">(LN(2)/LN(B40/B39))</f>
        <v>31.058723813341835</v>
      </c>
    </row>
    <row r="41" spans="1:4" x14ac:dyDescent="0.2">
      <c r="A41" s="8">
        <v>43949</v>
      </c>
      <c r="B41" s="56">
        <v>7364</v>
      </c>
      <c r="C41" s="26">
        <f t="shared" si="18"/>
        <v>2.8635284257577873E-2</v>
      </c>
      <c r="D41" s="38">
        <f t="shared" si="19"/>
        <v>24.550994839858753</v>
      </c>
    </row>
    <row r="42" spans="1:4" x14ac:dyDescent="0.2">
      <c r="A42" s="8">
        <v>43950</v>
      </c>
      <c r="B42" s="56">
        <v>7418</v>
      </c>
      <c r="C42" s="26">
        <f t="shared" si="18"/>
        <v>7.3329712112982079E-3</v>
      </c>
      <c r="D42" s="38">
        <f t="shared" si="19"/>
        <v>94.870889301226129</v>
      </c>
    </row>
    <row r="43" spans="1:4" x14ac:dyDescent="0.2">
      <c r="A43" s="8">
        <v>43951</v>
      </c>
      <c r="B43" s="56">
        <v>7490</v>
      </c>
      <c r="C43" s="26">
        <f t="shared" si="18"/>
        <v>9.7061202480452947E-3</v>
      </c>
      <c r="D43" s="38">
        <f t="shared" si="19"/>
        <v>71.759429333057724</v>
      </c>
    </row>
    <row r="44" spans="1:4" x14ac:dyDescent="0.2">
      <c r="A44" s="8">
        <v>43952</v>
      </c>
      <c r="B44" s="56">
        <v>7685</v>
      </c>
      <c r="C44" s="26">
        <f t="shared" si="18"/>
        <v>2.6034712950600801E-2</v>
      </c>
      <c r="D44" s="38">
        <f t="shared" si="19"/>
        <v>26.969049960532978</v>
      </c>
    </row>
    <row r="45" spans="1:4" x14ac:dyDescent="0.2">
      <c r="A45" s="8">
        <v>43953</v>
      </c>
      <c r="B45" s="56">
        <v>7836</v>
      </c>
      <c r="C45" s="26">
        <f t="shared" si="18"/>
        <v>1.9648666232921275E-2</v>
      </c>
      <c r="D45" s="38">
        <f t="shared" si="19"/>
        <v>35.622509801798749</v>
      </c>
    </row>
    <row r="46" spans="1:4" x14ac:dyDescent="0.2">
      <c r="A46" s="8">
        <v>43954</v>
      </c>
      <c r="B46" s="56">
        <v>7928</v>
      </c>
      <c r="C46" s="26">
        <f t="shared" si="18"/>
        <v>1.1740684022460439E-2</v>
      </c>
      <c r="D46" s="38">
        <f t="shared" si="19"/>
        <v>59.383957056845482</v>
      </c>
    </row>
    <row r="47" spans="1:4" x14ac:dyDescent="0.2">
      <c r="A47" s="8">
        <v>43955</v>
      </c>
      <c r="B47" s="56">
        <v>8166</v>
      </c>
      <c r="C47" s="26">
        <f t="shared" si="18"/>
        <v>3.0020181634712411E-2</v>
      </c>
      <c r="D47" s="38">
        <f t="shared" si="19"/>
        <v>23.434238408786449</v>
      </c>
    </row>
    <row r="48" spans="1:4" x14ac:dyDescent="0.2">
      <c r="A48" s="8">
        <v>43956</v>
      </c>
      <c r="B48" s="56">
        <v>8275</v>
      </c>
      <c r="C48" s="26">
        <f t="shared" si="18"/>
        <v>1.3348028410482488E-2</v>
      </c>
      <c r="D48" s="38">
        <f t="shared" si="19"/>
        <v>52.274613886566158</v>
      </c>
    </row>
    <row r="49" spans="1:4" x14ac:dyDescent="0.2">
      <c r="A49" s="8">
        <v>43957</v>
      </c>
      <c r="B49" s="56">
        <v>8386</v>
      </c>
      <c r="C49" s="26">
        <f t="shared" si="18"/>
        <v>1.3413897280966768E-2</v>
      </c>
      <c r="D49" s="38">
        <f t="shared" si="19"/>
        <v>52.019614008401071</v>
      </c>
    </row>
    <row r="50" spans="1:4" x14ac:dyDescent="0.2">
      <c r="A50" s="8">
        <v>43958</v>
      </c>
      <c r="B50" s="56">
        <v>8532</v>
      </c>
      <c r="C50" s="26">
        <f t="shared" si="18"/>
        <v>1.7409968995945622E-2</v>
      </c>
      <c r="D50" s="38">
        <f t="shared" si="19"/>
        <v>40.158811241103884</v>
      </c>
    </row>
    <row r="51" spans="1:4" x14ac:dyDescent="0.2">
      <c r="A51" s="8">
        <v>43959</v>
      </c>
      <c r="B51" s="56">
        <v>8594</v>
      </c>
      <c r="C51" s="26">
        <f t="shared" si="18"/>
        <v>7.266760431317393E-3</v>
      </c>
      <c r="D51" s="38">
        <f t="shared" si="19"/>
        <v>95.732151243481965</v>
      </c>
    </row>
    <row r="52" spans="1:4" x14ac:dyDescent="0.2">
      <c r="A52" s="8">
        <v>43960</v>
      </c>
      <c r="B52" s="56">
        <v>8715</v>
      </c>
      <c r="C52" s="26">
        <f t="shared" si="18"/>
        <v>1.407959041191529E-2</v>
      </c>
      <c r="D52" s="38">
        <f t="shared" si="19"/>
        <v>49.576401282989799</v>
      </c>
    </row>
    <row r="53" spans="1:4" x14ac:dyDescent="0.2">
      <c r="A53" s="8">
        <v>43961</v>
      </c>
      <c r="B53" s="56">
        <v>8823</v>
      </c>
      <c r="C53" s="26">
        <f t="shared" si="18"/>
        <v>1.2392426850258176E-2</v>
      </c>
      <c r="D53" s="38">
        <f t="shared" si="19"/>
        <v>56.278988829986361</v>
      </c>
    </row>
    <row r="54" spans="1:4" x14ac:dyDescent="0.2">
      <c r="A54" s="8">
        <v>43962</v>
      </c>
      <c r="B54" s="56">
        <v>8873</v>
      </c>
      <c r="C54" s="26">
        <f t="shared" si="18"/>
        <v>5.6670066870678909E-3</v>
      </c>
      <c r="D54" s="38">
        <f t="shared" si="19"/>
        <v>122.65899865694688</v>
      </c>
    </row>
    <row r="55" spans="1:4" x14ac:dyDescent="0.2">
      <c r="A55" s="8">
        <v>43963</v>
      </c>
      <c r="B55" s="56">
        <v>9015</v>
      </c>
      <c r="C55" s="26">
        <f t="shared" si="18"/>
        <v>1.6003606446523159E-2</v>
      </c>
      <c r="D55" s="38">
        <f t="shared" si="19"/>
        <v>43.657592657146672</v>
      </c>
    </row>
    <row r="56" spans="1:4" x14ac:dyDescent="0.2">
      <c r="A56" s="8">
        <v>43964</v>
      </c>
      <c r="B56" s="56">
        <v>9071</v>
      </c>
      <c r="C56" s="26">
        <f t="shared" ref="C56" si="20">(B56-B55)/B55</f>
        <v>6.2118691070438157E-3</v>
      </c>
      <c r="D56" s="38">
        <f t="shared" ref="D56" si="21">(LN(2)/LN(B56/B55))</f>
        <v>111.93053433065666</v>
      </c>
    </row>
    <row r="57" spans="1:4" x14ac:dyDescent="0.2">
      <c r="A57" s="8">
        <v>43965</v>
      </c>
      <c r="B57" s="56">
        <v>9151</v>
      </c>
      <c r="C57" s="26">
        <f t="shared" ref="C57" si="22">(B57-B56)/B56</f>
        <v>8.8193142983133063E-3</v>
      </c>
      <c r="D57" s="38">
        <f t="shared" ref="D57" si="23">(LN(2)/LN(B57/B56))</f>
        <v>78.94029233636499</v>
      </c>
    </row>
    <row r="58" spans="1:4" x14ac:dyDescent="0.2">
      <c r="A58" s="8">
        <v>43966</v>
      </c>
      <c r="B58" s="56">
        <v>9277</v>
      </c>
      <c r="C58" s="26">
        <f t="shared" ref="C58:C60" si="24">(B58-B57)/B57</f>
        <v>1.3768986995956725E-2</v>
      </c>
      <c r="D58" s="38">
        <f t="shared" ref="D58:D60" si="25">(LN(2)/LN(B58/B57))</f>
        <v>50.686972970738736</v>
      </c>
    </row>
    <row r="59" spans="1:4" x14ac:dyDescent="0.2">
      <c r="A59" s="8">
        <v>43967</v>
      </c>
      <c r="B59" s="56">
        <v>9444</v>
      </c>
      <c r="C59" s="26">
        <f t="shared" si="24"/>
        <v>1.8001509108548024E-2</v>
      </c>
      <c r="D59" s="38">
        <f t="shared" si="25"/>
        <v>38.850491503432927</v>
      </c>
    </row>
    <row r="60" spans="1:4" x14ac:dyDescent="0.2">
      <c r="A60" s="8">
        <v>43968</v>
      </c>
      <c r="B60" s="56">
        <v>9589</v>
      </c>
      <c r="C60" s="26">
        <f t="shared" si="24"/>
        <v>1.5353663701821263E-2</v>
      </c>
      <c r="D60" s="38">
        <f t="shared" si="25"/>
        <v>45.491086389368192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2020-05-18T00:06:19Z</dcterms:modified>
</cp:coreProperties>
</file>