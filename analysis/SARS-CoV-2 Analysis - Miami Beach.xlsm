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FD01C4EC-1DB9-6442-B451-D2727BA26459}" xr6:coauthVersionLast="45" xr6:coauthVersionMax="45" xr10:uidLastSave="{00000000-0000-0000-0000-000000000000}"/>
  <bookViews>
    <workbookView xWindow="0" yWindow="460" windowWidth="28800" windowHeight="17540" firstSheet="1" activeTab="3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state="hidden" r:id="rId11"/>
    <sheet name="Miami Beach evening" sheetId="10" r:id="rId12"/>
    <sheet name="Miami morning" sheetId="11" state="hidden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5" l="1"/>
  <c r="M7" i="5"/>
  <c r="C67" i="1"/>
  <c r="D67" i="1"/>
  <c r="E67" i="1"/>
  <c r="F67" i="1"/>
  <c r="G67" i="1"/>
  <c r="J67" i="1" s="1"/>
  <c r="H67" i="1"/>
  <c r="I67" i="1" s="1"/>
  <c r="C67" i="12"/>
  <c r="D67" i="12"/>
  <c r="C67" i="10"/>
  <c r="D67" i="10"/>
  <c r="C63" i="1" l="1"/>
  <c r="D63" i="1"/>
  <c r="E63" i="1"/>
  <c r="F63" i="1"/>
  <c r="G63" i="1"/>
  <c r="H63" i="1"/>
  <c r="I63" i="1" s="1"/>
  <c r="C64" i="1"/>
  <c r="D64" i="1"/>
  <c r="E64" i="1"/>
  <c r="F64" i="1"/>
  <c r="G64" i="1"/>
  <c r="H64" i="1"/>
  <c r="C65" i="1"/>
  <c r="D65" i="1"/>
  <c r="E65" i="1"/>
  <c r="F65" i="1"/>
  <c r="G65" i="1"/>
  <c r="H65" i="1"/>
  <c r="C66" i="1"/>
  <c r="D66" i="1"/>
  <c r="E66" i="1"/>
  <c r="F66" i="1"/>
  <c r="G66" i="1"/>
  <c r="J66" i="1" s="1"/>
  <c r="H66" i="1"/>
  <c r="C63" i="12"/>
  <c r="D63" i="12"/>
  <c r="C64" i="12"/>
  <c r="D64" i="12"/>
  <c r="C65" i="12"/>
  <c r="D65" i="12"/>
  <c r="C66" i="12"/>
  <c r="D66" i="12"/>
  <c r="C63" i="10"/>
  <c r="D63" i="10"/>
  <c r="C64" i="10"/>
  <c r="D64" i="10"/>
  <c r="C65" i="10"/>
  <c r="D65" i="10"/>
  <c r="C66" i="10"/>
  <c r="D66" i="10"/>
  <c r="J65" i="1" l="1"/>
  <c r="J63" i="1"/>
  <c r="I66" i="1"/>
  <c r="J64" i="1"/>
  <c r="I65" i="1"/>
  <c r="I64" i="1"/>
  <c r="C61" i="12"/>
  <c r="D61" i="12"/>
  <c r="C62" i="12"/>
  <c r="D62" i="12"/>
  <c r="C61" i="1"/>
  <c r="D61" i="1"/>
  <c r="E61" i="1"/>
  <c r="F61" i="1"/>
  <c r="G61" i="1"/>
  <c r="H61" i="1"/>
  <c r="C62" i="1"/>
  <c r="D62" i="1"/>
  <c r="E62" i="1"/>
  <c r="F62" i="1"/>
  <c r="G62" i="1"/>
  <c r="H62" i="1"/>
  <c r="C61" i="10"/>
  <c r="D61" i="10"/>
  <c r="C62" i="10"/>
  <c r="D62" i="10"/>
  <c r="I62" i="1" l="1"/>
  <c r="J61" i="1"/>
  <c r="J62" i="1"/>
  <c r="I61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I58" i="1" l="1"/>
  <c r="J59" i="1"/>
  <c r="I60" i="1"/>
  <c r="J58" i="1"/>
  <c r="I59" i="1"/>
  <c r="J60" i="1"/>
  <c r="C57" i="12"/>
  <c r="D57" i="12"/>
  <c r="C57" i="1"/>
  <c r="D57" i="1"/>
  <c r="E57" i="1"/>
  <c r="F57" i="1"/>
  <c r="G57" i="1"/>
  <c r="H57" i="1"/>
  <c r="C57" i="10"/>
  <c r="D57" i="10"/>
  <c r="J57" i="1" l="1"/>
  <c r="I57" i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74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8" i="1" s="1"/>
  <c r="U9" i="1"/>
  <c r="C6" i="6" s="1"/>
  <c r="X6" i="1"/>
  <c r="T9" i="1"/>
  <c r="T6" i="1"/>
  <c r="L67" i="1" l="1"/>
  <c r="P67" i="1"/>
  <c r="M67" i="1"/>
  <c r="N67" i="1" s="1"/>
  <c r="Q67" i="1"/>
  <c r="K67" i="1"/>
  <c r="M63" i="1"/>
  <c r="Q63" i="1"/>
  <c r="L64" i="1"/>
  <c r="P64" i="1"/>
  <c r="K65" i="1"/>
  <c r="M64" i="1"/>
  <c r="Q64" i="1"/>
  <c r="L65" i="1"/>
  <c r="P65" i="1"/>
  <c r="K66" i="1"/>
  <c r="K63" i="1"/>
  <c r="M65" i="1"/>
  <c r="N65" i="1" s="1"/>
  <c r="Q65" i="1"/>
  <c r="L66" i="1"/>
  <c r="P66" i="1"/>
  <c r="L63" i="1"/>
  <c r="P63" i="1"/>
  <c r="K64" i="1"/>
  <c r="M66" i="1"/>
  <c r="Q66" i="1"/>
  <c r="K61" i="1"/>
  <c r="P61" i="1"/>
  <c r="K62" i="1"/>
  <c r="P62" i="1"/>
  <c r="M62" i="1"/>
  <c r="L61" i="1"/>
  <c r="M61" i="1"/>
  <c r="Q61" i="1"/>
  <c r="L62" i="1"/>
  <c r="O62" i="1" s="1"/>
  <c r="Q62" i="1"/>
  <c r="K58" i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72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33" i="1" l="1"/>
  <c r="R67" i="1"/>
  <c r="S67" i="1"/>
  <c r="O67" i="1"/>
  <c r="O63" i="1"/>
  <c r="O66" i="1"/>
  <c r="N64" i="1"/>
  <c r="O65" i="1"/>
  <c r="R64" i="1"/>
  <c r="S64" i="1"/>
  <c r="N66" i="1"/>
  <c r="S66" i="1"/>
  <c r="R66" i="1"/>
  <c r="O64" i="1"/>
  <c r="R63" i="1"/>
  <c r="S63" i="1"/>
  <c r="S65" i="1"/>
  <c r="R65" i="1"/>
  <c r="N63" i="1"/>
  <c r="N61" i="1"/>
  <c r="R62" i="1"/>
  <c r="S62" i="1"/>
  <c r="O61" i="1"/>
  <c r="R61" i="1"/>
  <c r="S61" i="1"/>
  <c r="N62" i="1"/>
  <c r="O58" i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80" i="1" s="1"/>
  <c r="C8" i="6" s="1"/>
  <c r="U70" i="1"/>
  <c r="V82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84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76" i="1" l="1"/>
  <c r="U18" i="1"/>
  <c r="V78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<sst xmlns="http://schemas.openxmlformats.org/spreadsheetml/2006/main" count="165" uniqueCount="65">
  <si>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</si>
  <si>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</si>
  <si>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</si>
  <si>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</si>
  <si>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</si>
  <si>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</si>
  <si>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</si>
  <si>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</si>
  <si>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</si>
  <si>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</si>
  <si>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</si>
  <si>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</si>
  <si>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</si>
  <si>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</si>
  <si>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</si>
  <si>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</si>
  <si>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</si>
  <si>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</si>
  <si>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</si>
  <si>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</si>
  <si>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</si>
  <si>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</si>
  <si>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</si>
  <si>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</si>
  <si>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</si>
  <si>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</si>
  <si>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</si>
  <si>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</si>
  <si>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</si>
  <si>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</si>
  <si>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</si>
  <si>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</si>
  <si>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</si>
  <si>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</si>
  <si>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</si>
  <si>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</si>
  <si>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</si>
  <si>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</si>
  <si>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</si>
  <si>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</si>
  <si>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</si>
  <si>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</si>
  <si>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</si>
  <si>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</si>
  <si>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</si>
  <si>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</si>
  <si>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</si>
  <si>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</si>
  <si>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</si>
  <si>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</si>
  <si>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</si>
  <si>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</si>
  <si>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</si>
  <si>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</si>
  <si>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</si>
  <si>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</si>
  <si>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</si>
  <si>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</si>
  <si>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</si>
  <si>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</si>
  <si>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</si>
  <si>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</si>
  <si>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</si>
  <si>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12 - 18</t>
  </si>
  <si>
    <t>May 19 - 25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</si>
</sst>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[$-409]mmmm\ d\,\ yyyy;@"/>
    <numFmt numFmtId="166" formatCode="0.0"/>
    <numFmt numFmtId="172" formatCode="[$-409]d\-mmm;@"/>
  </numFmts>
  <fonts count="23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  <font>
      <sz val="12"/>
      <color theme="3"/>
      <name val="Helvetica"/>
      <family val="2"/>
    </font>
    <font>
      <b/>
      <sz val="13"/>
      <color rgb="FF000000"/>
      <name val="Arial"/>
      <family val="2"/>
    </font>
    <font>
      <sz val="12"/>
      <color rgb="FF242852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  <xf numFmtId="0" fontId="9" fillId="0" borderId="0" xfId="0" applyFont="1"/>
    <xf numFmtId="3" fontId="21" fillId="0" borderId="0" xfId="0" applyNumberFormat="1" applyFont="1"/>
    <xf numFmtId="1" fontId="9" fillId="0" borderId="0" xfId="0" applyNumberFormat="1" applyFont="1" applyBorder="1"/>
    <xf numFmtId="0" fontId="5" fillId="0" borderId="0" xfId="0" applyFont="1"/>
    <xf numFmtId="1" fontId="5" fillId="0" borderId="0" xfId="0" applyNumberFormat="1" applyFont="1"/>
    <xf numFmtId="3" fontId="5" fillId="0" borderId="0" xfId="0" applyNumberFormat="1" applyFont="1"/>
    <xf numFmtId="172" fontId="2" fillId="0" borderId="0" xfId="0" applyNumberFormat="1" applyFont="1"/>
    <xf numFmtId="172" fontId="20" fillId="6" borderId="2" xfId="1" applyNumberFormat="1" applyFont="1" applyFill="1" applyBorder="1" applyAlignment="1">
      <alignment horizontal="right" vertical="top"/>
    </xf>
    <xf numFmtId="172" fontId="6" fillId="0" borderId="0" xfId="0" applyNumberFormat="1" applyFont="1"/>
    <xf numFmtId="172" fontId="0" fillId="0" borderId="0" xfId="0" applyNumberFormat="1" applyFont="1"/>
    <xf numFmtId="172" fontId="22" fillId="7" borderId="5" xfId="0" applyNumberFormat="1" applyFont="1" applyFill="1" applyBorder="1" applyAlignment="1">
      <alignment horizontal="right" vertical="top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72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2783931669558"/>
          <c:y val="0.14237288135593221"/>
          <c:w val="0.87066675563859597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compute!$A$6:$A$10049</c:f>
              <c:numCache>
                <c:formatCode>[$-409]d\-mmm;@</c:formatCode>
                <c:ptCount val="1004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</c:numCache>
            </c:numRef>
          </c:cat>
          <c:val>
            <c:numRef>
              <c:f>compute!$D$6:$D$10049</c:f>
              <c:numCache>
                <c:formatCode>0.0%</c:formatCode>
                <c:ptCount val="10044"/>
                <c:pt idx="0">
                  <c:v>0.39393939393939392</c:v>
                </c:pt>
                <c:pt idx="1">
                  <c:v>0.36956521739130432</c:v>
                </c:pt>
                <c:pt idx="2">
                  <c:v>0.20634920634920634</c:v>
                </c:pt>
                <c:pt idx="3">
                  <c:v>0.18421052631578946</c:v>
                </c:pt>
                <c:pt idx="4">
                  <c:v>0.31111111111111112</c:v>
                </c:pt>
                <c:pt idx="5">
                  <c:v>0.3559322033898305</c:v>
                </c:pt>
                <c:pt idx="6">
                  <c:v>0.23125000000000001</c:v>
                </c:pt>
                <c:pt idx="7">
                  <c:v>0.20812182741116753</c:v>
                </c:pt>
                <c:pt idx="8">
                  <c:v>0.11764705882352941</c:v>
                </c:pt>
                <c:pt idx="9">
                  <c:v>0.10526315789473684</c:v>
                </c:pt>
                <c:pt idx="10">
                  <c:v>5.4421768707482991E-2</c:v>
                </c:pt>
                <c:pt idx="11">
                  <c:v>0.11935483870967742</c:v>
                </c:pt>
                <c:pt idx="12">
                  <c:v>5.1873198847262249E-2</c:v>
                </c:pt>
                <c:pt idx="13">
                  <c:v>8.4931506849315067E-2</c:v>
                </c:pt>
                <c:pt idx="14">
                  <c:v>8.0808080808080815E-2</c:v>
                </c:pt>
                <c:pt idx="15">
                  <c:v>6.0747663551401869E-2</c:v>
                </c:pt>
                <c:pt idx="16">
                  <c:v>3.0837004405286344E-2</c:v>
                </c:pt>
                <c:pt idx="17">
                  <c:v>5.3418803418803416E-2</c:v>
                </c:pt>
                <c:pt idx="18">
                  <c:v>5.4766734279918863E-2</c:v>
                </c:pt>
                <c:pt idx="19">
                  <c:v>2.8846153846153848E-2</c:v>
                </c:pt>
                <c:pt idx="20">
                  <c:v>4.8598130841121495E-2</c:v>
                </c:pt>
                <c:pt idx="21">
                  <c:v>1.2477718360071301E-2</c:v>
                </c:pt>
                <c:pt idx="22">
                  <c:v>2.6408450704225352E-2</c:v>
                </c:pt>
                <c:pt idx="23">
                  <c:v>6.8610634648370496E-3</c:v>
                </c:pt>
                <c:pt idx="24">
                  <c:v>3.4071550255536626E-2</c:v>
                </c:pt>
                <c:pt idx="25">
                  <c:v>1.3179571663920923E-2</c:v>
                </c:pt>
                <c:pt idx="26">
                  <c:v>3.4146341463414637E-2</c:v>
                </c:pt>
                <c:pt idx="27">
                  <c:v>7.8616352201257862E-3</c:v>
                </c:pt>
                <c:pt idx="28">
                  <c:v>1.5600624024960999E-2</c:v>
                </c:pt>
                <c:pt idx="29">
                  <c:v>1.2288786482334869E-2</c:v>
                </c:pt>
                <c:pt idx="30">
                  <c:v>3.0349013657056147E-3</c:v>
                </c:pt>
                <c:pt idx="31">
                  <c:v>1.5128593040847202E-2</c:v>
                </c:pt>
                <c:pt idx="32">
                  <c:v>4.4709388971684054E-3</c:v>
                </c:pt>
                <c:pt idx="33">
                  <c:v>5.9347181008902079E-3</c:v>
                </c:pt>
                <c:pt idx="34">
                  <c:v>4.4247787610619468E-3</c:v>
                </c:pt>
                <c:pt idx="35">
                  <c:v>1.3215859030837005E-2</c:v>
                </c:pt>
                <c:pt idx="36">
                  <c:v>-1.4492753623188406E-3</c:v>
                </c:pt>
                <c:pt idx="37">
                  <c:v>8.708272859216255E-3</c:v>
                </c:pt>
                <c:pt idx="38">
                  <c:v>1.5827338129496403E-2</c:v>
                </c:pt>
                <c:pt idx="39">
                  <c:v>9.9150141643059488E-3</c:v>
                </c:pt>
                <c:pt idx="40">
                  <c:v>5.6100981767180924E-3</c:v>
                </c:pt>
                <c:pt idx="41">
                  <c:v>1.3947001394700139E-3</c:v>
                </c:pt>
                <c:pt idx="42">
                  <c:v>1.3927576601671309E-3</c:v>
                </c:pt>
                <c:pt idx="43">
                  <c:v>1.3908205841446453E-3</c:v>
                </c:pt>
                <c:pt idx="44">
                  <c:v>2.7777777777777779E-3</c:v>
                </c:pt>
                <c:pt idx="45">
                  <c:v>1.3850415512465374E-3</c:v>
                </c:pt>
                <c:pt idx="46">
                  <c:v>2.7662517289073307E-3</c:v>
                </c:pt>
                <c:pt idx="47">
                  <c:v>2.7586206896551724E-2</c:v>
                </c:pt>
                <c:pt idx="48">
                  <c:v>6.7114093959731542E-3</c:v>
                </c:pt>
                <c:pt idx="49">
                  <c:v>9.3333333333333341E-3</c:v>
                </c:pt>
                <c:pt idx="50">
                  <c:v>2.6420079260237781E-3</c:v>
                </c:pt>
                <c:pt idx="51">
                  <c:v>1.1857707509881422E-2</c:v>
                </c:pt>
                <c:pt idx="52">
                  <c:v>2.4739583333333332E-2</c:v>
                </c:pt>
                <c:pt idx="53">
                  <c:v>5.0825921219822112E-3</c:v>
                </c:pt>
                <c:pt idx="54">
                  <c:v>1.5170670037926675E-2</c:v>
                </c:pt>
                <c:pt idx="55">
                  <c:v>1.3698630136986301E-2</c:v>
                </c:pt>
                <c:pt idx="56">
                  <c:v>2.4570024570024569E-3</c:v>
                </c:pt>
                <c:pt idx="57">
                  <c:v>1.2254901960784314E-3</c:v>
                </c:pt>
                <c:pt idx="58">
                  <c:v>2.5703794369645042E-2</c:v>
                </c:pt>
                <c:pt idx="59">
                  <c:v>4.7732696897374704E-3</c:v>
                </c:pt>
                <c:pt idx="60">
                  <c:v>4.7505938242280287E-3</c:v>
                </c:pt>
                <c:pt idx="61">
                  <c:v>1.7730496453900711E-2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in val="43941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717603096223138E-2"/>
          <c:y val="0.14237288135593221"/>
          <c:w val="0.84354811157079945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compute!$A$6:$A$10049</c:f>
              <c:numCache>
                <c:formatCode>[$-409]d\-mmm;@</c:formatCode>
                <c:ptCount val="1004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</c:numCache>
            </c:numRef>
          </c:cat>
          <c:val>
            <c:numRef>
              <c:f>compute!$E$6:$E$10049</c:f>
              <c:numCache>
                <c:formatCode>0.0</c:formatCode>
                <c:ptCount val="10044"/>
                <c:pt idx="0">
                  <c:v>2.0869514258092652</c:v>
                </c:pt>
                <c:pt idx="1">
                  <c:v>2.2040123419309841</c:v>
                </c:pt>
                <c:pt idx="2">
                  <c:v>3.6948416950918879</c:v>
                </c:pt>
                <c:pt idx="3">
                  <c:v>4.0996109885980694</c:v>
                </c:pt>
                <c:pt idx="4">
                  <c:v>2.55891942011541</c:v>
                </c:pt>
                <c:pt idx="5">
                  <c:v>2.276426229815518</c:v>
                </c:pt>
                <c:pt idx="6">
                  <c:v>3.3319591826205279</c:v>
                </c:pt>
                <c:pt idx="7">
                  <c:v>3.6661468285944667</c:v>
                </c:pt>
                <c:pt idx="8">
                  <c:v>6.2319013047040608</c:v>
                </c:pt>
                <c:pt idx="9">
                  <c:v>6.9256917232261834</c:v>
                </c:pt>
                <c:pt idx="10">
                  <c:v>13.080092207751859</c:v>
                </c:pt>
                <c:pt idx="11">
                  <c:v>6.1475114816980732</c:v>
                </c:pt>
                <c:pt idx="12">
                  <c:v>13.705989842517504</c:v>
                </c:pt>
                <c:pt idx="13">
                  <c:v>8.5031145747675918</c:v>
                </c:pt>
                <c:pt idx="14">
                  <c:v>8.9197817544539646</c:v>
                </c:pt>
                <c:pt idx="15">
                  <c:v>11.753436288055184</c:v>
                </c:pt>
                <c:pt idx="16">
                  <c:v>22.822592169144759</c:v>
                </c:pt>
                <c:pt idx="17">
                  <c:v>13.319282947041303</c:v>
                </c:pt>
                <c:pt idx="18">
                  <c:v>12.999847947836686</c:v>
                </c:pt>
                <c:pt idx="19">
                  <c:v>24.37403323227419</c:v>
                </c:pt>
                <c:pt idx="20">
                  <c:v>14.606668848830834</c:v>
                </c:pt>
                <c:pt idx="21">
                  <c:v>55.896652780975636</c:v>
                </c:pt>
                <c:pt idx="22">
                  <c:v>26.592241226753817</c:v>
                </c:pt>
                <c:pt idx="23">
                  <c:v>101.37238020000403</c:v>
                </c:pt>
                <c:pt idx="24">
                  <c:v>20.688508110653103</c:v>
                </c:pt>
                <c:pt idx="25">
                  <c:v>52.938359608552602</c:v>
                </c:pt>
                <c:pt idx="26">
                  <c:v>20.643944471665133</c:v>
                </c:pt>
                <c:pt idx="27">
                  <c:v>88.514442627817402</c:v>
                </c:pt>
                <c:pt idx="28">
                  <c:v>44.776413697177858</c:v>
                </c:pt>
                <c:pt idx="29">
                  <c:v>56.75071990801559</c:v>
                </c:pt>
                <c:pt idx="30">
                  <c:v>228.73839454750822</c:v>
                </c:pt>
                <c:pt idx="31">
                  <c:v>46.162734910979644</c:v>
                </c:pt>
                <c:pt idx="32">
                  <c:v>155.38023529964653</c:v>
                </c:pt>
                <c:pt idx="33">
                  <c:v>117.14153172528272</c:v>
                </c:pt>
                <c:pt idx="34">
                  <c:v>156.99758137546218</c:v>
                </c:pt>
                <c:pt idx="35">
                  <c:v>52.793951877215413</c:v>
                </c:pt>
                <c:pt idx="36">
                  <c:v>-477.92489722192761</c:v>
                </c:pt>
                <c:pt idx="37">
                  <c:v>79.942473993182418</c:v>
                </c:pt>
                <c:pt idx="38">
                  <c:v>44.139965665899489</c:v>
                </c:pt>
                <c:pt idx="39">
                  <c:v>70.254847908892572</c:v>
                </c:pt>
                <c:pt idx="40">
                  <c:v>123.89973537887481</c:v>
                </c:pt>
                <c:pt idx="41">
                  <c:v>497.33302154683025</c:v>
                </c:pt>
                <c:pt idx="42">
                  <c:v>498.02616883946456</c:v>
                </c:pt>
                <c:pt idx="43">
                  <c:v>498.71931613175457</c:v>
                </c:pt>
                <c:pt idx="44">
                  <c:v>249.87939836358191</c:v>
                </c:pt>
                <c:pt idx="45">
                  <c:v>500.79875800674318</c:v>
                </c:pt>
                <c:pt idx="46">
                  <c:v>250.91911979835183</c:v>
                </c:pt>
                <c:pt idx="47">
                  <c:v>25.471587045670656</c:v>
                </c:pt>
                <c:pt idx="48">
                  <c:v>103.62511712289192</c:v>
                </c:pt>
                <c:pt idx="49">
                  <c:v>74.611806322607862</c:v>
                </c:pt>
                <c:pt idx="50">
                  <c:v>262.70262902510757</c:v>
                </c:pt>
                <c:pt idx="51">
                  <c:v>58.801304920054768</c:v>
                </c:pt>
                <c:pt idx="52">
                  <c:v>28.362900647178932</c:v>
                </c:pt>
                <c:pt idx="53">
                  <c:v>136.72298852710364</c:v>
                </c:pt>
                <c:pt idx="54">
                  <c:v>46.0356555337125</c:v>
                </c:pt>
                <c:pt idx="55">
                  <c:v>50.945531880300251</c:v>
                </c:pt>
                <c:pt idx="56">
                  <c:v>282.45733433022241</c:v>
                </c:pt>
                <c:pt idx="57">
                  <c:v>565.95460218344863</c:v>
                </c:pt>
                <c:pt idx="58">
                  <c:v>27.311833681808924</c:v>
                </c:pt>
                <c:pt idx="59">
                  <c:v>145.56063285876471</c:v>
                </c:pt>
                <c:pt idx="60">
                  <c:v>146.2537813429274</c:v>
                </c:pt>
                <c:pt idx="61">
                  <c:v>39.439059398913749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14159882557054"/>
          <c:y val="0.14576271186440679"/>
          <c:w val="0.79964980648605366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compute!$G$5:$G$10049</c:f>
              <c:numCache>
                <c:formatCode>#,##0</c:formatCode>
                <c:ptCount val="10045"/>
                <c:pt idx="0">
                  <c:v>84.615384615384613</c:v>
                </c:pt>
                <c:pt idx="1">
                  <c:v>117.94871794871794</c:v>
                </c:pt>
                <c:pt idx="2">
                  <c:v>161.53846153846155</c:v>
                </c:pt>
                <c:pt idx="3">
                  <c:v>194.87179487179486</c:v>
                </c:pt>
                <c:pt idx="4">
                  <c:v>230.76923076923077</c:v>
                </c:pt>
                <c:pt idx="5">
                  <c:v>302.56410256410254</c:v>
                </c:pt>
                <c:pt idx="6">
                  <c:v>410.25641025641028</c:v>
                </c:pt>
                <c:pt idx="7">
                  <c:v>505.12820512820514</c:v>
                </c:pt>
                <c:pt idx="8">
                  <c:v>610.25641025641028</c:v>
                </c:pt>
                <c:pt idx="9">
                  <c:v>682.0512820512821</c:v>
                </c:pt>
                <c:pt idx="10">
                  <c:v>753.84615384615381</c:v>
                </c:pt>
                <c:pt idx="11">
                  <c:v>794.87179487179492</c:v>
                </c:pt>
                <c:pt idx="12">
                  <c:v>889.74358974358972</c:v>
                </c:pt>
                <c:pt idx="13">
                  <c:v>935.89743589743591</c:v>
                </c:pt>
                <c:pt idx="14">
                  <c:v>1015.3846153846154</c:v>
                </c:pt>
                <c:pt idx="15">
                  <c:v>1097.4358974358975</c:v>
                </c:pt>
                <c:pt idx="16">
                  <c:v>1164.1025641025642</c:v>
                </c:pt>
                <c:pt idx="17">
                  <c:v>1200</c:v>
                </c:pt>
                <c:pt idx="18">
                  <c:v>1264.1025641025642</c:v>
                </c:pt>
                <c:pt idx="19">
                  <c:v>1333.3333333333333</c:v>
                </c:pt>
                <c:pt idx="20">
                  <c:v>1371.7948717948718</c:v>
                </c:pt>
                <c:pt idx="21">
                  <c:v>1438.4615384615386</c:v>
                </c:pt>
                <c:pt idx="22">
                  <c:v>1456.4102564102564</c:v>
                </c:pt>
                <c:pt idx="23">
                  <c:v>1494.8717948717949</c:v>
                </c:pt>
                <c:pt idx="24">
                  <c:v>1505.1282051282051</c:v>
                </c:pt>
                <c:pt idx="25">
                  <c:v>1556.4102564102564</c:v>
                </c:pt>
                <c:pt idx="26">
                  <c:v>1576.9230769230769</c:v>
                </c:pt>
                <c:pt idx="27">
                  <c:v>1630.7692307692307</c:v>
                </c:pt>
                <c:pt idx="28">
                  <c:v>1643.5897435897436</c:v>
                </c:pt>
                <c:pt idx="29">
                  <c:v>1669.2307692307693</c:v>
                </c:pt>
                <c:pt idx="30">
                  <c:v>1689.7435897435898</c:v>
                </c:pt>
                <c:pt idx="31">
                  <c:v>1694.8717948717949</c:v>
                </c:pt>
                <c:pt idx="32">
                  <c:v>1720.5128205128206</c:v>
                </c:pt>
                <c:pt idx="33">
                  <c:v>1728.2051282051282</c:v>
                </c:pt>
                <c:pt idx="34">
                  <c:v>1738.4615384615386</c:v>
                </c:pt>
                <c:pt idx="35">
                  <c:v>1746.1538461538462</c:v>
                </c:pt>
                <c:pt idx="36">
                  <c:v>1769.2307692307693</c:v>
                </c:pt>
                <c:pt idx="37">
                  <c:v>1766.6666666666667</c:v>
                </c:pt>
                <c:pt idx="38">
                  <c:v>1782.051282051282</c:v>
                </c:pt>
                <c:pt idx="39">
                  <c:v>1810.2564102564102</c:v>
                </c:pt>
                <c:pt idx="40">
                  <c:v>1828.2051282051282</c:v>
                </c:pt>
                <c:pt idx="41">
                  <c:v>1838.4615384615386</c:v>
                </c:pt>
                <c:pt idx="42">
                  <c:v>1841.0256410256411</c:v>
                </c:pt>
                <c:pt idx="43">
                  <c:v>1843.5897435897436</c:v>
                </c:pt>
                <c:pt idx="44">
                  <c:v>1846.1538461538462</c:v>
                </c:pt>
                <c:pt idx="45">
                  <c:v>1851.2820512820513</c:v>
                </c:pt>
                <c:pt idx="46">
                  <c:v>1853.8461538461538</c:v>
                </c:pt>
                <c:pt idx="47">
                  <c:v>1858.9743589743589</c:v>
                </c:pt>
                <c:pt idx="48">
                  <c:v>1910.2564102564102</c:v>
                </c:pt>
                <c:pt idx="49">
                  <c:v>1923.0769230769231</c:v>
                </c:pt>
                <c:pt idx="50">
                  <c:v>1941.0256410256411</c:v>
                </c:pt>
                <c:pt idx="51">
                  <c:v>1946.1538461538462</c:v>
                </c:pt>
                <c:pt idx="52">
                  <c:v>1969.2307692307693</c:v>
                </c:pt>
                <c:pt idx="53">
                  <c:v>2017.948717948718</c:v>
                </c:pt>
                <c:pt idx="54">
                  <c:v>2028.2051282051282</c:v>
                </c:pt>
                <c:pt idx="55">
                  <c:v>2058.9743589743589</c:v>
                </c:pt>
                <c:pt idx="56">
                  <c:v>2087.1794871794873</c:v>
                </c:pt>
                <c:pt idx="57">
                  <c:v>2092.3076923076924</c:v>
                </c:pt>
                <c:pt idx="58">
                  <c:v>2094.8717948717949</c:v>
                </c:pt>
                <c:pt idx="59">
                  <c:v>2148.7179487179487</c:v>
                </c:pt>
                <c:pt idx="60">
                  <c:v>2158.9743589743589</c:v>
                </c:pt>
                <c:pt idx="61">
                  <c:v>2169.2307692307691</c:v>
                </c:pt>
                <c:pt idx="62">
                  <c:v>2207.6923076923076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compute!$I$5:$I$10049</c:f>
              <c:numCache>
                <c:formatCode>#,##0</c:formatCode>
                <c:ptCount val="10045"/>
                <c:pt idx="0">
                  <c:v>37.606837606837615</c:v>
                </c:pt>
                <c:pt idx="1">
                  <c:v>52.421652421652439</c:v>
                </c:pt>
                <c:pt idx="2">
                  <c:v>71.794871794871796</c:v>
                </c:pt>
                <c:pt idx="3">
                  <c:v>86.609686609686605</c:v>
                </c:pt>
                <c:pt idx="4">
                  <c:v>102.56410256410254</c:v>
                </c:pt>
                <c:pt idx="5">
                  <c:v>134.47293447293447</c:v>
                </c:pt>
                <c:pt idx="6">
                  <c:v>182.33618233618233</c:v>
                </c:pt>
                <c:pt idx="7">
                  <c:v>224.50142450142454</c:v>
                </c:pt>
                <c:pt idx="8">
                  <c:v>271.22507122507125</c:v>
                </c:pt>
                <c:pt idx="9">
                  <c:v>303.13390313390312</c:v>
                </c:pt>
                <c:pt idx="10">
                  <c:v>335.0427350427351</c:v>
                </c:pt>
                <c:pt idx="11">
                  <c:v>353.27635327635312</c:v>
                </c:pt>
                <c:pt idx="12">
                  <c:v>395.4415954415955</c:v>
                </c:pt>
                <c:pt idx="13">
                  <c:v>415.95441595441605</c:v>
                </c:pt>
                <c:pt idx="14">
                  <c:v>451.28205128205138</c:v>
                </c:pt>
                <c:pt idx="15">
                  <c:v>487.74928774928776</c:v>
                </c:pt>
                <c:pt idx="16">
                  <c:v>517.37891737891732</c:v>
                </c:pt>
                <c:pt idx="17">
                  <c:v>533.33333333333326</c:v>
                </c:pt>
                <c:pt idx="18">
                  <c:v>561.82336182336167</c:v>
                </c:pt>
                <c:pt idx="19">
                  <c:v>592.59259259259261</c:v>
                </c:pt>
                <c:pt idx="20">
                  <c:v>609.6866096866097</c:v>
                </c:pt>
                <c:pt idx="21">
                  <c:v>639.31623931623926</c:v>
                </c:pt>
                <c:pt idx="22">
                  <c:v>647.29344729344757</c:v>
                </c:pt>
                <c:pt idx="23">
                  <c:v>664.38746438746421</c:v>
                </c:pt>
                <c:pt idx="24">
                  <c:v>668.94586894586882</c:v>
                </c:pt>
                <c:pt idx="25">
                  <c:v>691.73789173789191</c:v>
                </c:pt>
                <c:pt idx="26">
                  <c:v>700.85470085470092</c:v>
                </c:pt>
                <c:pt idx="27">
                  <c:v>724.78632478632494</c:v>
                </c:pt>
                <c:pt idx="28">
                  <c:v>730.48433048433026</c:v>
                </c:pt>
                <c:pt idx="29">
                  <c:v>741.88034188034203</c:v>
                </c:pt>
                <c:pt idx="30">
                  <c:v>750.99715099715104</c:v>
                </c:pt>
                <c:pt idx="31">
                  <c:v>753.27635327635335</c:v>
                </c:pt>
                <c:pt idx="32">
                  <c:v>764.67236467236467</c:v>
                </c:pt>
                <c:pt idx="33">
                  <c:v>768.0911680911679</c:v>
                </c:pt>
                <c:pt idx="34">
                  <c:v>772.64957264957275</c:v>
                </c:pt>
                <c:pt idx="35">
                  <c:v>776.06837606837598</c:v>
                </c:pt>
                <c:pt idx="36">
                  <c:v>786.32478632478637</c:v>
                </c:pt>
                <c:pt idx="37">
                  <c:v>785.18518518518499</c:v>
                </c:pt>
                <c:pt idx="38">
                  <c:v>792.02279202279192</c:v>
                </c:pt>
                <c:pt idx="39">
                  <c:v>804.55840455840462</c:v>
                </c:pt>
                <c:pt idx="40">
                  <c:v>812.5356125356127</c:v>
                </c:pt>
                <c:pt idx="41">
                  <c:v>817.09401709401709</c:v>
                </c:pt>
                <c:pt idx="42">
                  <c:v>818.23361823361802</c:v>
                </c:pt>
                <c:pt idx="43">
                  <c:v>819.3732193732194</c:v>
                </c:pt>
                <c:pt idx="44">
                  <c:v>820.51282051282033</c:v>
                </c:pt>
                <c:pt idx="45">
                  <c:v>822.79202279202264</c:v>
                </c:pt>
                <c:pt idx="46">
                  <c:v>823.93162393162402</c:v>
                </c:pt>
                <c:pt idx="47">
                  <c:v>826.21082621082633</c:v>
                </c:pt>
                <c:pt idx="48">
                  <c:v>849.00284900284896</c:v>
                </c:pt>
                <c:pt idx="49">
                  <c:v>854.70085470085473</c:v>
                </c:pt>
                <c:pt idx="50">
                  <c:v>862.67806267806282</c:v>
                </c:pt>
                <c:pt idx="51">
                  <c:v>864.95726495726512</c:v>
                </c:pt>
                <c:pt idx="52">
                  <c:v>875.21367521367506</c:v>
                </c:pt>
                <c:pt idx="53">
                  <c:v>896.86609686609677</c:v>
                </c:pt>
                <c:pt idx="54">
                  <c:v>901.42450142450139</c:v>
                </c:pt>
                <c:pt idx="55">
                  <c:v>915.09971509971501</c:v>
                </c:pt>
                <c:pt idx="56">
                  <c:v>927.63532763532749</c:v>
                </c:pt>
                <c:pt idx="57">
                  <c:v>929.91452991452979</c:v>
                </c:pt>
                <c:pt idx="58">
                  <c:v>931.05413105413118</c:v>
                </c:pt>
                <c:pt idx="59">
                  <c:v>954.98575498575519</c:v>
                </c:pt>
                <c:pt idx="60">
                  <c:v>959.54415954415981</c:v>
                </c:pt>
                <c:pt idx="61">
                  <c:v>964.10256410256443</c:v>
                </c:pt>
                <c:pt idx="62">
                  <c:v>981.19658119658106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compute!$F$5:$F$10049</c:f>
              <c:numCache>
                <c:formatCode>#,##0</c:formatCode>
                <c:ptCount val="10045"/>
                <c:pt idx="0">
                  <c:v>100</c:v>
                </c:pt>
                <c:pt idx="1">
                  <c:v>139.39393939393941</c:v>
                </c:pt>
                <c:pt idx="2">
                  <c:v>190.90909090909091</c:v>
                </c:pt>
                <c:pt idx="3">
                  <c:v>230.30303030303031</c:v>
                </c:pt>
                <c:pt idx="4">
                  <c:v>272.72727272727275</c:v>
                </c:pt>
                <c:pt idx="5">
                  <c:v>357.57575757575756</c:v>
                </c:pt>
                <c:pt idx="6">
                  <c:v>484.84848484848487</c:v>
                </c:pt>
                <c:pt idx="7">
                  <c:v>596.969696969697</c:v>
                </c:pt>
                <c:pt idx="8">
                  <c:v>721.21212121212125</c:v>
                </c:pt>
                <c:pt idx="9">
                  <c:v>806.06060606060601</c:v>
                </c:pt>
                <c:pt idx="10">
                  <c:v>890.90909090909088</c:v>
                </c:pt>
                <c:pt idx="11">
                  <c:v>939.39393939393938</c:v>
                </c:pt>
                <c:pt idx="12">
                  <c:v>1051.5151515151515</c:v>
                </c:pt>
                <c:pt idx="13">
                  <c:v>1106.060606060606</c:v>
                </c:pt>
                <c:pt idx="14">
                  <c:v>1200</c:v>
                </c:pt>
                <c:pt idx="15">
                  <c:v>1296.969696969697</c:v>
                </c:pt>
                <c:pt idx="16">
                  <c:v>1375.7575757575758</c:v>
                </c:pt>
                <c:pt idx="17">
                  <c:v>1418.1818181818182</c:v>
                </c:pt>
                <c:pt idx="18">
                  <c:v>1493.939393939394</c:v>
                </c:pt>
                <c:pt idx="19">
                  <c:v>1575.7575757575758</c:v>
                </c:pt>
                <c:pt idx="20">
                  <c:v>1621.2121212121212</c:v>
                </c:pt>
                <c:pt idx="21">
                  <c:v>1700</c:v>
                </c:pt>
                <c:pt idx="22">
                  <c:v>1721.2121212121212</c:v>
                </c:pt>
                <c:pt idx="23">
                  <c:v>1766.6666666666667</c:v>
                </c:pt>
                <c:pt idx="24">
                  <c:v>1778.7878787878788</c:v>
                </c:pt>
                <c:pt idx="25">
                  <c:v>1839.3939393939395</c:v>
                </c:pt>
                <c:pt idx="26">
                  <c:v>1863.6363636363637</c:v>
                </c:pt>
                <c:pt idx="27">
                  <c:v>1927.2727272727273</c:v>
                </c:pt>
                <c:pt idx="28">
                  <c:v>1942.4242424242425</c:v>
                </c:pt>
                <c:pt idx="29">
                  <c:v>1972.7272727272727</c:v>
                </c:pt>
                <c:pt idx="30">
                  <c:v>1996.969696969697</c:v>
                </c:pt>
                <c:pt idx="31">
                  <c:v>2003.030303030303</c:v>
                </c:pt>
                <c:pt idx="32">
                  <c:v>2033.3333333333333</c:v>
                </c:pt>
                <c:pt idx="33">
                  <c:v>2042.4242424242425</c:v>
                </c:pt>
                <c:pt idx="34">
                  <c:v>2054.5454545454545</c:v>
                </c:pt>
                <c:pt idx="35">
                  <c:v>2063.6363636363635</c:v>
                </c:pt>
                <c:pt idx="36">
                  <c:v>2090.909090909091</c:v>
                </c:pt>
                <c:pt idx="37">
                  <c:v>2087.878787878788</c:v>
                </c:pt>
                <c:pt idx="38">
                  <c:v>2106.060606060606</c:v>
                </c:pt>
                <c:pt idx="39">
                  <c:v>2139.3939393939395</c:v>
                </c:pt>
                <c:pt idx="40">
                  <c:v>2160.6060606060605</c:v>
                </c:pt>
                <c:pt idx="41">
                  <c:v>2172.7272727272725</c:v>
                </c:pt>
                <c:pt idx="42">
                  <c:v>2175.757575757576</c:v>
                </c:pt>
                <c:pt idx="43">
                  <c:v>2178.787878787879</c:v>
                </c:pt>
                <c:pt idx="44">
                  <c:v>2181.818181818182</c:v>
                </c:pt>
                <c:pt idx="45">
                  <c:v>2187.878787878788</c:v>
                </c:pt>
                <c:pt idx="46">
                  <c:v>2190.909090909091</c:v>
                </c:pt>
                <c:pt idx="47">
                  <c:v>2196.969696969697</c:v>
                </c:pt>
                <c:pt idx="48">
                  <c:v>2257.5757575757575</c:v>
                </c:pt>
                <c:pt idx="49">
                  <c:v>2272.7272727272725</c:v>
                </c:pt>
                <c:pt idx="50">
                  <c:v>2293.939393939394</c:v>
                </c:pt>
                <c:pt idx="51">
                  <c:v>2300</c:v>
                </c:pt>
                <c:pt idx="52">
                  <c:v>2327.2727272727275</c:v>
                </c:pt>
                <c:pt idx="53">
                  <c:v>2384.848484848485</c:v>
                </c:pt>
                <c:pt idx="54">
                  <c:v>2396.969696969697</c:v>
                </c:pt>
                <c:pt idx="55">
                  <c:v>2433.3333333333335</c:v>
                </c:pt>
                <c:pt idx="56">
                  <c:v>2466.6666666666665</c:v>
                </c:pt>
                <c:pt idx="57">
                  <c:v>2472.7272727272725</c:v>
                </c:pt>
                <c:pt idx="58">
                  <c:v>2475.757575757576</c:v>
                </c:pt>
                <c:pt idx="59">
                  <c:v>2539.3939393939395</c:v>
                </c:pt>
                <c:pt idx="60">
                  <c:v>2551.5151515151515</c:v>
                </c:pt>
                <c:pt idx="61">
                  <c:v>2563.6363636363635</c:v>
                </c:pt>
                <c:pt idx="62">
                  <c:v>2609.090909090909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63299079140529"/>
          <c:y val="0.14745762711864407"/>
          <c:w val="0.84241238489256642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compute!$A$5:$A$67</c:f>
              <c:numCache>
                <c:formatCode>[$-409]d\-mmm;@</c:formatCode>
                <c:ptCount val="6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compute!$L$5:$L$67</c:f>
              <c:numCache>
                <c:formatCode>0.0%</c:formatCode>
                <c:ptCount val="63"/>
                <c:pt idx="0">
                  <c:v>9.2256028931490667E-4</c:v>
                </c:pt>
                <c:pt idx="1">
                  <c:v>1.2859931305601729E-3</c:v>
                </c:pt>
                <c:pt idx="2">
                  <c:v>1.7612514614193675E-3</c:v>
                </c:pt>
                <c:pt idx="3">
                  <c:v>2.1246843026646338E-3</c:v>
                </c:pt>
                <c:pt idx="4">
                  <c:v>2.516073516313382E-3</c:v>
                </c:pt>
                <c:pt idx="5">
                  <c:v>3.2988519436108785E-3</c:v>
                </c:pt>
                <c:pt idx="6">
                  <c:v>4.473019584557124E-3</c:v>
                </c:pt>
                <c:pt idx="7">
                  <c:v>5.5074053634859583E-3</c:v>
                </c:pt>
                <c:pt idx="8">
                  <c:v>6.6536166320287212E-3</c:v>
                </c:pt>
                <c:pt idx="9">
                  <c:v>7.4363950593262186E-3</c:v>
                </c:pt>
                <c:pt idx="10">
                  <c:v>8.2191734866237133E-3</c:v>
                </c:pt>
                <c:pt idx="11">
                  <c:v>8.666475445079428E-3</c:v>
                </c:pt>
                <c:pt idx="12">
                  <c:v>9.7008612240082615E-3</c:v>
                </c:pt>
                <c:pt idx="13">
                  <c:v>1.0204075927270939E-2</c:v>
                </c:pt>
                <c:pt idx="14">
                  <c:v>1.1070723471778881E-2</c:v>
                </c:pt>
                <c:pt idx="15">
                  <c:v>1.1965327388690305E-2</c:v>
                </c:pt>
                <c:pt idx="16">
                  <c:v>1.269219307118084E-2</c:v>
                </c:pt>
                <c:pt idx="17">
                  <c:v>1.3083582284829587E-2</c:v>
                </c:pt>
                <c:pt idx="18">
                  <c:v>1.3782491594916638E-2</c:v>
                </c:pt>
                <c:pt idx="19">
                  <c:v>1.4537313649810651E-2</c:v>
                </c:pt>
                <c:pt idx="20">
                  <c:v>1.4956659235862882E-2</c:v>
                </c:pt>
                <c:pt idx="21">
                  <c:v>1.5683524918353415E-2</c:v>
                </c:pt>
                <c:pt idx="22">
                  <c:v>1.5879219525177787E-2</c:v>
                </c:pt>
                <c:pt idx="23">
                  <c:v>1.6298565111230019E-2</c:v>
                </c:pt>
                <c:pt idx="24">
                  <c:v>1.6410390600843948E-2</c:v>
                </c:pt>
                <c:pt idx="25">
                  <c:v>1.6969518048913588E-2</c:v>
                </c:pt>
                <c:pt idx="26">
                  <c:v>1.7193169028141442E-2</c:v>
                </c:pt>
                <c:pt idx="27">
                  <c:v>1.7780252848614564E-2</c:v>
                </c:pt>
                <c:pt idx="28">
                  <c:v>1.7920034710631978E-2</c:v>
                </c:pt>
                <c:pt idx="29">
                  <c:v>1.8199598434666796E-2</c:v>
                </c:pt>
                <c:pt idx="30">
                  <c:v>1.8423249413894654E-2</c:v>
                </c:pt>
                <c:pt idx="31">
                  <c:v>1.8479162158701618E-2</c:v>
                </c:pt>
                <c:pt idx="32">
                  <c:v>1.8758725882736436E-2</c:v>
                </c:pt>
                <c:pt idx="33">
                  <c:v>1.8842594999946883E-2</c:v>
                </c:pt>
                <c:pt idx="34">
                  <c:v>1.8954420489560812E-2</c:v>
                </c:pt>
                <c:pt idx="35">
                  <c:v>1.9038289606771258E-2</c:v>
                </c:pt>
                <c:pt idx="36">
                  <c:v>1.9289896958402594E-2</c:v>
                </c:pt>
                <c:pt idx="37">
                  <c:v>1.9261940585999116E-2</c:v>
                </c:pt>
                <c:pt idx="38">
                  <c:v>1.9429678820420005E-2</c:v>
                </c:pt>
                <c:pt idx="39">
                  <c:v>1.9737198916858305E-2</c:v>
                </c:pt>
                <c:pt idx="40">
                  <c:v>1.9932893523682681E-2</c:v>
                </c:pt>
                <c:pt idx="41">
                  <c:v>2.0044719013296609E-2</c:v>
                </c:pt>
                <c:pt idx="42">
                  <c:v>2.0072675385700092E-2</c:v>
                </c:pt>
                <c:pt idx="43">
                  <c:v>2.0100631758103574E-2</c:v>
                </c:pt>
                <c:pt idx="44">
                  <c:v>2.0128588130507056E-2</c:v>
                </c:pt>
                <c:pt idx="45">
                  <c:v>2.018450087531402E-2</c:v>
                </c:pt>
                <c:pt idx="46">
                  <c:v>2.0212457247717502E-2</c:v>
                </c:pt>
                <c:pt idx="47">
                  <c:v>2.0268369992524467E-2</c:v>
                </c:pt>
                <c:pt idx="48">
                  <c:v>2.0827497440594107E-2</c:v>
                </c:pt>
                <c:pt idx="49">
                  <c:v>2.0967279302611518E-2</c:v>
                </c:pt>
                <c:pt idx="50">
                  <c:v>2.1162973909435893E-2</c:v>
                </c:pt>
                <c:pt idx="51">
                  <c:v>2.1218886654242854E-2</c:v>
                </c:pt>
                <c:pt idx="52">
                  <c:v>2.1470494005874193E-2</c:v>
                </c:pt>
                <c:pt idx="53">
                  <c:v>2.2001665081540351E-2</c:v>
                </c:pt>
                <c:pt idx="54">
                  <c:v>2.211349057115428E-2</c:v>
                </c:pt>
                <c:pt idx="55">
                  <c:v>2.2448967039996062E-2</c:v>
                </c:pt>
                <c:pt idx="56">
                  <c:v>2.2756487136434366E-2</c:v>
                </c:pt>
                <c:pt idx="57">
                  <c:v>2.281239988124133E-2</c:v>
                </c:pt>
                <c:pt idx="58">
                  <c:v>2.2840356253644813E-2</c:v>
                </c:pt>
                <c:pt idx="59">
                  <c:v>2.3427440074117935E-2</c:v>
                </c:pt>
                <c:pt idx="60">
                  <c:v>2.353926556373186E-2</c:v>
                </c:pt>
                <c:pt idx="61">
                  <c:v>2.3651091053345789E-2</c:v>
                </c:pt>
                <c:pt idx="62">
                  <c:v>2.4070436639398021E-2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compute!$A$5:$A$67</c:f>
              <c:numCache>
                <c:formatCode>[$-409]d\-mmm;@</c:formatCode>
                <c:ptCount val="6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compute!$N$5:$N$67</c:f>
              <c:numCache>
                <c:formatCode>0.00%</c:formatCode>
                <c:ptCount val="63"/>
                <c:pt idx="0">
                  <c:v>4.1002679525106982E-4</c:v>
                </c:pt>
                <c:pt idx="1">
                  <c:v>5.7155250247118827E-4</c:v>
                </c:pt>
                <c:pt idx="2">
                  <c:v>7.8277842729749668E-4</c:v>
                </c:pt>
                <c:pt idx="3">
                  <c:v>9.4430413451761491E-4</c:v>
                </c:pt>
                <c:pt idx="4">
                  <c:v>1.1182548961392808E-3</c:v>
                </c:pt>
                <c:pt idx="5">
                  <c:v>1.466156419382613E-3</c:v>
                </c:pt>
                <c:pt idx="6">
                  <c:v>1.9880087042476102E-3</c:v>
                </c:pt>
                <c:pt idx="7">
                  <c:v>2.4477357171048715E-3</c:v>
                </c:pt>
                <c:pt idx="8">
                  <c:v>2.9571629475683208E-3</c:v>
                </c:pt>
                <c:pt idx="9">
                  <c:v>3.3050644708116526E-3</c:v>
                </c:pt>
                <c:pt idx="10">
                  <c:v>3.6529659940549852E-3</c:v>
                </c:pt>
                <c:pt idx="11">
                  <c:v>3.8517668644797425E-3</c:v>
                </c:pt>
                <c:pt idx="12">
                  <c:v>4.3114938773370064E-3</c:v>
                </c:pt>
                <c:pt idx="13">
                  <c:v>4.5351448565648621E-3</c:v>
                </c:pt>
                <c:pt idx="14">
                  <c:v>4.9203215430128379E-3</c:v>
                </c:pt>
                <c:pt idx="15">
                  <c:v>5.3179232838623577E-3</c:v>
                </c:pt>
                <c:pt idx="16">
                  <c:v>5.6409746983025928E-3</c:v>
                </c:pt>
                <c:pt idx="17">
                  <c:v>5.8149254599242604E-3</c:v>
                </c:pt>
                <c:pt idx="18">
                  <c:v>6.1255518199629481E-3</c:v>
                </c:pt>
                <c:pt idx="19">
                  <c:v>6.4610282888047325E-3</c:v>
                </c:pt>
                <c:pt idx="20">
                  <c:v>6.6474041048279475E-3</c:v>
                </c:pt>
                <c:pt idx="21">
                  <c:v>6.9704555192681844E-3</c:v>
                </c:pt>
                <c:pt idx="22">
                  <c:v>7.0574309000790217E-3</c:v>
                </c:pt>
                <c:pt idx="23">
                  <c:v>7.2438067161022281E-3</c:v>
                </c:pt>
                <c:pt idx="24">
                  <c:v>7.2935069337084178E-3</c:v>
                </c:pt>
                <c:pt idx="25">
                  <c:v>7.5420080217393735E-3</c:v>
                </c:pt>
                <c:pt idx="26">
                  <c:v>7.6414084569517565E-3</c:v>
                </c:pt>
                <c:pt idx="27">
                  <c:v>7.9023345993842545E-3</c:v>
                </c:pt>
                <c:pt idx="28">
                  <c:v>7.9644598713919865E-3</c:v>
                </c:pt>
                <c:pt idx="29">
                  <c:v>8.0887104154074678E-3</c:v>
                </c:pt>
                <c:pt idx="30">
                  <c:v>8.1881108506198473E-3</c:v>
                </c:pt>
                <c:pt idx="31">
                  <c:v>8.2129609594229387E-3</c:v>
                </c:pt>
                <c:pt idx="32">
                  <c:v>8.3372115034384166E-3</c:v>
                </c:pt>
                <c:pt idx="33">
                  <c:v>8.3744866666430572E-3</c:v>
                </c:pt>
                <c:pt idx="34">
                  <c:v>8.4241868842492504E-3</c:v>
                </c:pt>
                <c:pt idx="35">
                  <c:v>8.461462047453891E-3</c:v>
                </c:pt>
                <c:pt idx="36">
                  <c:v>8.5732875370678231E-3</c:v>
                </c:pt>
                <c:pt idx="37">
                  <c:v>8.5608624826662705E-3</c:v>
                </c:pt>
                <c:pt idx="38">
                  <c:v>8.6354128090755551E-3</c:v>
                </c:pt>
                <c:pt idx="39">
                  <c:v>8.7720884074925821E-3</c:v>
                </c:pt>
                <c:pt idx="40">
                  <c:v>8.859063788303416E-3</c:v>
                </c:pt>
                <c:pt idx="41">
                  <c:v>8.9087640059096057E-3</c:v>
                </c:pt>
                <c:pt idx="42">
                  <c:v>8.9211890603111514E-3</c:v>
                </c:pt>
                <c:pt idx="43">
                  <c:v>8.9336141147127006E-3</c:v>
                </c:pt>
                <c:pt idx="44">
                  <c:v>8.9460391691142463E-3</c:v>
                </c:pt>
                <c:pt idx="45">
                  <c:v>8.9708892779173412E-3</c:v>
                </c:pt>
                <c:pt idx="46">
                  <c:v>8.9833143323188903E-3</c:v>
                </c:pt>
                <c:pt idx="47">
                  <c:v>9.0081644411219852E-3</c:v>
                </c:pt>
                <c:pt idx="48">
                  <c:v>9.256665529152934E-3</c:v>
                </c:pt>
                <c:pt idx="49">
                  <c:v>9.3187908011606729E-3</c:v>
                </c:pt>
                <c:pt idx="50">
                  <c:v>9.4057661819715067E-3</c:v>
                </c:pt>
                <c:pt idx="51">
                  <c:v>9.4306162907746051E-3</c:v>
                </c:pt>
                <c:pt idx="52">
                  <c:v>9.5424417803885303E-3</c:v>
                </c:pt>
                <c:pt idx="53">
                  <c:v>9.7785178140179334E-3</c:v>
                </c:pt>
                <c:pt idx="54">
                  <c:v>9.8282180316241231E-3</c:v>
                </c:pt>
                <c:pt idx="55">
                  <c:v>9.9773186844426959E-3</c:v>
                </c:pt>
                <c:pt idx="56">
                  <c:v>1.0113994282859719E-2</c:v>
                </c:pt>
                <c:pt idx="57">
                  <c:v>1.0138844391662811E-2</c:v>
                </c:pt>
                <c:pt idx="58">
                  <c:v>1.0151269446064363E-2</c:v>
                </c:pt>
                <c:pt idx="59">
                  <c:v>1.0412195588496861E-2</c:v>
                </c:pt>
                <c:pt idx="60">
                  <c:v>1.0461895806103055E-2</c:v>
                </c:pt>
                <c:pt idx="61">
                  <c:v>1.0511596023709244E-2</c:v>
                </c:pt>
                <c:pt idx="62">
                  <c:v>1.0697971839732451E-2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compute!$A$5:$A$67</c:f>
              <c:numCache>
                <c:formatCode>[$-409]d\-mmm;@</c:formatCode>
                <c:ptCount val="6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compute!$K$5:$K$67</c:f>
              <c:numCache>
                <c:formatCode>0.0%</c:formatCode>
                <c:ptCount val="63"/>
                <c:pt idx="0">
                  <c:v>1.0902985237357988E-3</c:v>
                </c:pt>
                <c:pt idx="1">
                  <c:v>1.5198100633892955E-3</c:v>
                </c:pt>
                <c:pt idx="2">
                  <c:v>2.0814789998592521E-3</c:v>
                </c:pt>
                <c:pt idx="3">
                  <c:v>2.510990539512749E-3</c:v>
                </c:pt>
                <c:pt idx="4">
                  <c:v>2.9735414283703606E-3</c:v>
                </c:pt>
                <c:pt idx="5">
                  <c:v>3.8986432060855837E-3</c:v>
                </c:pt>
                <c:pt idx="6">
                  <c:v>5.2862958726584194E-3</c:v>
                </c:pt>
                <c:pt idx="7">
                  <c:v>6.5087517932106787E-3</c:v>
                </c:pt>
                <c:pt idx="8">
                  <c:v>7.8633651105793987E-3</c:v>
                </c:pt>
                <c:pt idx="9">
                  <c:v>8.7884668882946201E-3</c:v>
                </c:pt>
                <c:pt idx="10">
                  <c:v>9.7135686660098433E-3</c:v>
                </c:pt>
                <c:pt idx="11">
                  <c:v>1.0242198253275686E-2</c:v>
                </c:pt>
                <c:pt idx="12">
                  <c:v>1.1464654173827946E-2</c:v>
                </c:pt>
                <c:pt idx="13">
                  <c:v>1.2059362459502017E-2</c:v>
                </c:pt>
                <c:pt idx="14">
                  <c:v>1.3083582284829587E-2</c:v>
                </c:pt>
                <c:pt idx="15">
                  <c:v>1.4140841459361271E-2</c:v>
                </c:pt>
                <c:pt idx="16">
                  <c:v>1.4999864538668263E-2</c:v>
                </c:pt>
                <c:pt idx="17">
                  <c:v>1.5462415427525876E-2</c:v>
                </c:pt>
                <c:pt idx="18">
                  <c:v>1.6288399157628752E-2</c:v>
                </c:pt>
                <c:pt idx="19">
                  <c:v>1.718046158613986E-2</c:v>
                </c:pt>
                <c:pt idx="20">
                  <c:v>1.7676051824201587E-2</c:v>
                </c:pt>
                <c:pt idx="21">
                  <c:v>1.8535074903508579E-2</c:v>
                </c:pt>
                <c:pt idx="22">
                  <c:v>1.8766350347937388E-2</c:v>
                </c:pt>
                <c:pt idx="23">
                  <c:v>1.9261940585999116E-2</c:v>
                </c:pt>
                <c:pt idx="24">
                  <c:v>1.9394097982815574E-2</c:v>
                </c:pt>
                <c:pt idx="25">
                  <c:v>2.0054884966897876E-2</c:v>
                </c:pt>
                <c:pt idx="26">
                  <c:v>2.0319199760530798E-2</c:v>
                </c:pt>
                <c:pt idx="27">
                  <c:v>2.1013026093817215E-2</c:v>
                </c:pt>
                <c:pt idx="28">
                  <c:v>2.117822283983779E-2</c:v>
                </c:pt>
                <c:pt idx="29">
                  <c:v>2.1508616331878942E-2</c:v>
                </c:pt>
                <c:pt idx="30">
                  <c:v>2.1772931125511864E-2</c:v>
                </c:pt>
                <c:pt idx="31">
                  <c:v>2.1839009823920091E-2</c:v>
                </c:pt>
                <c:pt idx="32">
                  <c:v>2.2169403315961244E-2</c:v>
                </c:pt>
                <c:pt idx="33">
                  <c:v>2.2268521363573591E-2</c:v>
                </c:pt>
                <c:pt idx="34">
                  <c:v>2.240067876039005E-2</c:v>
                </c:pt>
                <c:pt idx="35">
                  <c:v>2.2499796808002393E-2</c:v>
                </c:pt>
                <c:pt idx="36">
                  <c:v>2.279715095083943E-2</c:v>
                </c:pt>
                <c:pt idx="37">
                  <c:v>2.2764111601635318E-2</c:v>
                </c:pt>
                <c:pt idx="38">
                  <c:v>2.2962347696860005E-2</c:v>
                </c:pt>
                <c:pt idx="39">
                  <c:v>2.3325780538105273E-2</c:v>
                </c:pt>
                <c:pt idx="40">
                  <c:v>2.3557055982534079E-2</c:v>
                </c:pt>
                <c:pt idx="41">
                  <c:v>2.3689213379350538E-2</c:v>
                </c:pt>
                <c:pt idx="42">
                  <c:v>2.3722252728554657E-2</c:v>
                </c:pt>
                <c:pt idx="43">
                  <c:v>2.3755292077758772E-2</c:v>
                </c:pt>
                <c:pt idx="44">
                  <c:v>2.3788331426962885E-2</c:v>
                </c:pt>
                <c:pt idx="45">
                  <c:v>2.3854410125371116E-2</c:v>
                </c:pt>
                <c:pt idx="46">
                  <c:v>2.3887449474575231E-2</c:v>
                </c:pt>
                <c:pt idx="47">
                  <c:v>2.3953528172983459E-2</c:v>
                </c:pt>
                <c:pt idx="48">
                  <c:v>2.4614315157065761E-2</c:v>
                </c:pt>
                <c:pt idx="49">
                  <c:v>2.4779511903086335E-2</c:v>
                </c:pt>
                <c:pt idx="50">
                  <c:v>2.5010787347515145E-2</c:v>
                </c:pt>
                <c:pt idx="51">
                  <c:v>2.5076866045923372E-2</c:v>
                </c:pt>
                <c:pt idx="52">
                  <c:v>2.5374220188760413E-2</c:v>
                </c:pt>
                <c:pt idx="53">
                  <c:v>2.6001967823638599E-2</c:v>
                </c:pt>
                <c:pt idx="54">
                  <c:v>2.6134125220455058E-2</c:v>
                </c:pt>
                <c:pt idx="55">
                  <c:v>2.6530597410904442E-2</c:v>
                </c:pt>
                <c:pt idx="56">
                  <c:v>2.6894030252149703E-2</c:v>
                </c:pt>
                <c:pt idx="57">
                  <c:v>2.6960108950557934E-2</c:v>
                </c:pt>
                <c:pt idx="58">
                  <c:v>2.6993148299762054E-2</c:v>
                </c:pt>
                <c:pt idx="59">
                  <c:v>2.7686974633048467E-2</c:v>
                </c:pt>
                <c:pt idx="60">
                  <c:v>2.781913202986493E-2</c:v>
                </c:pt>
                <c:pt idx="61">
                  <c:v>2.7951289426681389E-2</c:v>
                </c:pt>
                <c:pt idx="62">
                  <c:v>2.8446879664743116E-2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compute!$Q$5:$Q$10049</c:f>
              <c:numCache>
                <c:formatCode>0</c:formatCode>
                <c:ptCount val="10045"/>
                <c:pt idx="0">
                  <c:v>397.04761904761904</c:v>
                </c:pt>
                <c:pt idx="1">
                  <c:v>284.83850931677017</c:v>
                </c:pt>
                <c:pt idx="2">
                  <c:v>207.97732426303855</c:v>
                </c:pt>
                <c:pt idx="3">
                  <c:v>172.40225563909775</c:v>
                </c:pt>
                <c:pt idx="4">
                  <c:v>145.58412698412698</c:v>
                </c:pt>
                <c:pt idx="5">
                  <c:v>111.03874092009686</c:v>
                </c:pt>
                <c:pt idx="6">
                  <c:v>81.891071428571422</c:v>
                </c:pt>
                <c:pt idx="7">
                  <c:v>66.510514865844812</c:v>
                </c:pt>
                <c:pt idx="8">
                  <c:v>55.052821128451377</c:v>
                </c:pt>
                <c:pt idx="9">
                  <c:v>49.257787325456498</c:v>
                </c:pt>
                <c:pt idx="10">
                  <c:v>44.566569484936835</c:v>
                </c:pt>
                <c:pt idx="11">
                  <c:v>42.266359447004611</c:v>
                </c:pt>
                <c:pt idx="12">
                  <c:v>37.759571840263483</c:v>
                </c:pt>
                <c:pt idx="13">
                  <c:v>35.897455968688845</c:v>
                </c:pt>
                <c:pt idx="14">
                  <c:v>33.087301587301589</c:v>
                </c:pt>
                <c:pt idx="15">
                  <c:v>30.613484646194927</c:v>
                </c:pt>
                <c:pt idx="16">
                  <c:v>28.860289490245439</c:v>
                </c:pt>
                <c:pt idx="17">
                  <c:v>27.996947496947495</c:v>
                </c:pt>
                <c:pt idx="18">
                  <c:v>26.577223993045493</c:v>
                </c:pt>
                <c:pt idx="19">
                  <c:v>25.197252747252747</c:v>
                </c:pt>
                <c:pt idx="20">
                  <c:v>24.490787716955943</c:v>
                </c:pt>
                <c:pt idx="21">
                  <c:v>23.355742296918766</c:v>
                </c:pt>
                <c:pt idx="22">
                  <c:v>23.067907444668009</c:v>
                </c:pt>
                <c:pt idx="23">
                  <c:v>22.474393530997304</c:v>
                </c:pt>
                <c:pt idx="24">
                  <c:v>22.321246045266488</c:v>
                </c:pt>
                <c:pt idx="25">
                  <c:v>21.585784890562486</c:v>
                </c:pt>
                <c:pt idx="26">
                  <c:v>21.304994192799072</c:v>
                </c:pt>
                <c:pt idx="27">
                  <c:v>20.601527403414195</c:v>
                </c:pt>
                <c:pt idx="28">
                  <c:v>20.440829061733897</c:v>
                </c:pt>
                <c:pt idx="29">
                  <c:v>20.126837831906958</c:v>
                </c:pt>
                <c:pt idx="30">
                  <c:v>19.882505961413397</c:v>
                </c:pt>
                <c:pt idx="31">
                  <c:v>19.82234709314891</c:v>
                </c:pt>
                <c:pt idx="32">
                  <c:v>19.526932084309134</c:v>
                </c:pt>
                <c:pt idx="33">
                  <c:v>19.440016956337431</c:v>
                </c:pt>
                <c:pt idx="34">
                  <c:v>19.325326590813315</c:v>
                </c:pt>
                <c:pt idx="35">
                  <c:v>19.240192993496958</c:v>
                </c:pt>
                <c:pt idx="36">
                  <c:v>18.989233954451347</c:v>
                </c:pt>
                <c:pt idx="37">
                  <c:v>19.016794526228487</c:v>
                </c:pt>
                <c:pt idx="38">
                  <c:v>18.852620760534428</c:v>
                </c:pt>
                <c:pt idx="39">
                  <c:v>18.558883043302306</c:v>
                </c:pt>
                <c:pt idx="40">
                  <c:v>18.376678020436785</c:v>
                </c:pt>
                <c:pt idx="41">
                  <c:v>18.27415819884439</c:v>
                </c:pt>
                <c:pt idx="42">
                  <c:v>18.248706725029844</c:v>
                </c:pt>
                <c:pt idx="43">
                  <c:v>18.223326048082654</c:v>
                </c:pt>
                <c:pt idx="44">
                  <c:v>18.198015873015873</c:v>
                </c:pt>
                <c:pt idx="45">
                  <c:v>18.147605856747131</c:v>
                </c:pt>
                <c:pt idx="46">
                  <c:v>18.122505433708753</c:v>
                </c:pt>
                <c:pt idx="47">
                  <c:v>18.072512315270934</c:v>
                </c:pt>
                <c:pt idx="48">
                  <c:v>17.587344199424738</c:v>
                </c:pt>
                <c:pt idx="49">
                  <c:v>17.470095238095237</c:v>
                </c:pt>
                <c:pt idx="50">
                  <c:v>17.308548782789206</c:v>
                </c:pt>
                <c:pt idx="51">
                  <c:v>17.262939958592131</c:v>
                </c:pt>
                <c:pt idx="52">
                  <c:v>17.06063988095238</c:v>
                </c:pt>
                <c:pt idx="53">
                  <c:v>16.648756580141587</c:v>
                </c:pt>
                <c:pt idx="54">
                  <c:v>16.564565649268555</c:v>
                </c:pt>
                <c:pt idx="55">
                  <c:v>16.317025440313113</c:v>
                </c:pt>
                <c:pt idx="56">
                  <c:v>16.096525096525095</c:v>
                </c:pt>
                <c:pt idx="57">
                  <c:v>16.057072829131652</c:v>
                </c:pt>
                <c:pt idx="58">
                  <c:v>16.037419129218396</c:v>
                </c:pt>
                <c:pt idx="59">
                  <c:v>15.635526764405046</c:v>
                </c:pt>
                <c:pt idx="60">
                  <c:v>15.561248727519512</c:v>
                </c:pt>
                <c:pt idx="61">
                  <c:v>15.487673083417764</c:v>
                </c:pt>
                <c:pt idx="62">
                  <c:v>15.217852994856479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compute!$R$5:$R$10049</c:f>
              <c:numCache>
                <c:formatCode>0</c:formatCode>
                <c:ptCount val="10045"/>
                <c:pt idx="0">
                  <c:v>158.81904761904764</c:v>
                </c:pt>
                <c:pt idx="1">
                  <c:v>113.9354037267081</c:v>
                </c:pt>
                <c:pt idx="2">
                  <c:v>83.19092970521541</c:v>
                </c:pt>
                <c:pt idx="3">
                  <c:v>68.960902255639098</c:v>
                </c:pt>
                <c:pt idx="4">
                  <c:v>58.23365079365081</c:v>
                </c:pt>
                <c:pt idx="5">
                  <c:v>44.415496368038745</c:v>
                </c:pt>
                <c:pt idx="6">
                  <c:v>32.756428571428572</c:v>
                </c:pt>
                <c:pt idx="7">
                  <c:v>26.604205946337927</c:v>
                </c:pt>
                <c:pt idx="8">
                  <c:v>22.021128451380555</c:v>
                </c:pt>
                <c:pt idx="9">
                  <c:v>19.703114930182601</c:v>
                </c:pt>
                <c:pt idx="10">
                  <c:v>17.82662779397473</c:v>
                </c:pt>
                <c:pt idx="11">
                  <c:v>16.90654377880184</c:v>
                </c:pt>
                <c:pt idx="12">
                  <c:v>15.103828736105392</c:v>
                </c:pt>
                <c:pt idx="13">
                  <c:v>14.358982387475535</c:v>
                </c:pt>
                <c:pt idx="14">
                  <c:v>13.234920634920634</c:v>
                </c:pt>
                <c:pt idx="15">
                  <c:v>12.245393858477968</c:v>
                </c:pt>
                <c:pt idx="16">
                  <c:v>11.544115796098172</c:v>
                </c:pt>
                <c:pt idx="17">
                  <c:v>11.198778998779002</c:v>
                </c:pt>
                <c:pt idx="18">
                  <c:v>10.6308895972182</c:v>
                </c:pt>
                <c:pt idx="19">
                  <c:v>10.078901098901099</c:v>
                </c:pt>
                <c:pt idx="20">
                  <c:v>9.7963150867823785</c:v>
                </c:pt>
                <c:pt idx="21">
                  <c:v>9.3422969187675058</c:v>
                </c:pt>
                <c:pt idx="22">
                  <c:v>9.2271629778672022</c:v>
                </c:pt>
                <c:pt idx="23">
                  <c:v>8.989757412398923</c:v>
                </c:pt>
                <c:pt idx="24">
                  <c:v>8.9284984181065958</c:v>
                </c:pt>
                <c:pt idx="25">
                  <c:v>8.6343139562249931</c:v>
                </c:pt>
                <c:pt idx="26">
                  <c:v>8.5219976771196286</c:v>
                </c:pt>
                <c:pt idx="27">
                  <c:v>8.2406109613656788</c:v>
                </c:pt>
                <c:pt idx="28">
                  <c:v>8.1763316246935602</c:v>
                </c:pt>
                <c:pt idx="29">
                  <c:v>8.0507351327627816</c:v>
                </c:pt>
                <c:pt idx="30">
                  <c:v>7.9530023845653588</c:v>
                </c:pt>
                <c:pt idx="31">
                  <c:v>7.9289388372595617</c:v>
                </c:pt>
                <c:pt idx="32">
                  <c:v>7.8107728337236537</c:v>
                </c:pt>
                <c:pt idx="33">
                  <c:v>7.7760067825349743</c:v>
                </c:pt>
                <c:pt idx="34">
                  <c:v>7.7301306363253275</c:v>
                </c:pt>
                <c:pt idx="35">
                  <c:v>7.6960771973987825</c:v>
                </c:pt>
                <c:pt idx="36">
                  <c:v>7.5956935817805373</c:v>
                </c:pt>
                <c:pt idx="37">
                  <c:v>7.6067178104913964</c:v>
                </c:pt>
                <c:pt idx="38">
                  <c:v>7.5410483042137741</c:v>
                </c:pt>
                <c:pt idx="39">
                  <c:v>7.4235532173209222</c:v>
                </c:pt>
                <c:pt idx="40">
                  <c:v>7.3506712081747168</c:v>
                </c:pt>
                <c:pt idx="41">
                  <c:v>7.3096632795377587</c:v>
                </c:pt>
                <c:pt idx="42">
                  <c:v>7.2994826900119385</c:v>
                </c:pt>
                <c:pt idx="43">
                  <c:v>7.2893304192330604</c:v>
                </c:pt>
                <c:pt idx="44">
                  <c:v>7.2792063492063512</c:v>
                </c:pt>
                <c:pt idx="45">
                  <c:v>7.2590423426988515</c:v>
                </c:pt>
                <c:pt idx="46">
                  <c:v>7.2490021734835004</c:v>
                </c:pt>
                <c:pt idx="47">
                  <c:v>7.2290049261083773</c:v>
                </c:pt>
                <c:pt idx="48">
                  <c:v>7.034937679769893</c:v>
                </c:pt>
                <c:pt idx="49">
                  <c:v>6.988038095238096</c:v>
                </c:pt>
                <c:pt idx="50">
                  <c:v>6.9234195131156824</c:v>
                </c:pt>
                <c:pt idx="51">
                  <c:v>6.9051759834368553</c:v>
                </c:pt>
                <c:pt idx="52">
                  <c:v>6.8242559523809554</c:v>
                </c:pt>
                <c:pt idx="53">
                  <c:v>6.6595026320566326</c:v>
                </c:pt>
                <c:pt idx="54">
                  <c:v>6.6258262597074236</c:v>
                </c:pt>
                <c:pt idx="55">
                  <c:v>6.5268101761252417</c:v>
                </c:pt>
                <c:pt idx="56">
                  <c:v>6.4386100386100402</c:v>
                </c:pt>
                <c:pt idx="57">
                  <c:v>6.4228291316526622</c:v>
                </c:pt>
                <c:pt idx="58">
                  <c:v>6.4149676516873555</c:v>
                </c:pt>
                <c:pt idx="59">
                  <c:v>6.2542107057620164</c:v>
                </c:pt>
                <c:pt idx="60">
                  <c:v>6.2244994910078049</c:v>
                </c:pt>
                <c:pt idx="61">
                  <c:v>6.1950692333671071</c:v>
                </c:pt>
                <c:pt idx="62">
                  <c:v>6.0871411979425929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7E-B94D-B5BC-E16578AE4167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7E-B94D-B5BC-E16578AE416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F-5147-82F7-F5AF9512A8E3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F-5147-82F7-F5AF9512A8E3}"/>
                </c:ext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F-5147-82F7-F5AF9512A8E3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F-5147-82F7-F5AF9512A8E3}"/>
                </c:ext>
              </c:extLst>
            </c:dLbl>
            <c:dLbl>
              <c:idx val="62"/>
              <c:layout>
                <c:manualLayout>
                  <c:x val="-0.10913843743512869"/>
                  <c:y val="-5.58372361220954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F-5147-82F7-F5AF9512A8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compute!$S$5:$S$10049</c:f>
              <c:numCache>
                <c:formatCode>0</c:formatCode>
                <c:ptCount val="10045"/>
                <c:pt idx="0">
                  <c:v>476.45714285714286</c:v>
                </c:pt>
                <c:pt idx="1">
                  <c:v>341.80621118012425</c:v>
                </c:pt>
                <c:pt idx="2">
                  <c:v>249.57278911564626</c:v>
                </c:pt>
                <c:pt idx="3">
                  <c:v>206.88270676691729</c:v>
                </c:pt>
                <c:pt idx="4">
                  <c:v>174.7009523809524</c:v>
                </c:pt>
                <c:pt idx="5">
                  <c:v>133.24648910411622</c:v>
                </c:pt>
                <c:pt idx="6">
                  <c:v>98.269285714285701</c:v>
                </c:pt>
                <c:pt idx="7">
                  <c:v>79.812617839013768</c:v>
                </c:pt>
                <c:pt idx="8">
                  <c:v>66.063385354141658</c:v>
                </c:pt>
                <c:pt idx="9">
                  <c:v>59.109344790547794</c:v>
                </c:pt>
                <c:pt idx="10">
                  <c:v>53.479883381924196</c:v>
                </c:pt>
                <c:pt idx="11">
                  <c:v>50.719631336405527</c:v>
                </c:pt>
                <c:pt idx="12">
                  <c:v>45.311486208316182</c:v>
                </c:pt>
                <c:pt idx="13">
                  <c:v>43.076947162426613</c:v>
                </c:pt>
                <c:pt idx="14">
                  <c:v>39.704761904761909</c:v>
                </c:pt>
                <c:pt idx="15">
                  <c:v>36.73618157543391</c:v>
                </c:pt>
                <c:pt idx="16">
                  <c:v>34.632347388294527</c:v>
                </c:pt>
                <c:pt idx="17">
                  <c:v>33.596336996336994</c:v>
                </c:pt>
                <c:pt idx="18">
                  <c:v>31.892668791654593</c:v>
                </c:pt>
                <c:pt idx="19">
                  <c:v>30.236703296703297</c:v>
                </c:pt>
                <c:pt idx="20">
                  <c:v>29.388945260347132</c:v>
                </c:pt>
                <c:pt idx="21">
                  <c:v>28.026890756302521</c:v>
                </c:pt>
                <c:pt idx="22">
                  <c:v>27.68148893360161</c:v>
                </c:pt>
                <c:pt idx="23">
                  <c:v>26.969272237196765</c:v>
                </c:pt>
                <c:pt idx="24">
                  <c:v>26.785495254319784</c:v>
                </c:pt>
                <c:pt idx="25">
                  <c:v>25.902941868674983</c:v>
                </c:pt>
                <c:pt idx="26">
                  <c:v>25.565993031358886</c:v>
                </c:pt>
                <c:pt idx="27">
                  <c:v>24.721832884097033</c:v>
                </c:pt>
                <c:pt idx="28">
                  <c:v>24.528994874080677</c:v>
                </c:pt>
                <c:pt idx="29">
                  <c:v>24.152205398288348</c:v>
                </c:pt>
                <c:pt idx="30">
                  <c:v>23.859007153696076</c:v>
                </c:pt>
                <c:pt idx="31">
                  <c:v>23.786816511778689</c:v>
                </c:pt>
                <c:pt idx="32">
                  <c:v>23.432318501170961</c:v>
                </c:pt>
                <c:pt idx="33">
                  <c:v>23.328020347604919</c:v>
                </c:pt>
                <c:pt idx="34">
                  <c:v>23.190391908975979</c:v>
                </c:pt>
                <c:pt idx="35">
                  <c:v>23.088231592196351</c:v>
                </c:pt>
                <c:pt idx="36">
                  <c:v>22.787080745341616</c:v>
                </c:pt>
                <c:pt idx="37">
                  <c:v>22.820153431474186</c:v>
                </c:pt>
                <c:pt idx="38">
                  <c:v>22.623144912641315</c:v>
                </c:pt>
                <c:pt idx="39">
                  <c:v>22.270659651962767</c:v>
                </c:pt>
                <c:pt idx="40">
                  <c:v>22.052013624524143</c:v>
                </c:pt>
                <c:pt idx="41">
                  <c:v>21.928989838613269</c:v>
                </c:pt>
                <c:pt idx="42">
                  <c:v>21.898448070035812</c:v>
                </c:pt>
                <c:pt idx="43">
                  <c:v>21.867991257699185</c:v>
                </c:pt>
                <c:pt idx="44">
                  <c:v>21.83761904761905</c:v>
                </c:pt>
                <c:pt idx="45">
                  <c:v>21.777127028096558</c:v>
                </c:pt>
                <c:pt idx="46">
                  <c:v>21.747006520450505</c:v>
                </c:pt>
                <c:pt idx="47">
                  <c:v>21.687014778325121</c:v>
                </c:pt>
                <c:pt idx="48">
                  <c:v>21.104813039309683</c:v>
                </c:pt>
                <c:pt idx="49">
                  <c:v>20.964114285714285</c:v>
                </c:pt>
                <c:pt idx="50">
                  <c:v>20.770258539347047</c:v>
                </c:pt>
                <c:pt idx="51">
                  <c:v>20.715527950310559</c:v>
                </c:pt>
                <c:pt idx="52">
                  <c:v>20.472767857142856</c:v>
                </c:pt>
                <c:pt idx="53">
                  <c:v>19.978507896169901</c:v>
                </c:pt>
                <c:pt idx="54">
                  <c:v>19.877478779122267</c:v>
                </c:pt>
                <c:pt idx="55">
                  <c:v>19.580430528375736</c:v>
                </c:pt>
                <c:pt idx="56">
                  <c:v>19.315830115830117</c:v>
                </c:pt>
                <c:pt idx="57">
                  <c:v>19.268487394957983</c:v>
                </c:pt>
                <c:pt idx="58">
                  <c:v>19.244902955062074</c:v>
                </c:pt>
                <c:pt idx="59">
                  <c:v>18.762632117286053</c:v>
                </c:pt>
                <c:pt idx="60">
                  <c:v>18.673498473023415</c:v>
                </c:pt>
                <c:pt idx="61">
                  <c:v>18.585207700101318</c:v>
                </c:pt>
                <c:pt idx="62">
                  <c:v>18.261423593827775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compute!$C$5:$C$68</c:f>
              <c:numCache>
                <c:formatCode>0.0%</c:formatCode>
                <c:ptCount val="64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  <c:pt idx="52">
                  <c:v>8.3734926622909354E-3</c:v>
                </c:pt>
                <c:pt idx="53">
                  <c:v>8.5806493818007378E-3</c:v>
                </c:pt>
                <c:pt idx="54">
                  <c:v>8.6242613227501697E-3</c:v>
                </c:pt>
                <c:pt idx="55">
                  <c:v>8.7550971455984655E-3</c:v>
                </c:pt>
                <c:pt idx="56">
                  <c:v>8.8750299832094023E-3</c:v>
                </c:pt>
                <c:pt idx="57">
                  <c:v>8.8968359536841183E-3</c:v>
                </c:pt>
                <c:pt idx="58">
                  <c:v>8.9077389389214771E-3</c:v>
                </c:pt>
                <c:pt idx="59">
                  <c:v>9.1367016289059938E-3</c:v>
                </c:pt>
                <c:pt idx="60">
                  <c:v>9.1803135698554257E-3</c:v>
                </c:pt>
                <c:pt idx="61">
                  <c:v>9.2239255108048576E-3</c:v>
                </c:pt>
                <c:pt idx="62">
                  <c:v>9.3874702893652281E-3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compute!$C$5:$C$68</c:f>
              <c:numCache>
                <c:formatCode>0.0%</c:formatCode>
                <c:ptCount val="64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  <c:pt idx="52">
                  <c:v>8.3734926622909354E-3</c:v>
                </c:pt>
                <c:pt idx="53">
                  <c:v>8.5806493818007378E-3</c:v>
                </c:pt>
                <c:pt idx="54">
                  <c:v>8.6242613227501697E-3</c:v>
                </c:pt>
                <c:pt idx="55">
                  <c:v>8.7550971455984655E-3</c:v>
                </c:pt>
                <c:pt idx="56">
                  <c:v>8.8750299832094023E-3</c:v>
                </c:pt>
                <c:pt idx="57">
                  <c:v>8.8968359536841183E-3</c:v>
                </c:pt>
                <c:pt idx="58">
                  <c:v>8.9077389389214771E-3</c:v>
                </c:pt>
                <c:pt idx="59">
                  <c:v>9.1367016289059938E-3</c:v>
                </c:pt>
                <c:pt idx="60">
                  <c:v>9.1803135698554257E-3</c:v>
                </c:pt>
                <c:pt idx="61">
                  <c:v>9.2239255108048576E-3</c:v>
                </c:pt>
                <c:pt idx="62">
                  <c:v>9.3874702893652281E-3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inorUnit val="90"/>
      </c:date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compute!$A$5:$A$10049</c:f>
              <c:numCache>
                <c:formatCode>[$-409]d\-mmm;@</c:formatCode>
                <c:ptCount val="1004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</c:numCache>
            </c:numRef>
          </c:cat>
          <c:val>
            <c:numRef>
              <c:f>compute!$K$5:$K$67</c:f>
              <c:numCache>
                <c:formatCode>0.0%</c:formatCode>
                <c:ptCount val="63"/>
                <c:pt idx="0">
                  <c:v>1.0902985237357988E-3</c:v>
                </c:pt>
                <c:pt idx="1">
                  <c:v>1.5198100633892955E-3</c:v>
                </c:pt>
                <c:pt idx="2">
                  <c:v>2.0814789998592521E-3</c:v>
                </c:pt>
                <c:pt idx="3">
                  <c:v>2.510990539512749E-3</c:v>
                </c:pt>
                <c:pt idx="4">
                  <c:v>2.9735414283703606E-3</c:v>
                </c:pt>
                <c:pt idx="5">
                  <c:v>3.8986432060855837E-3</c:v>
                </c:pt>
                <c:pt idx="6">
                  <c:v>5.2862958726584194E-3</c:v>
                </c:pt>
                <c:pt idx="7">
                  <c:v>6.5087517932106787E-3</c:v>
                </c:pt>
                <c:pt idx="8">
                  <c:v>7.8633651105793987E-3</c:v>
                </c:pt>
                <c:pt idx="9">
                  <c:v>8.7884668882946201E-3</c:v>
                </c:pt>
                <c:pt idx="10">
                  <c:v>9.7135686660098433E-3</c:v>
                </c:pt>
                <c:pt idx="11">
                  <c:v>1.0242198253275686E-2</c:v>
                </c:pt>
                <c:pt idx="12">
                  <c:v>1.1464654173827946E-2</c:v>
                </c:pt>
                <c:pt idx="13">
                  <c:v>1.2059362459502017E-2</c:v>
                </c:pt>
                <c:pt idx="14">
                  <c:v>1.3083582284829587E-2</c:v>
                </c:pt>
                <c:pt idx="15">
                  <c:v>1.4140841459361271E-2</c:v>
                </c:pt>
                <c:pt idx="16">
                  <c:v>1.4999864538668263E-2</c:v>
                </c:pt>
                <c:pt idx="17">
                  <c:v>1.5462415427525876E-2</c:v>
                </c:pt>
                <c:pt idx="18">
                  <c:v>1.6288399157628752E-2</c:v>
                </c:pt>
                <c:pt idx="19">
                  <c:v>1.718046158613986E-2</c:v>
                </c:pt>
                <c:pt idx="20">
                  <c:v>1.7676051824201587E-2</c:v>
                </c:pt>
                <c:pt idx="21">
                  <c:v>1.8535074903508579E-2</c:v>
                </c:pt>
                <c:pt idx="22">
                  <c:v>1.8766350347937388E-2</c:v>
                </c:pt>
                <c:pt idx="23">
                  <c:v>1.9261940585999116E-2</c:v>
                </c:pt>
                <c:pt idx="24">
                  <c:v>1.9394097982815574E-2</c:v>
                </c:pt>
                <c:pt idx="25">
                  <c:v>2.0054884966897876E-2</c:v>
                </c:pt>
                <c:pt idx="26">
                  <c:v>2.0319199760530798E-2</c:v>
                </c:pt>
                <c:pt idx="27">
                  <c:v>2.1013026093817215E-2</c:v>
                </c:pt>
                <c:pt idx="28">
                  <c:v>2.117822283983779E-2</c:v>
                </c:pt>
                <c:pt idx="29">
                  <c:v>2.1508616331878942E-2</c:v>
                </c:pt>
                <c:pt idx="30">
                  <c:v>2.1772931125511864E-2</c:v>
                </c:pt>
                <c:pt idx="31">
                  <c:v>2.1839009823920091E-2</c:v>
                </c:pt>
                <c:pt idx="32">
                  <c:v>2.2169403315961244E-2</c:v>
                </c:pt>
                <c:pt idx="33">
                  <c:v>2.2268521363573591E-2</c:v>
                </c:pt>
                <c:pt idx="34">
                  <c:v>2.240067876039005E-2</c:v>
                </c:pt>
                <c:pt idx="35">
                  <c:v>2.2499796808002393E-2</c:v>
                </c:pt>
                <c:pt idx="36">
                  <c:v>2.279715095083943E-2</c:v>
                </c:pt>
                <c:pt idx="37">
                  <c:v>2.2764111601635318E-2</c:v>
                </c:pt>
                <c:pt idx="38">
                  <c:v>2.2962347696860005E-2</c:v>
                </c:pt>
                <c:pt idx="39">
                  <c:v>2.3325780538105273E-2</c:v>
                </c:pt>
                <c:pt idx="40">
                  <c:v>2.3557055982534079E-2</c:v>
                </c:pt>
                <c:pt idx="41">
                  <c:v>2.3689213379350538E-2</c:v>
                </c:pt>
                <c:pt idx="42">
                  <c:v>2.3722252728554657E-2</c:v>
                </c:pt>
                <c:pt idx="43">
                  <c:v>2.3755292077758772E-2</c:v>
                </c:pt>
                <c:pt idx="44">
                  <c:v>2.3788331426962885E-2</c:v>
                </c:pt>
                <c:pt idx="45">
                  <c:v>2.3854410125371116E-2</c:v>
                </c:pt>
                <c:pt idx="46">
                  <c:v>2.3887449474575231E-2</c:v>
                </c:pt>
                <c:pt idx="47">
                  <c:v>2.3953528172983459E-2</c:v>
                </c:pt>
                <c:pt idx="48">
                  <c:v>2.4614315157065761E-2</c:v>
                </c:pt>
                <c:pt idx="49">
                  <c:v>2.4779511903086335E-2</c:v>
                </c:pt>
                <c:pt idx="50">
                  <c:v>2.5010787347515145E-2</c:v>
                </c:pt>
                <c:pt idx="51">
                  <c:v>2.5076866045923372E-2</c:v>
                </c:pt>
                <c:pt idx="52">
                  <c:v>2.5374220188760413E-2</c:v>
                </c:pt>
                <c:pt idx="53">
                  <c:v>2.6001967823638599E-2</c:v>
                </c:pt>
                <c:pt idx="54">
                  <c:v>2.6134125220455058E-2</c:v>
                </c:pt>
                <c:pt idx="55">
                  <c:v>2.6530597410904442E-2</c:v>
                </c:pt>
                <c:pt idx="56">
                  <c:v>2.6894030252149703E-2</c:v>
                </c:pt>
                <c:pt idx="57">
                  <c:v>2.6960108950557934E-2</c:v>
                </c:pt>
                <c:pt idx="58">
                  <c:v>2.6993148299762054E-2</c:v>
                </c:pt>
                <c:pt idx="59">
                  <c:v>2.7686974633048467E-2</c:v>
                </c:pt>
                <c:pt idx="60">
                  <c:v>2.781913202986493E-2</c:v>
                </c:pt>
                <c:pt idx="61">
                  <c:v>2.7951289426681389E-2</c:v>
                </c:pt>
                <c:pt idx="62">
                  <c:v>2.8446879664743116E-2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12 - 18</c:v>
                </c:pt>
                <c:pt idx="1">
                  <c:v>May 19 - 25</c:v>
                </c:pt>
              </c:strCache>
            </c:strRef>
          </c:cat>
          <c:val>
            <c:numRef>
              <c:f>'Two-Weeks'!$M$7:$M$8</c:f>
              <c:numCache>
                <c:formatCode>#,##0</c:formatCode>
                <c:ptCount val="2"/>
                <c:pt idx="0">
                  <c:v>64</c:v>
                </c:pt>
                <c:pt idx="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8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25,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0.93559</cdr:x>
      <cdr:y>0.36949</cdr:y>
    </cdr:from>
    <cdr:to>
      <cdr:x>0.93681</cdr:x>
      <cdr:y>0.50169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E55F77EB-C270-9B4C-8ACB-6502B24EEB84}"/>
            </a:ext>
          </a:extLst>
        </cdr:cNvPr>
        <cdr:cNvCxnSpPr/>
      </cdr:nvCxnSpPr>
      <cdr:spPr>
        <a:xfrm xmlns:a="http://schemas.openxmlformats.org/drawingml/2006/main" flipV="1">
          <a:off x="7010400" y="2768600"/>
          <a:ext cx="9088" cy="990600"/>
        </a:xfrm>
        <a:prstGeom xmlns:a="http://schemas.openxmlformats.org/drawingml/2006/main" prst="straightConnector1">
          <a:avLst/>
        </a:prstGeom>
        <a:ln xmlns:a="http://schemas.openxmlformats.org/drawingml/2006/main" w="111125">
          <a:solidFill>
            <a:schemeClr val="tx2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0.27047</cdr:x>
      <cdr:y>0.27433</cdr:y>
    </cdr:from>
    <cdr:to>
      <cdr:x>0.77386</cdr:x>
      <cdr:y>0.42203</cdr:y>
    </cdr:to>
    <cdr:sp macro="" textlink="compute!$V$7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09435" y="2055556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18.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0.71361</cdr:x>
      <cdr:y>0.78491</cdr:y>
    </cdr:from>
    <cdr:to>
      <cdr:x>0.8403</cdr:x>
      <cdr:y>0.81705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314556" y="5891369"/>
          <a:ext cx="943514" cy="2412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8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8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8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25,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7" totalsRowShown="0" headerRowDxfId="23" dataDxfId="22" headerRowCellStyle="Heading 3">
  <autoFilter ref="A4:V67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N24" sqref="N24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5" sqref="L25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tabSelected="1" zoomScaleNormal="100" workbookViewId="0">
      <selection activeCell="M22" sqref="M22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topLeftCell="F23" zoomScale="287" zoomScaleNormal="100" workbookViewId="0">
      <selection activeCell="K31" sqref="K31"/>
    </sheetView>
  </sheetViews>
  <sheetFormatPr baseColWidth="10" defaultRowHeight="16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/>
  <cols>
    <col min="11" max="14" width="10.83203125" customWidth="1"/>
  </cols>
  <sheetData>
    <row r="1" spans="11:13">
      <c r="K1" t="s">
        <v>53</v>
      </c>
    </row>
    <row r="2" spans="11:13">
      <c r="K2" t="s">
        <v>0</v>
      </c>
      <c r="L2" t="s">
        <v>54</v>
      </c>
      <c r="M2" t="s">
        <v>55</v>
      </c>
    </row>
    <row r="3" spans="11:13">
      <c r="K3" s="76">
        <v>43913</v>
      </c>
      <c r="L3" s="70">
        <v>0.2</v>
      </c>
      <c r="M3" s="70">
        <v>1</v>
      </c>
    </row>
    <row r="4" spans="11:13">
      <c r="K4" s="76">
        <v>43914</v>
      </c>
      <c r="L4" s="70">
        <v>0.2</v>
      </c>
      <c r="M4" s="70">
        <v>1</v>
      </c>
    </row>
    <row r="5" spans="11:13">
      <c r="K5" s="76">
        <v>43915</v>
      </c>
      <c r="L5" s="70">
        <v>0.2</v>
      </c>
      <c r="M5" s="70">
        <v>1</v>
      </c>
    </row>
    <row r="6" spans="11:13">
      <c r="K6" s="76">
        <v>43916</v>
      </c>
      <c r="L6" s="70">
        <v>0.2</v>
      </c>
      <c r="M6" s="70">
        <v>1</v>
      </c>
    </row>
    <row r="7" spans="11:13">
      <c r="K7" s="76">
        <v>43917</v>
      </c>
      <c r="L7" s="70">
        <v>0.2</v>
      </c>
      <c r="M7" s="70">
        <v>1</v>
      </c>
    </row>
    <row r="8" spans="11:13">
      <c r="K8" s="76">
        <v>43918</v>
      </c>
      <c r="L8" s="70">
        <v>0.2</v>
      </c>
      <c r="M8" s="70">
        <v>1</v>
      </c>
    </row>
    <row r="9" spans="11:13">
      <c r="K9" s="76">
        <v>43919</v>
      </c>
      <c r="L9" s="70">
        <v>0.2</v>
      </c>
      <c r="M9" s="70">
        <v>1</v>
      </c>
    </row>
    <row r="10" spans="11:13">
      <c r="K10" s="76">
        <v>43920</v>
      </c>
      <c r="L10" s="70">
        <v>0.2</v>
      </c>
      <c r="M10" s="70">
        <v>1</v>
      </c>
    </row>
    <row r="11" spans="11:13">
      <c r="K11" s="76">
        <v>43921</v>
      </c>
      <c r="L11" s="70">
        <v>0.2</v>
      </c>
      <c r="M11" s="70">
        <v>1</v>
      </c>
    </row>
    <row r="12" spans="11:13">
      <c r="K12" s="76">
        <v>43922</v>
      </c>
      <c r="L12" s="70">
        <v>0.2</v>
      </c>
      <c r="M12" s="70">
        <v>1</v>
      </c>
    </row>
    <row r="13" spans="11:13">
      <c r="K13" s="76">
        <v>43923</v>
      </c>
      <c r="L13" s="70">
        <v>0.2</v>
      </c>
      <c r="M13" s="70">
        <v>1</v>
      </c>
    </row>
    <row r="14" spans="11:13">
      <c r="K14" s="76">
        <v>43924</v>
      </c>
      <c r="L14" s="70">
        <v>0.2</v>
      </c>
      <c r="M14" s="70">
        <v>1</v>
      </c>
    </row>
    <row r="15" spans="11:13">
      <c r="K15" s="76">
        <v>43925</v>
      </c>
      <c r="L15" s="70">
        <v>0.2</v>
      </c>
      <c r="M15" s="70">
        <v>1</v>
      </c>
    </row>
    <row r="16" spans="11:13">
      <c r="K16" s="76">
        <v>43926</v>
      </c>
      <c r="L16" s="70">
        <v>0.2</v>
      </c>
      <c r="M16" s="70">
        <v>1</v>
      </c>
    </row>
    <row r="17" spans="11:13">
      <c r="K17" s="76">
        <v>43927</v>
      </c>
      <c r="L17" s="70">
        <v>0.2</v>
      </c>
      <c r="M17" s="70">
        <v>1</v>
      </c>
    </row>
    <row r="18" spans="11:13">
      <c r="K18" s="76">
        <v>43928</v>
      </c>
      <c r="L18" s="70">
        <v>0.2</v>
      </c>
      <c r="M18" s="70">
        <v>1</v>
      </c>
    </row>
    <row r="19" spans="11:13">
      <c r="K19" s="76">
        <v>43929</v>
      </c>
      <c r="L19" s="70">
        <v>0.2</v>
      </c>
      <c r="M19" s="70">
        <v>1</v>
      </c>
    </row>
    <row r="20" spans="11:13">
      <c r="K20" s="76">
        <v>43930</v>
      </c>
      <c r="L20" s="70">
        <v>0.2</v>
      </c>
      <c r="M20" s="70">
        <v>1</v>
      </c>
    </row>
    <row r="21" spans="11:13">
      <c r="K21" s="76">
        <v>43931</v>
      </c>
      <c r="L21" s="70">
        <v>0.2</v>
      </c>
      <c r="M21" s="70">
        <v>1</v>
      </c>
    </row>
    <row r="22" spans="11:13">
      <c r="K22" s="76">
        <v>43932</v>
      </c>
      <c r="L22" s="70">
        <v>0.2</v>
      </c>
      <c r="M22" s="70">
        <v>1</v>
      </c>
    </row>
    <row r="23" spans="11:13">
      <c r="K23" s="76">
        <v>43933</v>
      </c>
      <c r="L23" s="70">
        <v>0.2</v>
      </c>
      <c r="M23" s="70">
        <v>1</v>
      </c>
    </row>
    <row r="24" spans="11:13">
      <c r="K24" s="76">
        <v>43934</v>
      </c>
      <c r="L24" s="70">
        <v>0.2</v>
      </c>
      <c r="M24" s="70">
        <v>1</v>
      </c>
    </row>
    <row r="25" spans="11:13">
      <c r="K25" s="76">
        <v>43935</v>
      </c>
      <c r="L25" s="70">
        <v>0.2</v>
      </c>
      <c r="M25" s="70">
        <v>1</v>
      </c>
    </row>
    <row r="26" spans="11:13">
      <c r="K26" s="76">
        <v>43936</v>
      </c>
      <c r="L26" s="70">
        <v>0.2</v>
      </c>
      <c r="M26" s="70">
        <v>1</v>
      </c>
    </row>
    <row r="27" spans="11:13">
      <c r="K27" s="76">
        <v>43937</v>
      </c>
      <c r="L27" s="70">
        <v>0.2</v>
      </c>
      <c r="M27" s="70">
        <v>1</v>
      </c>
    </row>
    <row r="28" spans="11:13">
      <c r="K28" s="76">
        <v>43938</v>
      </c>
      <c r="L28" s="70">
        <v>0.2</v>
      </c>
      <c r="M28" s="70">
        <v>1</v>
      </c>
    </row>
    <row r="29" spans="11:13">
      <c r="K29" s="76">
        <v>43939</v>
      </c>
      <c r="L29" s="70">
        <v>0.2</v>
      </c>
      <c r="M29" s="70">
        <v>1</v>
      </c>
    </row>
    <row r="30" spans="11:13">
      <c r="K30" s="76">
        <v>43940</v>
      </c>
      <c r="L30" s="70">
        <v>0.2</v>
      </c>
      <c r="M30" s="70">
        <v>1</v>
      </c>
    </row>
    <row r="31" spans="11:13">
      <c r="K31" s="76">
        <v>43941</v>
      </c>
      <c r="L31" s="70">
        <v>0.2</v>
      </c>
      <c r="M31" s="70">
        <v>1</v>
      </c>
    </row>
    <row r="32" spans="11:13">
      <c r="K32" s="76">
        <v>43942</v>
      </c>
      <c r="L32" s="70">
        <v>0.2</v>
      </c>
      <c r="M32" s="70">
        <v>1</v>
      </c>
    </row>
    <row r="33" spans="11:13">
      <c r="K33" s="76">
        <v>43943</v>
      </c>
      <c r="L33" s="70">
        <v>0.2</v>
      </c>
      <c r="M33" s="70">
        <v>1</v>
      </c>
    </row>
    <row r="34" spans="11:13">
      <c r="K34" s="76">
        <v>43944</v>
      </c>
      <c r="L34" s="70">
        <v>0.2</v>
      </c>
      <c r="M34" s="70">
        <v>1</v>
      </c>
    </row>
    <row r="35" spans="11:13">
      <c r="K35" s="76">
        <v>43945</v>
      </c>
      <c r="L35" s="70">
        <v>0.2</v>
      </c>
      <c r="M35" s="70">
        <v>1</v>
      </c>
    </row>
    <row r="36" spans="11:13">
      <c r="K36" s="76">
        <v>43946</v>
      </c>
      <c r="L36" s="70">
        <v>0.2</v>
      </c>
      <c r="M36" s="70">
        <v>1</v>
      </c>
    </row>
    <row r="37" spans="11:13">
      <c r="K37" s="76">
        <v>43947</v>
      </c>
      <c r="L37" s="70">
        <v>0.2</v>
      </c>
      <c r="M37" s="70">
        <v>1</v>
      </c>
    </row>
    <row r="38" spans="11:13">
      <c r="K38" s="76">
        <v>43948</v>
      </c>
      <c r="L38" s="70">
        <v>0.2</v>
      </c>
      <c r="M38" s="70">
        <v>1</v>
      </c>
    </row>
    <row r="39" spans="11:13">
      <c r="K39" s="76">
        <v>43949</v>
      </c>
      <c r="L39" s="70">
        <v>0.2</v>
      </c>
      <c r="M39" s="70">
        <v>1</v>
      </c>
    </row>
    <row r="40" spans="11:13">
      <c r="K40" s="76">
        <v>43950</v>
      </c>
      <c r="L40" s="70">
        <v>0.2</v>
      </c>
      <c r="M40" s="70">
        <v>1</v>
      </c>
    </row>
    <row r="41" spans="11:13">
      <c r="K41" s="76">
        <v>43951</v>
      </c>
      <c r="L41" s="70">
        <v>0.2</v>
      </c>
      <c r="M41" s="70">
        <v>1</v>
      </c>
    </row>
    <row r="42" spans="11:13">
      <c r="K42" s="76">
        <v>43952</v>
      </c>
      <c r="L42" s="70">
        <v>0.2</v>
      </c>
      <c r="M42" s="70">
        <v>1</v>
      </c>
    </row>
    <row r="43" spans="11:13">
      <c r="K43" s="76">
        <v>43953</v>
      </c>
      <c r="L43" s="70">
        <v>0.2</v>
      </c>
      <c r="M43" s="70">
        <v>1</v>
      </c>
    </row>
    <row r="44" spans="11:13">
      <c r="K44" s="76">
        <v>43954</v>
      </c>
      <c r="L44" s="70">
        <v>0.2</v>
      </c>
      <c r="M44" s="70">
        <v>1</v>
      </c>
    </row>
    <row r="45" spans="11:13">
      <c r="K45" s="76">
        <v>43955</v>
      </c>
      <c r="L45" s="70">
        <v>0.2</v>
      </c>
      <c r="M45" s="70">
        <v>1</v>
      </c>
    </row>
    <row r="46" spans="11:13">
      <c r="K46" s="76">
        <v>43956</v>
      </c>
      <c r="L46" s="70">
        <v>0.2</v>
      </c>
      <c r="M46" s="70">
        <v>1</v>
      </c>
    </row>
    <row r="47" spans="11:13">
      <c r="K47" s="76">
        <v>43957</v>
      </c>
      <c r="L47" s="70">
        <v>0.2</v>
      </c>
      <c r="M47" s="70">
        <v>1</v>
      </c>
    </row>
    <row r="48" spans="11:13">
      <c r="K48" s="76">
        <v>43958</v>
      </c>
      <c r="L48" s="70">
        <v>0.2</v>
      </c>
      <c r="M48" s="70">
        <v>1</v>
      </c>
    </row>
    <row r="49" spans="11:13">
      <c r="K49" s="76">
        <v>43959</v>
      </c>
      <c r="L49" s="70">
        <v>0.2</v>
      </c>
      <c r="M49" s="70">
        <v>1</v>
      </c>
    </row>
    <row r="50" spans="11:13">
      <c r="K50" s="76">
        <v>43960</v>
      </c>
      <c r="L50" s="70">
        <v>0.2</v>
      </c>
      <c r="M50" s="70">
        <v>1</v>
      </c>
    </row>
    <row r="51" spans="11:13">
      <c r="K51" s="76">
        <v>43961</v>
      </c>
      <c r="L51" s="70">
        <v>0.2</v>
      </c>
      <c r="M51" s="70">
        <v>1</v>
      </c>
    </row>
    <row r="52" spans="11:13">
      <c r="K52" s="76">
        <v>43962</v>
      </c>
      <c r="L52" s="70">
        <v>0.2</v>
      </c>
      <c r="M52" s="70">
        <v>1</v>
      </c>
    </row>
    <row r="53" spans="11:13">
      <c r="K53" s="76">
        <v>43963</v>
      </c>
      <c r="L53" s="70">
        <v>0.2</v>
      </c>
      <c r="M53" s="70">
        <v>1</v>
      </c>
    </row>
    <row r="54" spans="11:13">
      <c r="K54" s="76">
        <v>43964</v>
      </c>
      <c r="L54" s="70">
        <v>0.2</v>
      </c>
      <c r="M54" s="70">
        <v>1</v>
      </c>
    </row>
    <row r="55" spans="11:13">
      <c r="K55" s="76">
        <v>43965</v>
      </c>
      <c r="L55" s="70">
        <v>0.2</v>
      </c>
      <c r="M55" s="70">
        <v>1</v>
      </c>
    </row>
    <row r="56" spans="11:13">
      <c r="K56" s="76">
        <v>43966</v>
      </c>
      <c r="L56" s="70">
        <v>0.2</v>
      </c>
      <c r="M56" s="70">
        <v>1</v>
      </c>
    </row>
    <row r="57" spans="11:13">
      <c r="K57" s="76">
        <v>43967</v>
      </c>
      <c r="L57" s="70">
        <v>0.2</v>
      </c>
      <c r="M57" s="70">
        <v>1</v>
      </c>
    </row>
    <row r="58" spans="11:13">
      <c r="K58" s="76">
        <v>43968</v>
      </c>
      <c r="L58" s="70">
        <v>0.2</v>
      </c>
      <c r="M58" s="70">
        <v>1</v>
      </c>
    </row>
    <row r="59" spans="11:13">
      <c r="K59" s="76">
        <v>43969</v>
      </c>
      <c r="L59" s="70">
        <v>0.2</v>
      </c>
      <c r="M59" s="70">
        <v>1</v>
      </c>
    </row>
    <row r="60" spans="11:13">
      <c r="K60" s="76">
        <v>43970</v>
      </c>
      <c r="L60" s="70">
        <v>0.2</v>
      </c>
      <c r="M60" s="70">
        <v>1</v>
      </c>
    </row>
    <row r="61" spans="11:13">
      <c r="K61" s="76">
        <v>43971</v>
      </c>
      <c r="L61" s="70">
        <v>0.2</v>
      </c>
      <c r="M61" s="70">
        <v>1</v>
      </c>
    </row>
    <row r="62" spans="11:13">
      <c r="K62" s="76">
        <v>43972</v>
      </c>
      <c r="L62" s="70">
        <v>0.2</v>
      </c>
      <c r="M62" s="70">
        <v>1</v>
      </c>
    </row>
    <row r="63" spans="11:13">
      <c r="K63" s="76">
        <v>43973</v>
      </c>
      <c r="L63" s="70">
        <v>0.2</v>
      </c>
      <c r="M63" s="70">
        <v>1</v>
      </c>
    </row>
    <row r="64" spans="11:13">
      <c r="K64" s="76">
        <v>43974</v>
      </c>
      <c r="L64" s="70">
        <v>0.2</v>
      </c>
      <c r="M64" s="70">
        <v>1</v>
      </c>
    </row>
    <row r="65" spans="11:13">
      <c r="K65" s="76">
        <v>43975</v>
      </c>
      <c r="L65" s="70">
        <v>0.2</v>
      </c>
      <c r="M65" s="70">
        <v>1</v>
      </c>
    </row>
    <row r="66" spans="11:13">
      <c r="K66" s="76">
        <v>43976</v>
      </c>
      <c r="L66" s="70">
        <v>0.2</v>
      </c>
      <c r="M66" s="70">
        <v>1</v>
      </c>
    </row>
    <row r="67" spans="11:13">
      <c r="K67" s="76">
        <v>43977</v>
      </c>
      <c r="L67" s="70">
        <v>0.2</v>
      </c>
      <c r="M67" s="70">
        <v>1</v>
      </c>
    </row>
    <row r="68" spans="11:13">
      <c r="K68" s="76">
        <v>43978</v>
      </c>
      <c r="L68" s="70">
        <v>0.2</v>
      </c>
      <c r="M68" s="70">
        <v>1</v>
      </c>
    </row>
    <row r="69" spans="11:13">
      <c r="K69" s="76">
        <v>43979</v>
      </c>
      <c r="L69" s="70">
        <v>0.2</v>
      </c>
      <c r="M69" s="70">
        <v>1</v>
      </c>
    </row>
    <row r="70" spans="11:13">
      <c r="K70" s="76">
        <v>43980</v>
      </c>
      <c r="L70" s="70">
        <v>0.2</v>
      </c>
      <c r="M70" s="70">
        <v>1</v>
      </c>
    </row>
    <row r="71" spans="11:13">
      <c r="K71" s="76">
        <v>43981</v>
      </c>
      <c r="L71" s="70">
        <v>0.2</v>
      </c>
      <c r="M71" s="70">
        <v>1</v>
      </c>
    </row>
    <row r="72" spans="11:13">
      <c r="K72" s="76">
        <v>43982</v>
      </c>
      <c r="L72" s="70">
        <v>0.2</v>
      </c>
      <c r="M72" s="70">
        <v>1</v>
      </c>
    </row>
    <row r="73" spans="11:13">
      <c r="K73" s="76">
        <v>43983</v>
      </c>
      <c r="L73" s="70">
        <v>0.2</v>
      </c>
      <c r="M73" s="70">
        <v>1</v>
      </c>
    </row>
    <row r="74" spans="11:13">
      <c r="K74" s="76">
        <v>43984</v>
      </c>
      <c r="L74" s="70">
        <v>0.2</v>
      </c>
      <c r="M74" s="70">
        <v>1</v>
      </c>
    </row>
    <row r="75" spans="11:13">
      <c r="K75" s="76">
        <v>43985</v>
      </c>
      <c r="L75" s="70">
        <v>0.2</v>
      </c>
      <c r="M75" s="70">
        <v>1</v>
      </c>
    </row>
    <row r="76" spans="11:13">
      <c r="K76" s="76">
        <v>43986</v>
      </c>
      <c r="L76" s="70">
        <v>0.2</v>
      </c>
      <c r="M76" s="70">
        <v>1</v>
      </c>
    </row>
    <row r="77" spans="11:13">
      <c r="K77" s="76">
        <v>43987</v>
      </c>
      <c r="L77" s="70">
        <v>0.2</v>
      </c>
      <c r="M77" s="70">
        <v>1</v>
      </c>
    </row>
    <row r="78" spans="11:13">
      <c r="K78" s="76">
        <v>43988</v>
      </c>
      <c r="L78" s="70">
        <v>0.2</v>
      </c>
      <c r="M78" s="70">
        <v>1</v>
      </c>
    </row>
    <row r="79" spans="11:13">
      <c r="K79" s="76">
        <v>43989</v>
      </c>
      <c r="L79" s="70">
        <v>0.2</v>
      </c>
      <c r="M79" s="70">
        <v>1</v>
      </c>
    </row>
    <row r="80" spans="11:13">
      <c r="K80" s="76">
        <v>43990</v>
      </c>
      <c r="L80" s="70">
        <v>0.2</v>
      </c>
      <c r="M80" s="70">
        <v>1</v>
      </c>
    </row>
    <row r="81" spans="11:13">
      <c r="K81" s="76">
        <v>43991</v>
      </c>
      <c r="L81" s="70">
        <v>0.2</v>
      </c>
      <c r="M81" s="70">
        <v>1</v>
      </c>
    </row>
    <row r="82" spans="11:13">
      <c r="K82" s="76">
        <v>43992</v>
      </c>
      <c r="L82" s="70">
        <v>0.2</v>
      </c>
      <c r="M82" s="70">
        <v>1</v>
      </c>
    </row>
    <row r="83" spans="11:13">
      <c r="K83" s="76">
        <v>43993</v>
      </c>
      <c r="L83" s="70">
        <v>0.2</v>
      </c>
      <c r="M83" s="70">
        <v>1</v>
      </c>
    </row>
    <row r="84" spans="11:13">
      <c r="K84" s="76">
        <v>43994</v>
      </c>
      <c r="L84" s="70">
        <v>0.2</v>
      </c>
      <c r="M84" s="70">
        <v>1</v>
      </c>
    </row>
    <row r="85" spans="11:13">
      <c r="K85" s="76">
        <v>43995</v>
      </c>
      <c r="L85" s="70">
        <v>0.2</v>
      </c>
      <c r="M85" s="70">
        <v>1</v>
      </c>
    </row>
    <row r="86" spans="11:13">
      <c r="K86" s="76">
        <v>43996</v>
      </c>
      <c r="L86" s="70">
        <v>0.2</v>
      </c>
      <c r="M86" s="70">
        <v>1</v>
      </c>
    </row>
    <row r="87" spans="11:13">
      <c r="K87" s="76">
        <v>43997</v>
      </c>
      <c r="L87" s="70">
        <v>0.2</v>
      </c>
      <c r="M87" s="70">
        <v>1</v>
      </c>
    </row>
    <row r="88" spans="11:13">
      <c r="K88" s="76">
        <v>43998</v>
      </c>
      <c r="L88" s="70">
        <v>0.2</v>
      </c>
      <c r="M88" s="70">
        <v>1</v>
      </c>
    </row>
    <row r="89" spans="11:13">
      <c r="K89" s="76">
        <v>43999</v>
      </c>
      <c r="L89" s="70">
        <v>0.2</v>
      </c>
      <c r="M89" s="70">
        <v>1</v>
      </c>
    </row>
    <row r="90" spans="11:13">
      <c r="K90" s="76">
        <v>44000</v>
      </c>
      <c r="L90" s="70">
        <v>0.2</v>
      </c>
      <c r="M90" s="70">
        <v>1</v>
      </c>
    </row>
    <row r="91" spans="11:13">
      <c r="K91" s="76">
        <v>44001</v>
      </c>
      <c r="L91" s="70">
        <v>0.2</v>
      </c>
      <c r="M91" s="70">
        <v>1</v>
      </c>
    </row>
    <row r="92" spans="11:13">
      <c r="K92" s="76">
        <v>44002</v>
      </c>
      <c r="L92" s="70">
        <v>0.2</v>
      </c>
      <c r="M92" s="70">
        <v>1</v>
      </c>
    </row>
    <row r="93" spans="11:13">
      <c r="K93" s="76">
        <v>44003</v>
      </c>
      <c r="L93" s="70">
        <v>0.2</v>
      </c>
      <c r="M93" s="70">
        <v>1</v>
      </c>
    </row>
    <row r="94" spans="11:13">
      <c r="K94" s="76">
        <v>44004</v>
      </c>
      <c r="L94" s="70">
        <v>0.2</v>
      </c>
      <c r="M94" s="70">
        <v>1</v>
      </c>
    </row>
    <row r="95" spans="11:13">
      <c r="K95" s="76">
        <v>44005</v>
      </c>
      <c r="L95" s="70">
        <v>0.2</v>
      </c>
      <c r="M95" s="70">
        <v>1</v>
      </c>
    </row>
    <row r="96" spans="11:13">
      <c r="K96" s="76">
        <v>44006</v>
      </c>
      <c r="L96" s="70">
        <v>0.2</v>
      </c>
      <c r="M96" s="70">
        <v>1</v>
      </c>
    </row>
    <row r="97" spans="11:13">
      <c r="K97" s="76">
        <v>44007</v>
      </c>
      <c r="L97" s="70">
        <v>0.2</v>
      </c>
      <c r="M97" s="70">
        <v>1</v>
      </c>
    </row>
    <row r="98" spans="11:13">
      <c r="K98" s="76">
        <v>44008</v>
      </c>
      <c r="L98" s="70">
        <v>0.2</v>
      </c>
      <c r="M98" s="70">
        <v>1</v>
      </c>
    </row>
    <row r="99" spans="11:13">
      <c r="K99" s="76">
        <v>44009</v>
      </c>
      <c r="L99" s="70">
        <v>0.2</v>
      </c>
      <c r="M99" s="70">
        <v>1</v>
      </c>
    </row>
    <row r="100" spans="11:13">
      <c r="K100" s="76">
        <v>44010</v>
      </c>
      <c r="L100" s="70">
        <v>0.2</v>
      </c>
      <c r="M100" s="70">
        <v>1</v>
      </c>
    </row>
    <row r="101" spans="11:13">
      <c r="K101" s="76">
        <v>44011</v>
      </c>
      <c r="L101" s="70">
        <v>0.2</v>
      </c>
      <c r="M101" s="70">
        <v>1</v>
      </c>
    </row>
    <row r="102" spans="11:13">
      <c r="K102" s="76">
        <v>44012</v>
      </c>
      <c r="L102" s="70">
        <v>0.2</v>
      </c>
      <c r="M102" s="70">
        <v>1</v>
      </c>
    </row>
    <row r="103" spans="11:13">
      <c r="K103" s="76">
        <v>44013</v>
      </c>
      <c r="L103" s="70">
        <v>0.2</v>
      </c>
      <c r="M103" s="70">
        <v>1</v>
      </c>
    </row>
    <row r="104" spans="11:13">
      <c r="K104" s="76">
        <v>44014</v>
      </c>
      <c r="L104" s="70">
        <v>0.2</v>
      </c>
      <c r="M104" s="70">
        <v>1</v>
      </c>
    </row>
    <row r="105" spans="11:13">
      <c r="K105" s="76">
        <v>44015</v>
      </c>
      <c r="L105" s="70">
        <v>0.2</v>
      </c>
      <c r="M105" s="70">
        <v>1</v>
      </c>
    </row>
    <row r="106" spans="11:13">
      <c r="K106" s="76">
        <v>44016</v>
      </c>
      <c r="L106" s="70">
        <v>0.2</v>
      </c>
      <c r="M106" s="70">
        <v>1</v>
      </c>
    </row>
    <row r="107" spans="11:13">
      <c r="K107" s="76">
        <v>44017</v>
      </c>
      <c r="L107" s="70">
        <v>0.2</v>
      </c>
      <c r="M107" s="70">
        <v>1</v>
      </c>
    </row>
    <row r="108" spans="11:13">
      <c r="K108" s="76">
        <v>44018</v>
      </c>
      <c r="L108" s="70">
        <v>0.2</v>
      </c>
      <c r="M108" s="70">
        <v>1</v>
      </c>
    </row>
    <row r="109" spans="11:13">
      <c r="K109" s="76">
        <v>44019</v>
      </c>
      <c r="L109" s="70">
        <v>0.2</v>
      </c>
      <c r="M109" s="70">
        <v>1</v>
      </c>
    </row>
    <row r="110" spans="11:13">
      <c r="K110" s="76">
        <v>44020</v>
      </c>
      <c r="L110" s="70">
        <v>0.2</v>
      </c>
      <c r="M110" s="70">
        <v>1</v>
      </c>
    </row>
    <row r="111" spans="11:13">
      <c r="K111" s="76">
        <v>44021</v>
      </c>
      <c r="L111" s="70">
        <v>0.2</v>
      </c>
      <c r="M111" s="70">
        <v>1</v>
      </c>
    </row>
    <row r="112" spans="11:13">
      <c r="K112" s="76">
        <v>44022</v>
      </c>
      <c r="L112" s="70">
        <v>0.2</v>
      </c>
      <c r="M112" s="70">
        <v>1</v>
      </c>
    </row>
    <row r="113" spans="11:13">
      <c r="K113" s="76">
        <v>44023</v>
      </c>
      <c r="L113" s="70">
        <v>0.2</v>
      </c>
      <c r="M113" s="70">
        <v>1</v>
      </c>
    </row>
    <row r="114" spans="11:13">
      <c r="K114" s="76">
        <v>44024</v>
      </c>
      <c r="L114" s="70">
        <v>0.2</v>
      </c>
      <c r="M114" s="70">
        <v>1</v>
      </c>
    </row>
    <row r="115" spans="11:13">
      <c r="K115" s="76">
        <v>44025</v>
      </c>
      <c r="L115" s="70">
        <v>0.2</v>
      </c>
      <c r="M115" s="70">
        <v>1</v>
      </c>
    </row>
    <row r="116" spans="11:13">
      <c r="K116" s="76">
        <v>44026</v>
      </c>
      <c r="L116" s="70">
        <v>0.2</v>
      </c>
      <c r="M116" s="70">
        <v>1</v>
      </c>
    </row>
    <row r="117" spans="11:13">
      <c r="K117" s="76">
        <v>44027</v>
      </c>
      <c r="L117" s="70">
        <v>0.2</v>
      </c>
      <c r="M117" s="70">
        <v>1</v>
      </c>
    </row>
    <row r="118" spans="11:13">
      <c r="K118" s="76">
        <v>44028</v>
      </c>
      <c r="L118" s="70">
        <v>0.2</v>
      </c>
      <c r="M118" s="70">
        <v>1</v>
      </c>
    </row>
    <row r="119" spans="11:13">
      <c r="K119" s="76">
        <v>44029</v>
      </c>
      <c r="L119" s="70">
        <v>0.2</v>
      </c>
      <c r="M119" s="70">
        <v>1</v>
      </c>
    </row>
    <row r="120" spans="11:13">
      <c r="K120" s="76">
        <v>44030</v>
      </c>
      <c r="L120" s="70">
        <v>0.2</v>
      </c>
      <c r="M120" s="70">
        <v>1</v>
      </c>
    </row>
    <row r="121" spans="11:13">
      <c r="K121" s="76">
        <v>44031</v>
      </c>
      <c r="L121" s="70">
        <v>0.2</v>
      </c>
      <c r="M121" s="70">
        <v>1</v>
      </c>
    </row>
    <row r="122" spans="11:13">
      <c r="K122" s="76">
        <v>44032</v>
      </c>
      <c r="L122" s="70">
        <v>0.2</v>
      </c>
      <c r="M122" s="70">
        <v>1</v>
      </c>
    </row>
    <row r="123" spans="11:13">
      <c r="K123" s="76">
        <v>44033</v>
      </c>
      <c r="L123" s="70">
        <v>0.2</v>
      </c>
      <c r="M123" s="70">
        <v>1</v>
      </c>
    </row>
    <row r="124" spans="11:13">
      <c r="K124" s="76">
        <v>44034</v>
      </c>
      <c r="L124" s="70">
        <v>0.2</v>
      </c>
      <c r="M124" s="70">
        <v>1</v>
      </c>
    </row>
    <row r="125" spans="11:13">
      <c r="K125" s="76">
        <v>44035</v>
      </c>
      <c r="L125" s="70">
        <v>0.2</v>
      </c>
      <c r="M125" s="70">
        <v>1</v>
      </c>
    </row>
    <row r="126" spans="11:13">
      <c r="K126" s="76">
        <v>44036</v>
      </c>
      <c r="L126" s="70">
        <v>0.2</v>
      </c>
      <c r="M126" s="70">
        <v>1</v>
      </c>
    </row>
    <row r="127" spans="11:13">
      <c r="K127" s="76">
        <v>44037</v>
      </c>
      <c r="L127" s="70">
        <v>0.2</v>
      </c>
      <c r="M127" s="70">
        <v>1</v>
      </c>
    </row>
    <row r="128" spans="11:13">
      <c r="K128" s="76">
        <v>44038</v>
      </c>
      <c r="L128" s="70">
        <v>0.2</v>
      </c>
      <c r="M128" s="70">
        <v>1</v>
      </c>
    </row>
    <row r="129" spans="11:13">
      <c r="K129" s="76">
        <v>44039</v>
      </c>
      <c r="L129" s="70">
        <v>0.2</v>
      </c>
      <c r="M129" s="70">
        <v>1</v>
      </c>
    </row>
    <row r="130" spans="11:13">
      <c r="K130" s="76">
        <v>44040</v>
      </c>
      <c r="L130" s="70">
        <v>0.2</v>
      </c>
      <c r="M130" s="70">
        <v>1</v>
      </c>
    </row>
    <row r="131" spans="11:13">
      <c r="K131" s="76">
        <v>44041</v>
      </c>
      <c r="L131" s="70">
        <v>0.2</v>
      </c>
      <c r="M131" s="70">
        <v>1</v>
      </c>
    </row>
    <row r="132" spans="11:13">
      <c r="K132" s="76">
        <v>44042</v>
      </c>
      <c r="L132" s="70">
        <v>0.2</v>
      </c>
      <c r="M132" s="70">
        <v>1</v>
      </c>
    </row>
    <row r="133" spans="11:13">
      <c r="K133" s="76">
        <v>44043</v>
      </c>
      <c r="L133" s="70">
        <v>0.2</v>
      </c>
      <c r="M133" s="70">
        <v>1</v>
      </c>
    </row>
    <row r="134" spans="11:13">
      <c r="K134" s="76">
        <v>44044</v>
      </c>
      <c r="L134" s="70">
        <v>0.2</v>
      </c>
      <c r="M134" s="70">
        <v>1</v>
      </c>
    </row>
    <row r="135" spans="11:13">
      <c r="K135" s="76">
        <v>44045</v>
      </c>
      <c r="L135" s="70">
        <v>0.2</v>
      </c>
      <c r="M135" s="70">
        <v>1</v>
      </c>
    </row>
    <row r="136" spans="11:13">
      <c r="K136" s="76">
        <v>44046</v>
      </c>
      <c r="L136" s="70">
        <v>0.2</v>
      </c>
      <c r="M136" s="70">
        <v>1</v>
      </c>
    </row>
    <row r="137" spans="11:13">
      <c r="K137" s="76">
        <v>44047</v>
      </c>
      <c r="L137" s="70">
        <v>0.2</v>
      </c>
      <c r="M137" s="70">
        <v>1</v>
      </c>
    </row>
    <row r="138" spans="11:13">
      <c r="K138" s="76">
        <v>44048</v>
      </c>
      <c r="L138" s="70">
        <v>0.2</v>
      </c>
      <c r="M138" s="70">
        <v>1</v>
      </c>
    </row>
    <row r="139" spans="11:13">
      <c r="K139" s="76">
        <v>44049</v>
      </c>
      <c r="L139" s="70">
        <v>0.2</v>
      </c>
      <c r="M139" s="70">
        <v>1</v>
      </c>
    </row>
    <row r="140" spans="11:13">
      <c r="K140" s="76">
        <v>44050</v>
      </c>
      <c r="L140" s="70">
        <v>0.2</v>
      </c>
      <c r="M140" s="70">
        <v>1</v>
      </c>
    </row>
    <row r="141" spans="11:13">
      <c r="K141" s="76">
        <v>44051</v>
      </c>
      <c r="L141" s="70">
        <v>0.2</v>
      </c>
      <c r="M141" s="70">
        <v>1</v>
      </c>
    </row>
    <row r="142" spans="11:13">
      <c r="K142" s="76">
        <v>44052</v>
      </c>
      <c r="L142" s="70">
        <v>0.2</v>
      </c>
      <c r="M142" s="70">
        <v>1</v>
      </c>
    </row>
    <row r="143" spans="11:13">
      <c r="K143" s="76">
        <v>44053</v>
      </c>
      <c r="L143" s="70">
        <v>0.2</v>
      </c>
      <c r="M143" s="70">
        <v>1</v>
      </c>
    </row>
    <row r="144" spans="11:13">
      <c r="K144" s="76">
        <v>44054</v>
      </c>
      <c r="L144" s="70">
        <v>0.2</v>
      </c>
      <c r="M144" s="70">
        <v>1</v>
      </c>
    </row>
    <row r="145" spans="11:13">
      <c r="K145" s="76">
        <v>44055</v>
      </c>
      <c r="L145" s="70">
        <v>0.2</v>
      </c>
      <c r="M145" s="70">
        <v>1</v>
      </c>
    </row>
    <row r="146" spans="11:13">
      <c r="K146" s="76">
        <v>44056</v>
      </c>
      <c r="L146" s="70">
        <v>0.2</v>
      </c>
      <c r="M146" s="70">
        <v>1</v>
      </c>
    </row>
    <row r="147" spans="11:13">
      <c r="K147" s="76">
        <v>44057</v>
      </c>
      <c r="L147" s="70">
        <v>0.2</v>
      </c>
      <c r="M147" s="70">
        <v>1</v>
      </c>
    </row>
    <row r="148" spans="11:13">
      <c r="K148" s="76">
        <v>44058</v>
      </c>
      <c r="L148" s="70">
        <v>0.2</v>
      </c>
      <c r="M148" s="70">
        <v>1</v>
      </c>
    </row>
    <row r="149" spans="11:13">
      <c r="K149" s="76">
        <v>44059</v>
      </c>
      <c r="L149" s="70">
        <v>0.2</v>
      </c>
      <c r="M149" s="70">
        <v>1</v>
      </c>
    </row>
    <row r="150" spans="11:13">
      <c r="K150" s="76">
        <v>44060</v>
      </c>
      <c r="L150" s="70">
        <v>0.2</v>
      </c>
      <c r="M150" s="70">
        <v>1</v>
      </c>
    </row>
    <row r="151" spans="11:13">
      <c r="K151" s="76">
        <v>44061</v>
      </c>
      <c r="L151" s="70">
        <v>0.2</v>
      </c>
      <c r="M151" s="70">
        <v>1</v>
      </c>
    </row>
    <row r="152" spans="11:13">
      <c r="K152" s="76">
        <v>44062</v>
      </c>
      <c r="L152" s="70">
        <v>0.2</v>
      </c>
      <c r="M152" s="70">
        <v>1</v>
      </c>
    </row>
    <row r="153" spans="11:13">
      <c r="K153" s="76">
        <v>44063</v>
      </c>
      <c r="L153" s="70">
        <v>0.2</v>
      </c>
      <c r="M153" s="70">
        <v>1</v>
      </c>
    </row>
    <row r="154" spans="11:13">
      <c r="K154" s="76">
        <v>44064</v>
      </c>
      <c r="L154" s="70">
        <v>0.2</v>
      </c>
      <c r="M154" s="70">
        <v>1</v>
      </c>
    </row>
    <row r="155" spans="11:13">
      <c r="K155" s="76">
        <v>44065</v>
      </c>
      <c r="L155" s="70">
        <v>0.2</v>
      </c>
      <c r="M155" s="70">
        <v>1</v>
      </c>
    </row>
    <row r="156" spans="11:13">
      <c r="K156" s="76">
        <v>44066</v>
      </c>
      <c r="L156" s="70">
        <v>0.2</v>
      </c>
      <c r="M156" s="70">
        <v>1</v>
      </c>
    </row>
    <row r="157" spans="11:13">
      <c r="K157" s="76">
        <v>44067</v>
      </c>
      <c r="L157" s="70">
        <v>0.2</v>
      </c>
      <c r="M157" s="70">
        <v>1</v>
      </c>
    </row>
    <row r="158" spans="11:13">
      <c r="K158" s="76">
        <v>44068</v>
      </c>
      <c r="L158" s="70">
        <v>0.2</v>
      </c>
      <c r="M158" s="70">
        <v>1</v>
      </c>
    </row>
    <row r="159" spans="11:13">
      <c r="K159" s="76">
        <v>44069</v>
      </c>
      <c r="L159" s="70">
        <v>0.2</v>
      </c>
      <c r="M159" s="70">
        <v>1</v>
      </c>
    </row>
    <row r="160" spans="11:13">
      <c r="K160" s="76">
        <v>44070</v>
      </c>
      <c r="L160" s="70">
        <v>0.2</v>
      </c>
      <c r="M160" s="70">
        <v>1</v>
      </c>
    </row>
    <row r="161" spans="11:13">
      <c r="K161" s="76">
        <v>44071</v>
      </c>
      <c r="L161" s="70">
        <v>0.2</v>
      </c>
      <c r="M161" s="70">
        <v>1</v>
      </c>
    </row>
    <row r="162" spans="11:13">
      <c r="K162" s="76">
        <v>44072</v>
      </c>
      <c r="L162" s="70">
        <v>0.2</v>
      </c>
      <c r="M162" s="70">
        <v>1</v>
      </c>
    </row>
    <row r="163" spans="11:13">
      <c r="K163" s="76">
        <v>44073</v>
      </c>
      <c r="L163" s="70">
        <v>0.2</v>
      </c>
      <c r="M163" s="70">
        <v>1</v>
      </c>
    </row>
    <row r="164" spans="11:13">
      <c r="K164" s="76">
        <v>44074</v>
      </c>
      <c r="L164" s="70">
        <v>0.2</v>
      </c>
      <c r="M164" s="70">
        <v>1</v>
      </c>
    </row>
    <row r="165" spans="11:13">
      <c r="K165" s="76">
        <v>44075</v>
      </c>
      <c r="L165" s="70">
        <v>0.2</v>
      </c>
      <c r="M165" s="70">
        <v>1</v>
      </c>
    </row>
    <row r="166" spans="11:13">
      <c r="K166" s="76">
        <v>44076</v>
      </c>
      <c r="L166" s="70">
        <v>0.2</v>
      </c>
      <c r="M166" s="70">
        <v>1</v>
      </c>
    </row>
    <row r="167" spans="11:13">
      <c r="K167" s="76">
        <v>44077</v>
      </c>
      <c r="L167" s="70">
        <v>0.2</v>
      </c>
      <c r="M167" s="70">
        <v>1</v>
      </c>
    </row>
    <row r="168" spans="11:13">
      <c r="K168" s="76">
        <v>44078</v>
      </c>
      <c r="L168" s="70">
        <v>0.2</v>
      </c>
      <c r="M168" s="70">
        <v>1</v>
      </c>
    </row>
    <row r="169" spans="11:13">
      <c r="K169" s="76">
        <v>44079</v>
      </c>
      <c r="L169" s="70">
        <v>0.2</v>
      </c>
      <c r="M169" s="70">
        <v>1</v>
      </c>
    </row>
    <row r="170" spans="11:13">
      <c r="K170" s="76">
        <v>44080</v>
      </c>
      <c r="L170" s="70">
        <v>0.2</v>
      </c>
      <c r="M170" s="70">
        <v>1</v>
      </c>
    </row>
    <row r="171" spans="11:13">
      <c r="K171" s="76">
        <v>44081</v>
      </c>
      <c r="L171" s="70">
        <v>0.2</v>
      </c>
      <c r="M171" s="70">
        <v>1</v>
      </c>
    </row>
    <row r="172" spans="11:13">
      <c r="K172" s="76">
        <v>44082</v>
      </c>
      <c r="L172" s="70">
        <v>0.2</v>
      </c>
      <c r="M172" s="70">
        <v>1</v>
      </c>
    </row>
    <row r="173" spans="11:13">
      <c r="K173" s="76">
        <v>44083</v>
      </c>
      <c r="L173" s="70">
        <v>0.2</v>
      </c>
      <c r="M173" s="70">
        <v>1</v>
      </c>
    </row>
    <row r="174" spans="11:13">
      <c r="K174" s="76">
        <v>44084</v>
      </c>
      <c r="L174" s="70">
        <v>0.2</v>
      </c>
      <c r="M174" s="70">
        <v>1</v>
      </c>
    </row>
    <row r="175" spans="11:13">
      <c r="K175" s="76">
        <v>44085</v>
      </c>
      <c r="L175" s="70">
        <v>0.2</v>
      </c>
      <c r="M175" s="70">
        <v>1</v>
      </c>
    </row>
    <row r="176" spans="11:13">
      <c r="K176" s="76">
        <v>44086</v>
      </c>
      <c r="L176" s="70">
        <v>0.2</v>
      </c>
      <c r="M176" s="70">
        <v>1</v>
      </c>
    </row>
    <row r="177" spans="11:13">
      <c r="K177" s="76">
        <v>44087</v>
      </c>
      <c r="L177" s="70">
        <v>0.2</v>
      </c>
      <c r="M177" s="70">
        <v>1</v>
      </c>
    </row>
    <row r="178" spans="11:13">
      <c r="K178" s="76">
        <v>44088</v>
      </c>
      <c r="L178" s="70">
        <v>0.2</v>
      </c>
      <c r="M178" s="70">
        <v>1</v>
      </c>
    </row>
    <row r="179" spans="11:13">
      <c r="K179" s="76">
        <v>44089</v>
      </c>
      <c r="L179" s="70">
        <v>0.2</v>
      </c>
      <c r="M179" s="70">
        <v>1</v>
      </c>
    </row>
    <row r="180" spans="11:13">
      <c r="K180" s="76">
        <v>44090</v>
      </c>
      <c r="L180" s="70">
        <v>0.2</v>
      </c>
      <c r="M180" s="70">
        <v>1</v>
      </c>
    </row>
    <row r="181" spans="11:13">
      <c r="K181" s="76">
        <v>44091</v>
      </c>
      <c r="L181" s="70">
        <v>0.2</v>
      </c>
      <c r="M181" s="70">
        <v>1</v>
      </c>
    </row>
    <row r="182" spans="11:13">
      <c r="K182" s="76">
        <v>44092</v>
      </c>
      <c r="L182" s="70">
        <v>0.2</v>
      </c>
      <c r="M182" s="70">
        <v>1</v>
      </c>
    </row>
    <row r="183" spans="11:13">
      <c r="K183" s="76">
        <v>44093</v>
      </c>
      <c r="L183" s="70">
        <v>0.2</v>
      </c>
      <c r="M183" s="70">
        <v>1</v>
      </c>
    </row>
    <row r="184" spans="11:13">
      <c r="K184" s="76">
        <v>44094</v>
      </c>
      <c r="L184" s="70">
        <v>0.2</v>
      </c>
      <c r="M184" s="70">
        <v>1</v>
      </c>
    </row>
    <row r="185" spans="11:13">
      <c r="K185" s="76">
        <v>44095</v>
      </c>
      <c r="L185" s="70">
        <v>0.2</v>
      </c>
      <c r="M185" s="70">
        <v>1</v>
      </c>
    </row>
    <row r="186" spans="11:13">
      <c r="K186" s="76">
        <v>44096</v>
      </c>
      <c r="L186" s="70">
        <v>0.2</v>
      </c>
      <c r="M186" s="70">
        <v>1</v>
      </c>
    </row>
    <row r="187" spans="11:13">
      <c r="K187" s="76">
        <v>44097</v>
      </c>
      <c r="L187" s="70">
        <v>0.2</v>
      </c>
      <c r="M187" s="70">
        <v>1</v>
      </c>
    </row>
    <row r="188" spans="11:13">
      <c r="K188" s="76">
        <v>44098</v>
      </c>
      <c r="L188" s="70">
        <v>0.2</v>
      </c>
      <c r="M188" s="70">
        <v>1</v>
      </c>
    </row>
    <row r="189" spans="11:13">
      <c r="K189" s="76">
        <v>44099</v>
      </c>
      <c r="L189" s="70">
        <v>0.2</v>
      </c>
      <c r="M189" s="70">
        <v>1</v>
      </c>
    </row>
    <row r="190" spans="11:13">
      <c r="K190" s="76">
        <v>44100</v>
      </c>
      <c r="L190" s="70">
        <v>0.2</v>
      </c>
      <c r="M190" s="70">
        <v>1</v>
      </c>
    </row>
    <row r="191" spans="11:13">
      <c r="K191" s="76">
        <v>44101</v>
      </c>
      <c r="L191" s="70">
        <v>0.2</v>
      </c>
      <c r="M191" s="70">
        <v>1</v>
      </c>
    </row>
    <row r="192" spans="11:13">
      <c r="K192" s="76">
        <v>44102</v>
      </c>
      <c r="L192" s="70">
        <v>0.2</v>
      </c>
      <c r="M192" s="70">
        <v>1</v>
      </c>
    </row>
    <row r="193" spans="11:13">
      <c r="K193" s="76">
        <v>44103</v>
      </c>
      <c r="L193" s="70">
        <v>0.2</v>
      </c>
      <c r="M193" s="70">
        <v>1</v>
      </c>
    </row>
    <row r="194" spans="11:13">
      <c r="K194" s="76">
        <v>44104</v>
      </c>
      <c r="L194" s="70">
        <v>0.2</v>
      </c>
      <c r="M194" s="70">
        <v>1</v>
      </c>
    </row>
    <row r="195" spans="11:13">
      <c r="K195" s="76">
        <v>44105</v>
      </c>
      <c r="L195" s="70">
        <v>0.2</v>
      </c>
      <c r="M195" s="70">
        <v>1</v>
      </c>
    </row>
    <row r="196" spans="11:13">
      <c r="K196" s="76">
        <v>44106</v>
      </c>
      <c r="L196" s="70">
        <v>0.2</v>
      </c>
      <c r="M196" s="70">
        <v>1</v>
      </c>
    </row>
    <row r="197" spans="11:13">
      <c r="K197" s="76">
        <v>44107</v>
      </c>
      <c r="L197" s="70">
        <v>0.2</v>
      </c>
      <c r="M197" s="70">
        <v>1</v>
      </c>
    </row>
    <row r="198" spans="11:13">
      <c r="K198" s="76">
        <v>44108</v>
      </c>
      <c r="L198" s="70">
        <v>0.2</v>
      </c>
      <c r="M198" s="70">
        <v>1</v>
      </c>
    </row>
    <row r="199" spans="11:13">
      <c r="K199" s="76">
        <v>44109</v>
      </c>
      <c r="L199" s="70">
        <v>0.2</v>
      </c>
      <c r="M199" s="70">
        <v>1</v>
      </c>
    </row>
    <row r="200" spans="11:13">
      <c r="K200" s="76">
        <v>44110</v>
      </c>
      <c r="L200" s="70">
        <v>0.2</v>
      </c>
      <c r="M200" s="70">
        <v>1</v>
      </c>
    </row>
    <row r="201" spans="11:13">
      <c r="K201" s="76">
        <v>44111</v>
      </c>
      <c r="L201" s="70">
        <v>0.2</v>
      </c>
      <c r="M201" s="70">
        <v>1</v>
      </c>
    </row>
    <row r="202" spans="11:13">
      <c r="K202" s="76">
        <v>44112</v>
      </c>
      <c r="L202" s="70">
        <v>0.2</v>
      </c>
      <c r="M202" s="70">
        <v>1</v>
      </c>
    </row>
    <row r="203" spans="11:13">
      <c r="K203" s="76">
        <v>44113</v>
      </c>
      <c r="L203" s="70">
        <v>0.2</v>
      </c>
      <c r="M203" s="70">
        <v>1</v>
      </c>
    </row>
    <row r="204" spans="11:13">
      <c r="K204" s="76">
        <v>44114</v>
      </c>
      <c r="L204" s="70">
        <v>0.2</v>
      </c>
      <c r="M204" s="70">
        <v>1</v>
      </c>
    </row>
    <row r="205" spans="11:13">
      <c r="K205" s="76">
        <v>44115</v>
      </c>
      <c r="L205" s="70">
        <v>0.2</v>
      </c>
      <c r="M205" s="70">
        <v>1</v>
      </c>
    </row>
    <row r="206" spans="11:13">
      <c r="K206" s="76">
        <v>44116</v>
      </c>
      <c r="L206" s="70">
        <v>0.2</v>
      </c>
      <c r="M206" s="70">
        <v>1</v>
      </c>
    </row>
    <row r="207" spans="11:13">
      <c r="K207" s="76">
        <v>44117</v>
      </c>
      <c r="L207" s="70">
        <v>0.2</v>
      </c>
      <c r="M207" s="70">
        <v>1</v>
      </c>
    </row>
    <row r="208" spans="11:13">
      <c r="K208" s="76">
        <v>44118</v>
      </c>
      <c r="L208" s="70">
        <v>0.2</v>
      </c>
      <c r="M208" s="70">
        <v>1</v>
      </c>
    </row>
    <row r="209" spans="11:13">
      <c r="K209" s="76">
        <v>44119</v>
      </c>
      <c r="L209" s="70">
        <v>0.2</v>
      </c>
      <c r="M209" s="70">
        <v>1</v>
      </c>
    </row>
    <row r="210" spans="11:13">
      <c r="K210" s="76">
        <v>44120</v>
      </c>
      <c r="L210" s="70">
        <v>0.2</v>
      </c>
      <c r="M210" s="70">
        <v>1</v>
      </c>
    </row>
    <row r="211" spans="11:13">
      <c r="K211" s="76">
        <v>44121</v>
      </c>
      <c r="L211" s="70">
        <v>0.2</v>
      </c>
      <c r="M211" s="70">
        <v>1</v>
      </c>
    </row>
    <row r="212" spans="11:13">
      <c r="K212" s="76">
        <v>44122</v>
      </c>
      <c r="L212" s="70">
        <v>0.2</v>
      </c>
      <c r="M212" s="70">
        <v>1</v>
      </c>
    </row>
    <row r="213" spans="11:13">
      <c r="K213" s="76">
        <v>44123</v>
      </c>
      <c r="L213" s="70">
        <v>0.2</v>
      </c>
      <c r="M213" s="70">
        <v>1</v>
      </c>
    </row>
    <row r="214" spans="11:13">
      <c r="K214" s="76">
        <v>44124</v>
      </c>
      <c r="L214" s="70">
        <v>0.2</v>
      </c>
      <c r="M214" s="70">
        <v>1</v>
      </c>
    </row>
    <row r="215" spans="11:13">
      <c r="K215" s="76">
        <v>44125</v>
      </c>
      <c r="L215" s="70">
        <v>0.2</v>
      </c>
      <c r="M215" s="70">
        <v>1</v>
      </c>
    </row>
    <row r="216" spans="11:13">
      <c r="K216" s="76">
        <v>44126</v>
      </c>
      <c r="L216" s="70">
        <v>0.2</v>
      </c>
      <c r="M216" s="70">
        <v>1</v>
      </c>
    </row>
    <row r="217" spans="11:13">
      <c r="K217" s="76">
        <v>44127</v>
      </c>
      <c r="L217" s="70">
        <v>0.2</v>
      </c>
      <c r="M217" s="70">
        <v>1</v>
      </c>
    </row>
    <row r="218" spans="11:13">
      <c r="K218" s="76">
        <v>44128</v>
      </c>
      <c r="L218" s="70">
        <v>0.2</v>
      </c>
      <c r="M218" s="70">
        <v>1</v>
      </c>
    </row>
    <row r="219" spans="11:13">
      <c r="K219" s="76">
        <v>44129</v>
      </c>
      <c r="L219" s="70">
        <v>0.2</v>
      </c>
      <c r="M219" s="70">
        <v>1</v>
      </c>
    </row>
    <row r="220" spans="11:13">
      <c r="K220" s="76">
        <v>44130</v>
      </c>
      <c r="L220" s="70">
        <v>0.2</v>
      </c>
      <c r="M220" s="70">
        <v>1</v>
      </c>
    </row>
    <row r="221" spans="11:13">
      <c r="K221" s="76">
        <v>44131</v>
      </c>
      <c r="L221" s="70">
        <v>0.2</v>
      </c>
      <c r="M221" s="70">
        <v>1</v>
      </c>
    </row>
    <row r="222" spans="11:13">
      <c r="K222" s="76">
        <v>44132</v>
      </c>
      <c r="L222" s="70">
        <v>0.2</v>
      </c>
      <c r="M222" s="70">
        <v>1</v>
      </c>
    </row>
    <row r="223" spans="11:13">
      <c r="K223" s="76">
        <v>44133</v>
      </c>
      <c r="L223" s="70">
        <v>0.2</v>
      </c>
      <c r="M223" s="70">
        <v>1</v>
      </c>
    </row>
    <row r="224" spans="11:13">
      <c r="K224" s="76">
        <v>44134</v>
      </c>
      <c r="L224" s="70">
        <v>0.2</v>
      </c>
      <c r="M224" s="70">
        <v>1</v>
      </c>
    </row>
    <row r="225" spans="11:13">
      <c r="K225" s="76">
        <v>44135</v>
      </c>
      <c r="L225" s="70">
        <v>0.2</v>
      </c>
      <c r="M225" s="70">
        <v>1</v>
      </c>
    </row>
    <row r="226" spans="11:13">
      <c r="K226" s="76">
        <v>44136</v>
      </c>
      <c r="L226" s="70">
        <v>0.2</v>
      </c>
      <c r="M226" s="70">
        <v>1</v>
      </c>
    </row>
    <row r="227" spans="11:13">
      <c r="K227" s="76">
        <v>44137</v>
      </c>
      <c r="L227" s="70">
        <v>0.2</v>
      </c>
      <c r="M227" s="70">
        <v>1</v>
      </c>
    </row>
    <row r="228" spans="11:13">
      <c r="K228" s="76">
        <v>44138</v>
      </c>
      <c r="L228" s="70">
        <v>0.2</v>
      </c>
      <c r="M228" s="70">
        <v>1</v>
      </c>
    </row>
    <row r="229" spans="11:13">
      <c r="K229" s="76">
        <v>44139</v>
      </c>
      <c r="L229" s="70">
        <v>0.2</v>
      </c>
      <c r="M229" s="70">
        <v>1</v>
      </c>
    </row>
    <row r="230" spans="11:13">
      <c r="K230" s="76">
        <v>44140</v>
      </c>
      <c r="L230" s="70">
        <v>0.2</v>
      </c>
      <c r="M230" s="70">
        <v>1</v>
      </c>
    </row>
    <row r="231" spans="11:13">
      <c r="K231" s="76">
        <v>44141</v>
      </c>
      <c r="L231" s="70">
        <v>0.2</v>
      </c>
      <c r="M231" s="70">
        <v>1</v>
      </c>
    </row>
    <row r="232" spans="11:13">
      <c r="K232" s="76">
        <v>44142</v>
      </c>
      <c r="L232" s="70">
        <v>0.2</v>
      </c>
      <c r="M232" s="70">
        <v>1</v>
      </c>
    </row>
    <row r="233" spans="11:13">
      <c r="K233" s="76">
        <v>44143</v>
      </c>
      <c r="L233" s="70">
        <v>0.2</v>
      </c>
      <c r="M233" s="70">
        <v>1</v>
      </c>
    </row>
    <row r="234" spans="11:13">
      <c r="K234" s="76">
        <v>44144</v>
      </c>
      <c r="L234" s="70">
        <v>0.2</v>
      </c>
      <c r="M234" s="70">
        <v>1</v>
      </c>
    </row>
    <row r="235" spans="11:13">
      <c r="K235" s="76">
        <v>44145</v>
      </c>
      <c r="L235" s="70">
        <v>0.2</v>
      </c>
      <c r="M235" s="70">
        <v>1</v>
      </c>
    </row>
    <row r="236" spans="11:13">
      <c r="K236" s="76">
        <v>44146</v>
      </c>
      <c r="L236" s="70">
        <v>0.2</v>
      </c>
      <c r="M236" s="70">
        <v>1</v>
      </c>
    </row>
    <row r="237" spans="11:13">
      <c r="K237" s="76">
        <v>44147</v>
      </c>
      <c r="L237" s="70">
        <v>0.2</v>
      </c>
      <c r="M237" s="70">
        <v>1</v>
      </c>
    </row>
    <row r="238" spans="11:13">
      <c r="K238" s="76">
        <v>44148</v>
      </c>
      <c r="L238" s="70">
        <v>0.2</v>
      </c>
      <c r="M238" s="70">
        <v>1</v>
      </c>
    </row>
    <row r="239" spans="11:13">
      <c r="K239" s="76">
        <v>44149</v>
      </c>
      <c r="L239" s="70">
        <v>0.2</v>
      </c>
      <c r="M239" s="70">
        <v>1</v>
      </c>
    </row>
    <row r="240" spans="11:13">
      <c r="K240" s="76">
        <v>44150</v>
      </c>
      <c r="L240" s="70">
        <v>0.2</v>
      </c>
      <c r="M240" s="70">
        <v>1</v>
      </c>
    </row>
    <row r="241" spans="11:13">
      <c r="K241" s="76">
        <v>44151</v>
      </c>
      <c r="L241" s="70">
        <v>0.2</v>
      </c>
      <c r="M241" s="70">
        <v>1</v>
      </c>
    </row>
    <row r="242" spans="11:13">
      <c r="K242" s="76">
        <v>44152</v>
      </c>
      <c r="L242" s="70">
        <v>0.2</v>
      </c>
      <c r="M242" s="70">
        <v>1</v>
      </c>
    </row>
    <row r="243" spans="11:13">
      <c r="K243" s="76">
        <v>44153</v>
      </c>
      <c r="L243" s="70">
        <v>0.2</v>
      </c>
      <c r="M243" s="70">
        <v>1</v>
      </c>
    </row>
    <row r="244" spans="11:13">
      <c r="K244" s="76">
        <v>44154</v>
      </c>
      <c r="L244" s="70">
        <v>0.2</v>
      </c>
      <c r="M244" s="70">
        <v>1</v>
      </c>
    </row>
    <row r="245" spans="11:13">
      <c r="K245" s="76">
        <v>44155</v>
      </c>
      <c r="L245" s="70">
        <v>0.2</v>
      </c>
      <c r="M245" s="70">
        <v>1</v>
      </c>
    </row>
    <row r="246" spans="11:13">
      <c r="K246" s="76">
        <v>44156</v>
      </c>
      <c r="L246" s="70">
        <v>0.2</v>
      </c>
      <c r="M246" s="70">
        <v>1</v>
      </c>
    </row>
    <row r="247" spans="11:13">
      <c r="K247" s="76">
        <v>44157</v>
      </c>
      <c r="L247" s="70">
        <v>0.2</v>
      </c>
      <c r="M247" s="70">
        <v>1</v>
      </c>
    </row>
    <row r="248" spans="11:13">
      <c r="K248" s="76">
        <v>44158</v>
      </c>
      <c r="L248" s="70">
        <v>0.2</v>
      </c>
      <c r="M248" s="70">
        <v>1</v>
      </c>
    </row>
    <row r="249" spans="11:13">
      <c r="K249" s="76">
        <v>44159</v>
      </c>
      <c r="L249" s="70">
        <v>0.2</v>
      </c>
      <c r="M249" s="70">
        <v>1</v>
      </c>
    </row>
    <row r="250" spans="11:13">
      <c r="K250" s="76">
        <v>44160</v>
      </c>
      <c r="L250" s="70">
        <v>0.2</v>
      </c>
      <c r="M250" s="70">
        <v>1</v>
      </c>
    </row>
    <row r="251" spans="11:13">
      <c r="K251" s="76">
        <v>44161</v>
      </c>
      <c r="L251" s="70">
        <v>0.2</v>
      </c>
      <c r="M251" s="70">
        <v>1</v>
      </c>
    </row>
    <row r="252" spans="11:13">
      <c r="K252" s="76">
        <v>44162</v>
      </c>
      <c r="L252" s="70">
        <v>0.2</v>
      </c>
      <c r="M252" s="70">
        <v>1</v>
      </c>
    </row>
    <row r="253" spans="11:13">
      <c r="K253" s="76">
        <v>44163</v>
      </c>
      <c r="L253" s="70">
        <v>0.2</v>
      </c>
      <c r="M253" s="70">
        <v>1</v>
      </c>
    </row>
    <row r="254" spans="11:13">
      <c r="K254" s="76">
        <v>44164</v>
      </c>
      <c r="L254" s="70">
        <v>0.2</v>
      </c>
      <c r="M254" s="70">
        <v>1</v>
      </c>
    </row>
    <row r="255" spans="11:13">
      <c r="K255" s="76">
        <v>44165</v>
      </c>
      <c r="L255" s="70">
        <v>0.2</v>
      </c>
      <c r="M255" s="70">
        <v>1</v>
      </c>
    </row>
    <row r="256" spans="11:13">
      <c r="K256" s="76">
        <v>44166</v>
      </c>
      <c r="L256" s="70">
        <v>0.2</v>
      </c>
      <c r="M256" s="70">
        <v>1</v>
      </c>
    </row>
    <row r="257" spans="11:13">
      <c r="K257" s="76">
        <v>44167</v>
      </c>
      <c r="L257" s="70">
        <v>0.2</v>
      </c>
      <c r="M257" s="70">
        <v>1</v>
      </c>
    </row>
    <row r="258" spans="11:13">
      <c r="K258" s="76">
        <v>44168</v>
      </c>
      <c r="L258" s="70">
        <v>0.2</v>
      </c>
      <c r="M258" s="70">
        <v>1</v>
      </c>
    </row>
    <row r="259" spans="11:13">
      <c r="K259" s="76">
        <v>44169</v>
      </c>
      <c r="L259" s="70">
        <v>0.2</v>
      </c>
      <c r="M259" s="70">
        <v>1</v>
      </c>
    </row>
    <row r="260" spans="11:13">
      <c r="K260" s="76">
        <v>44170</v>
      </c>
      <c r="L260" s="70">
        <v>0.2</v>
      </c>
      <c r="M260" s="70">
        <v>1</v>
      </c>
    </row>
    <row r="261" spans="11:13">
      <c r="K261" s="76">
        <v>44171</v>
      </c>
      <c r="L261" s="70">
        <v>0.2</v>
      </c>
      <c r="M261" s="70">
        <v>1</v>
      </c>
    </row>
    <row r="262" spans="11:13">
      <c r="K262" s="76">
        <v>44172</v>
      </c>
      <c r="L262" s="70">
        <v>0.2</v>
      </c>
      <c r="M262" s="70">
        <v>1</v>
      </c>
    </row>
    <row r="263" spans="11:13">
      <c r="K263" s="76">
        <v>44173</v>
      </c>
      <c r="L263" s="70">
        <v>0.2</v>
      </c>
      <c r="M263" s="70">
        <v>1</v>
      </c>
    </row>
    <row r="264" spans="11:13">
      <c r="K264" s="76">
        <v>44174</v>
      </c>
      <c r="L264" s="70">
        <v>0.2</v>
      </c>
      <c r="M264" s="70">
        <v>1</v>
      </c>
    </row>
    <row r="265" spans="11:13">
      <c r="K265" s="76">
        <v>44175</v>
      </c>
      <c r="L265" s="70">
        <v>0.2</v>
      </c>
      <c r="M265" s="70">
        <v>1</v>
      </c>
    </row>
    <row r="266" spans="11:13">
      <c r="K266" s="76">
        <v>44176</v>
      </c>
      <c r="L266" s="70">
        <v>0.2</v>
      </c>
      <c r="M266" s="70">
        <v>1</v>
      </c>
    </row>
    <row r="267" spans="11:13">
      <c r="K267" s="76">
        <v>44177</v>
      </c>
      <c r="L267" s="70">
        <v>0.2</v>
      </c>
      <c r="M267" s="70">
        <v>1</v>
      </c>
    </row>
    <row r="268" spans="11:13">
      <c r="K268" s="76">
        <v>44178</v>
      </c>
      <c r="L268" s="70">
        <v>0.2</v>
      </c>
      <c r="M268" s="70">
        <v>1</v>
      </c>
    </row>
    <row r="269" spans="11:13">
      <c r="K269" s="76">
        <v>44179</v>
      </c>
      <c r="L269" s="70">
        <v>0.2</v>
      </c>
      <c r="M269" s="70">
        <v>1</v>
      </c>
    </row>
    <row r="270" spans="11:13">
      <c r="K270" s="76">
        <v>44180</v>
      </c>
      <c r="L270" s="70">
        <v>0.2</v>
      </c>
      <c r="M270" s="70">
        <v>1</v>
      </c>
    </row>
    <row r="271" spans="11:13">
      <c r="K271" s="76">
        <v>44181</v>
      </c>
      <c r="L271" s="70">
        <v>0.2</v>
      </c>
      <c r="M271" s="70">
        <v>1</v>
      </c>
    </row>
    <row r="272" spans="11:13">
      <c r="K272" s="76">
        <v>44182</v>
      </c>
      <c r="L272" s="70">
        <v>0.2</v>
      </c>
      <c r="M272" s="70">
        <v>1</v>
      </c>
    </row>
    <row r="273" spans="11:13">
      <c r="K273" s="76">
        <v>44183</v>
      </c>
      <c r="L273" s="70">
        <v>0.2</v>
      </c>
      <c r="M273" s="70">
        <v>1</v>
      </c>
    </row>
    <row r="274" spans="11:13">
      <c r="K274" s="76">
        <v>44184</v>
      </c>
      <c r="L274" s="70">
        <v>0.2</v>
      </c>
      <c r="M274" s="70">
        <v>1</v>
      </c>
    </row>
    <row r="275" spans="11:13">
      <c r="K275" s="76">
        <v>44185</v>
      </c>
      <c r="L275" s="70">
        <v>0.2</v>
      </c>
      <c r="M275" s="70">
        <v>1</v>
      </c>
    </row>
    <row r="276" spans="11:13">
      <c r="K276" s="76">
        <v>44186</v>
      </c>
      <c r="L276" s="70">
        <v>0.2</v>
      </c>
      <c r="M276" s="70">
        <v>1</v>
      </c>
    </row>
    <row r="277" spans="11:13">
      <c r="K277" s="76">
        <v>44187</v>
      </c>
      <c r="L277" s="70">
        <v>0.2</v>
      </c>
      <c r="M277" s="70">
        <v>1</v>
      </c>
    </row>
    <row r="278" spans="11:13">
      <c r="K278" s="76">
        <v>44188</v>
      </c>
      <c r="L278" s="70">
        <v>0.2</v>
      </c>
      <c r="M278" s="70">
        <v>1</v>
      </c>
    </row>
    <row r="279" spans="11:13">
      <c r="K279" s="76">
        <v>44189</v>
      </c>
      <c r="L279" s="70">
        <v>0.2</v>
      </c>
      <c r="M279" s="70">
        <v>1</v>
      </c>
    </row>
    <row r="280" spans="11:13">
      <c r="K280" s="76">
        <v>44190</v>
      </c>
      <c r="L280" s="70">
        <v>0.2</v>
      </c>
      <c r="M280" s="70">
        <v>1</v>
      </c>
    </row>
    <row r="281" spans="11:13">
      <c r="K281" s="76">
        <v>44191</v>
      </c>
      <c r="L281" s="70">
        <v>0.2</v>
      </c>
      <c r="M281" s="70">
        <v>1</v>
      </c>
    </row>
    <row r="282" spans="11:13">
      <c r="K282" s="76">
        <v>44192</v>
      </c>
      <c r="L282" s="70">
        <v>0.2</v>
      </c>
      <c r="M282" s="70">
        <v>1</v>
      </c>
    </row>
    <row r="283" spans="11:13">
      <c r="K283" s="76">
        <v>44193</v>
      </c>
      <c r="L283" s="70">
        <v>0.2</v>
      </c>
      <c r="M283" s="70">
        <v>1</v>
      </c>
    </row>
    <row r="284" spans="11:13">
      <c r="K284" s="76">
        <v>44194</v>
      </c>
      <c r="L284" s="70">
        <v>0.2</v>
      </c>
      <c r="M284" s="70">
        <v>1</v>
      </c>
    </row>
    <row r="285" spans="11:13">
      <c r="K285" s="76">
        <v>44195</v>
      </c>
      <c r="L285" s="70">
        <v>0.2</v>
      </c>
      <c r="M285" s="70">
        <v>1</v>
      </c>
    </row>
    <row r="286" spans="11:13">
      <c r="K286" s="76">
        <v>44196</v>
      </c>
      <c r="L286" s="70">
        <v>0.2</v>
      </c>
      <c r="M286" s="70">
        <v>1</v>
      </c>
    </row>
    <row r="287" spans="11:13">
      <c r="K287" s="76">
        <v>44197</v>
      </c>
      <c r="L287" s="70">
        <v>0.2</v>
      </c>
      <c r="M287" s="70">
        <v>1</v>
      </c>
    </row>
    <row r="288" spans="11:13">
      <c r="K288" s="76">
        <v>44198</v>
      </c>
      <c r="L288" s="70">
        <v>0.2</v>
      </c>
      <c r="M288" s="70">
        <v>1</v>
      </c>
    </row>
    <row r="289" spans="11:13">
      <c r="K289" s="76">
        <v>44199</v>
      </c>
      <c r="L289" s="70">
        <v>0.2</v>
      </c>
      <c r="M289" s="70">
        <v>1</v>
      </c>
    </row>
    <row r="290" spans="11:13">
      <c r="K290" s="76">
        <v>44200</v>
      </c>
      <c r="L290" s="70">
        <v>0.2</v>
      </c>
      <c r="M290" s="70">
        <v>1</v>
      </c>
    </row>
    <row r="291" spans="11:13">
      <c r="K291" s="76">
        <v>44201</v>
      </c>
      <c r="L291" s="70">
        <v>0.2</v>
      </c>
      <c r="M291" s="70">
        <v>1</v>
      </c>
    </row>
    <row r="292" spans="11:13">
      <c r="K292" s="76">
        <v>44202</v>
      </c>
      <c r="L292" s="70">
        <v>0.2</v>
      </c>
      <c r="M292" s="70">
        <v>1</v>
      </c>
    </row>
    <row r="293" spans="11:13">
      <c r="K293" s="76">
        <v>44203</v>
      </c>
      <c r="L293" s="70">
        <v>0.2</v>
      </c>
      <c r="M293" s="70">
        <v>1</v>
      </c>
    </row>
    <row r="294" spans="11:13">
      <c r="K294" s="76">
        <v>44204</v>
      </c>
      <c r="L294" s="70">
        <v>0.2</v>
      </c>
      <c r="M294" s="70">
        <v>1</v>
      </c>
    </row>
    <row r="295" spans="11:13">
      <c r="K295" s="76">
        <v>44205</v>
      </c>
      <c r="L295" s="70">
        <v>0.2</v>
      </c>
      <c r="M295" s="70">
        <v>1</v>
      </c>
    </row>
    <row r="296" spans="11:13">
      <c r="K296" s="76">
        <v>44206</v>
      </c>
      <c r="L296" s="70">
        <v>0.2</v>
      </c>
      <c r="M296" s="70">
        <v>1</v>
      </c>
    </row>
    <row r="297" spans="11:13">
      <c r="K297" s="76">
        <v>44207</v>
      </c>
      <c r="L297" s="70">
        <v>0.2</v>
      </c>
      <c r="M297" s="70">
        <v>1</v>
      </c>
    </row>
    <row r="298" spans="11:13">
      <c r="K298" s="76">
        <v>44208</v>
      </c>
      <c r="L298" s="70">
        <v>0.2</v>
      </c>
      <c r="M298" s="70">
        <v>1</v>
      </c>
    </row>
    <row r="299" spans="11:13">
      <c r="K299" s="76">
        <v>44209</v>
      </c>
      <c r="L299" s="70">
        <v>0.2</v>
      </c>
      <c r="M299" s="70">
        <v>1</v>
      </c>
    </row>
    <row r="300" spans="11:13">
      <c r="K300" s="76">
        <v>44210</v>
      </c>
      <c r="L300" s="70">
        <v>0.2</v>
      </c>
      <c r="M300" s="70">
        <v>1</v>
      </c>
    </row>
    <row r="301" spans="11:13">
      <c r="K301" s="76">
        <v>44211</v>
      </c>
      <c r="L301" s="70">
        <v>0.2</v>
      </c>
      <c r="M301" s="70">
        <v>1</v>
      </c>
    </row>
    <row r="302" spans="11:13">
      <c r="K302" s="76">
        <v>44212</v>
      </c>
      <c r="L302" s="70">
        <v>0.2</v>
      </c>
      <c r="M302" s="70">
        <v>1</v>
      </c>
    </row>
    <row r="303" spans="11:13">
      <c r="K303" s="76">
        <v>44213</v>
      </c>
      <c r="L303" s="70">
        <v>0.2</v>
      </c>
      <c r="M303" s="70">
        <v>1</v>
      </c>
    </row>
    <row r="304" spans="11:13">
      <c r="K304" s="76">
        <v>44214</v>
      </c>
      <c r="L304" s="70">
        <v>0.2</v>
      </c>
      <c r="M304" s="70">
        <v>1</v>
      </c>
    </row>
    <row r="305" spans="11:13">
      <c r="K305" s="76">
        <v>44215</v>
      </c>
      <c r="L305" s="70">
        <v>0.2</v>
      </c>
      <c r="M305" s="70">
        <v>1</v>
      </c>
    </row>
    <row r="306" spans="11:13">
      <c r="K306" s="76">
        <v>44216</v>
      </c>
      <c r="L306" s="70">
        <v>0.2</v>
      </c>
      <c r="M306" s="70">
        <v>1</v>
      </c>
    </row>
    <row r="307" spans="11:13">
      <c r="K307" s="76">
        <v>44217</v>
      </c>
      <c r="L307" s="70">
        <v>0.2</v>
      </c>
      <c r="M307" s="70">
        <v>1</v>
      </c>
    </row>
    <row r="308" spans="11:13">
      <c r="K308" s="76">
        <v>44218</v>
      </c>
      <c r="L308" s="70">
        <v>0.2</v>
      </c>
      <c r="M308" s="70">
        <v>1</v>
      </c>
    </row>
    <row r="309" spans="11:13">
      <c r="K309" s="76">
        <v>44219</v>
      </c>
      <c r="L309" s="70">
        <v>0.2</v>
      </c>
      <c r="M309" s="70">
        <v>1</v>
      </c>
    </row>
    <row r="310" spans="11:13">
      <c r="K310" s="76">
        <v>44220</v>
      </c>
      <c r="L310" s="70">
        <v>0.2</v>
      </c>
      <c r="M310" s="70">
        <v>1</v>
      </c>
    </row>
    <row r="311" spans="11:13">
      <c r="K311" s="76">
        <v>44221</v>
      </c>
      <c r="L311" s="70">
        <v>0.2</v>
      </c>
      <c r="M311" s="70">
        <v>1</v>
      </c>
    </row>
    <row r="312" spans="11:13">
      <c r="K312" s="76">
        <v>44222</v>
      </c>
      <c r="L312" s="70">
        <v>0.2</v>
      </c>
      <c r="M312" s="70">
        <v>1</v>
      </c>
    </row>
    <row r="313" spans="11:13">
      <c r="K313" s="76">
        <v>44223</v>
      </c>
      <c r="L313" s="70">
        <v>0.2</v>
      </c>
      <c r="M313" s="70">
        <v>1</v>
      </c>
    </row>
    <row r="314" spans="11:13">
      <c r="K314" s="76">
        <v>44224</v>
      </c>
      <c r="L314" s="70">
        <v>0.2</v>
      </c>
      <c r="M314" s="70">
        <v>1</v>
      </c>
    </row>
    <row r="315" spans="11:13">
      <c r="K315" s="76">
        <v>44225</v>
      </c>
      <c r="L315" s="70">
        <v>0.2</v>
      </c>
      <c r="M315" s="70">
        <v>1</v>
      </c>
    </row>
    <row r="316" spans="11:13">
      <c r="K316" s="76">
        <v>44226</v>
      </c>
      <c r="L316" s="70">
        <v>0.2</v>
      </c>
      <c r="M316" s="70">
        <v>1</v>
      </c>
    </row>
    <row r="317" spans="11:13">
      <c r="K317" s="76">
        <v>44227</v>
      </c>
      <c r="L317" s="70">
        <v>0.2</v>
      </c>
      <c r="M317" s="70">
        <v>1</v>
      </c>
    </row>
    <row r="318" spans="11:13">
      <c r="K318" s="76">
        <v>44228</v>
      </c>
      <c r="L318" s="70">
        <v>0.2</v>
      </c>
      <c r="M318" s="70">
        <v>1</v>
      </c>
    </row>
    <row r="319" spans="11:13">
      <c r="K319" s="76">
        <v>44229</v>
      </c>
      <c r="L319" s="70">
        <v>0.2</v>
      </c>
      <c r="M319" s="70">
        <v>1</v>
      </c>
    </row>
    <row r="320" spans="11:13">
      <c r="K320" s="76">
        <v>44230</v>
      </c>
      <c r="L320" s="70">
        <v>0.2</v>
      </c>
      <c r="M320" s="70">
        <v>1</v>
      </c>
    </row>
    <row r="321" spans="11:13">
      <c r="K321" s="76">
        <v>44231</v>
      </c>
      <c r="L321" s="70">
        <v>0.2</v>
      </c>
      <c r="M321" s="70">
        <v>1</v>
      </c>
    </row>
    <row r="322" spans="11:13">
      <c r="K322" s="76">
        <v>44232</v>
      </c>
      <c r="L322" s="70">
        <v>0.2</v>
      </c>
      <c r="M322" s="70">
        <v>1</v>
      </c>
    </row>
    <row r="323" spans="11:13">
      <c r="K323" s="76">
        <v>44233</v>
      </c>
      <c r="L323" s="70">
        <v>0.2</v>
      </c>
      <c r="M323" s="70">
        <v>1</v>
      </c>
    </row>
    <row r="324" spans="11:13">
      <c r="K324" s="76">
        <v>44234</v>
      </c>
      <c r="L324" s="70">
        <v>0.2</v>
      </c>
      <c r="M324" s="70">
        <v>1</v>
      </c>
    </row>
    <row r="325" spans="11:13">
      <c r="K325" s="76">
        <v>44235</v>
      </c>
      <c r="L325" s="70">
        <v>0.2</v>
      </c>
      <c r="M325" s="70">
        <v>1</v>
      </c>
    </row>
    <row r="326" spans="11:13">
      <c r="K326" s="76">
        <v>44236</v>
      </c>
      <c r="L326" s="70">
        <v>0.2</v>
      </c>
      <c r="M326" s="70">
        <v>1</v>
      </c>
    </row>
    <row r="327" spans="11:13">
      <c r="K327" s="76">
        <v>44237</v>
      </c>
      <c r="L327" s="70">
        <v>0.2</v>
      </c>
      <c r="M327" s="70">
        <v>1</v>
      </c>
    </row>
    <row r="328" spans="11:13">
      <c r="K328" s="76">
        <v>44238</v>
      </c>
      <c r="L328" s="70">
        <v>0.2</v>
      </c>
      <c r="M328" s="70">
        <v>1</v>
      </c>
    </row>
    <row r="329" spans="11:13">
      <c r="K329" s="76">
        <v>44239</v>
      </c>
      <c r="L329" s="70">
        <v>0.2</v>
      </c>
      <c r="M329" s="70">
        <v>1</v>
      </c>
    </row>
    <row r="330" spans="11:13">
      <c r="K330" s="76">
        <v>44240</v>
      </c>
      <c r="L330" s="70">
        <v>0.2</v>
      </c>
      <c r="M330" s="70">
        <v>1</v>
      </c>
    </row>
    <row r="331" spans="11:13">
      <c r="K331" s="76">
        <v>44241</v>
      </c>
      <c r="L331" s="70">
        <v>0.2</v>
      </c>
      <c r="M331" s="70">
        <v>1</v>
      </c>
    </row>
    <row r="332" spans="11:13">
      <c r="K332" s="76">
        <v>44242</v>
      </c>
      <c r="L332" s="70">
        <v>0.2</v>
      </c>
      <c r="M332" s="70">
        <v>1</v>
      </c>
    </row>
    <row r="333" spans="11:13">
      <c r="K333" s="76">
        <v>44243</v>
      </c>
      <c r="L333" s="70">
        <v>0.2</v>
      </c>
      <c r="M333" s="70">
        <v>1</v>
      </c>
    </row>
    <row r="334" spans="11:13">
      <c r="K334" s="76">
        <v>44244</v>
      </c>
      <c r="L334" s="70">
        <v>0.2</v>
      </c>
      <c r="M334" s="70">
        <v>1</v>
      </c>
    </row>
    <row r="335" spans="11:13">
      <c r="K335" s="76">
        <v>44245</v>
      </c>
      <c r="L335" s="70">
        <v>0.2</v>
      </c>
      <c r="M335" s="70">
        <v>1</v>
      </c>
    </row>
    <row r="336" spans="11:13">
      <c r="K336" s="76">
        <v>44246</v>
      </c>
      <c r="L336" s="70">
        <v>0.2</v>
      </c>
      <c r="M336" s="70">
        <v>1</v>
      </c>
    </row>
    <row r="337" spans="11:13">
      <c r="K337" s="76">
        <v>44247</v>
      </c>
      <c r="L337" s="70">
        <v>0.2</v>
      </c>
      <c r="M337" s="70">
        <v>1</v>
      </c>
    </row>
    <row r="338" spans="11:13">
      <c r="K338" s="76">
        <v>44248</v>
      </c>
      <c r="L338" s="70">
        <v>0.2</v>
      </c>
      <c r="M338" s="70">
        <v>1</v>
      </c>
    </row>
    <row r="339" spans="11:13">
      <c r="K339" s="76">
        <v>44249</v>
      </c>
      <c r="L339" s="70">
        <v>0.2</v>
      </c>
      <c r="M339" s="70">
        <v>1</v>
      </c>
    </row>
    <row r="340" spans="11:13">
      <c r="K340" s="76">
        <v>44250</v>
      </c>
      <c r="L340" s="70">
        <v>0.2</v>
      </c>
      <c r="M340" s="70">
        <v>1</v>
      </c>
    </row>
    <row r="341" spans="11:13">
      <c r="K341" s="76">
        <v>44251</v>
      </c>
      <c r="L341" s="70">
        <v>0.2</v>
      </c>
      <c r="M341" s="70">
        <v>1</v>
      </c>
    </row>
    <row r="342" spans="11:13">
      <c r="K342" s="76">
        <v>44252</v>
      </c>
      <c r="L342" s="70">
        <v>0.2</v>
      </c>
      <c r="M342" s="70">
        <v>1</v>
      </c>
    </row>
    <row r="343" spans="11:13">
      <c r="K343" s="76">
        <v>44253</v>
      </c>
      <c r="L343" s="70">
        <v>0.2</v>
      </c>
      <c r="M343" s="70">
        <v>1</v>
      </c>
    </row>
    <row r="344" spans="11:13">
      <c r="K344" s="76">
        <v>44254</v>
      </c>
      <c r="L344" s="70">
        <v>0.2</v>
      </c>
      <c r="M344" s="70">
        <v>1</v>
      </c>
    </row>
    <row r="345" spans="11:13">
      <c r="K345" s="76">
        <v>44255</v>
      </c>
      <c r="L345" s="70">
        <v>0.2</v>
      </c>
      <c r="M345" s="70">
        <v>1</v>
      </c>
    </row>
    <row r="346" spans="11:13">
      <c r="K346" s="76">
        <v>44256</v>
      </c>
      <c r="L346" s="70">
        <v>0.2</v>
      </c>
      <c r="M346" s="70">
        <v>1</v>
      </c>
    </row>
    <row r="347" spans="11:13">
      <c r="K347" s="76">
        <v>44257</v>
      </c>
      <c r="L347" s="70">
        <v>0.2</v>
      </c>
      <c r="M347" s="70">
        <v>1</v>
      </c>
    </row>
    <row r="348" spans="11:13">
      <c r="K348" s="76">
        <v>44258</v>
      </c>
      <c r="L348" s="70">
        <v>0.2</v>
      </c>
      <c r="M348" s="70">
        <v>1</v>
      </c>
    </row>
    <row r="349" spans="11:13">
      <c r="K349" s="76">
        <v>44259</v>
      </c>
      <c r="L349" s="70">
        <v>0.2</v>
      </c>
      <c r="M349" s="70">
        <v>1</v>
      </c>
    </row>
    <row r="350" spans="11:13">
      <c r="K350" s="76">
        <v>44260</v>
      </c>
      <c r="L350" s="70">
        <v>0.2</v>
      </c>
      <c r="M350" s="70">
        <v>1</v>
      </c>
    </row>
    <row r="351" spans="11:13">
      <c r="K351" s="76">
        <v>44261</v>
      </c>
      <c r="L351" s="70">
        <v>0.2</v>
      </c>
      <c r="M351" s="70">
        <v>1</v>
      </c>
    </row>
    <row r="352" spans="11:13">
      <c r="K352" s="76">
        <v>44262</v>
      </c>
      <c r="L352" s="70">
        <v>0.2</v>
      </c>
      <c r="M352" s="70">
        <v>1</v>
      </c>
    </row>
    <row r="353" spans="11:13">
      <c r="K353" s="76">
        <v>44263</v>
      </c>
      <c r="L353" s="70">
        <v>0.2</v>
      </c>
      <c r="M353" s="70">
        <v>1</v>
      </c>
    </row>
    <row r="354" spans="11:13">
      <c r="K354" s="76">
        <v>44264</v>
      </c>
      <c r="L354" s="70">
        <v>0.2</v>
      </c>
      <c r="M354" s="70">
        <v>1</v>
      </c>
    </row>
    <row r="355" spans="11:13">
      <c r="K355" s="76">
        <v>44265</v>
      </c>
      <c r="L355" s="70">
        <v>0.2</v>
      </c>
      <c r="M355" s="70">
        <v>1</v>
      </c>
    </row>
    <row r="356" spans="11:13">
      <c r="K356" s="76">
        <v>44266</v>
      </c>
      <c r="L356" s="70">
        <v>0.2</v>
      </c>
      <c r="M356" s="70">
        <v>1</v>
      </c>
    </row>
    <row r="357" spans="11:13">
      <c r="K357" s="76">
        <v>44267</v>
      </c>
      <c r="L357" s="70">
        <v>0.2</v>
      </c>
      <c r="M357" s="70">
        <v>1</v>
      </c>
    </row>
    <row r="358" spans="11:13">
      <c r="K358" s="76">
        <v>44268</v>
      </c>
      <c r="L358" s="70">
        <v>0.2</v>
      </c>
      <c r="M358" s="70">
        <v>1</v>
      </c>
    </row>
    <row r="359" spans="11:13">
      <c r="K359" s="76">
        <v>44269</v>
      </c>
      <c r="L359" s="70">
        <v>0.2</v>
      </c>
      <c r="M359" s="70">
        <v>1</v>
      </c>
    </row>
    <row r="360" spans="11:13">
      <c r="K360" s="76">
        <v>44270</v>
      </c>
      <c r="L360" s="70">
        <v>0.2</v>
      </c>
      <c r="M360" s="70">
        <v>1</v>
      </c>
    </row>
    <row r="361" spans="11:13">
      <c r="K361" s="76">
        <v>44271</v>
      </c>
      <c r="L361" s="70">
        <v>0.2</v>
      </c>
      <c r="M361" s="70">
        <v>1</v>
      </c>
    </row>
    <row r="362" spans="11:13">
      <c r="K362" s="76">
        <v>44272</v>
      </c>
      <c r="L362" s="70">
        <v>0.2</v>
      </c>
      <c r="M362" s="70">
        <v>1</v>
      </c>
    </row>
    <row r="363" spans="11:13">
      <c r="K363" s="76">
        <v>44273</v>
      </c>
      <c r="L363" s="70">
        <v>0.2</v>
      </c>
      <c r="M363" s="70">
        <v>1</v>
      </c>
    </row>
    <row r="364" spans="11:13">
      <c r="K364" s="76">
        <v>44274</v>
      </c>
      <c r="L364" s="70">
        <v>0.2</v>
      </c>
      <c r="M364" s="70">
        <v>1</v>
      </c>
    </row>
    <row r="365" spans="11:13">
      <c r="K365" s="76">
        <v>44275</v>
      </c>
      <c r="L365" s="70">
        <v>0.2</v>
      </c>
      <c r="M365" s="70">
        <v>1</v>
      </c>
    </row>
    <row r="366" spans="11:13">
      <c r="K366" s="76">
        <v>44276</v>
      </c>
      <c r="L366" s="70">
        <v>0.2</v>
      </c>
      <c r="M366" s="70">
        <v>1</v>
      </c>
    </row>
    <row r="367" spans="11:13">
      <c r="K367" s="76">
        <v>44277</v>
      </c>
      <c r="L367" s="70">
        <v>0.2</v>
      </c>
      <c r="M367" s="70">
        <v>1</v>
      </c>
    </row>
    <row r="368" spans="11:13">
      <c r="K368" s="76">
        <v>44278</v>
      </c>
      <c r="L368" s="70">
        <v>0.2</v>
      </c>
      <c r="M368" s="70">
        <v>1</v>
      </c>
    </row>
    <row r="369" spans="11:13">
      <c r="K369" s="76">
        <v>44279</v>
      </c>
      <c r="L369" s="70">
        <v>0.2</v>
      </c>
      <c r="M369" s="70">
        <v>1</v>
      </c>
    </row>
    <row r="370" spans="11:13">
      <c r="K370" s="76">
        <v>44280</v>
      </c>
      <c r="L370" s="70">
        <v>0.2</v>
      </c>
      <c r="M370" s="70">
        <v>1</v>
      </c>
    </row>
    <row r="371" spans="11:13">
      <c r="K371" s="76">
        <v>44281</v>
      </c>
      <c r="L371" s="70">
        <v>0.2</v>
      </c>
      <c r="M371" s="70">
        <v>1</v>
      </c>
    </row>
    <row r="372" spans="11:13">
      <c r="K372" s="76">
        <v>44282</v>
      </c>
      <c r="L372" s="70">
        <v>0.2</v>
      </c>
      <c r="M372" s="70">
        <v>1</v>
      </c>
    </row>
    <row r="373" spans="11:13">
      <c r="K373" s="76">
        <v>44283</v>
      </c>
      <c r="L373" s="70">
        <v>0.2</v>
      </c>
      <c r="M373" s="70">
        <v>1</v>
      </c>
    </row>
    <row r="374" spans="11:13">
      <c r="K374" s="76">
        <v>44284</v>
      </c>
      <c r="L374" s="70">
        <v>0.2</v>
      </c>
      <c r="M374" s="70">
        <v>1</v>
      </c>
    </row>
    <row r="375" spans="11:13">
      <c r="K375" s="76">
        <v>44285</v>
      </c>
      <c r="L375" s="70">
        <v>0.2</v>
      </c>
      <c r="M375" s="70">
        <v>1</v>
      </c>
    </row>
    <row r="376" spans="11:13">
      <c r="K376" s="76">
        <v>44286</v>
      </c>
      <c r="L376" s="70">
        <v>0.2</v>
      </c>
      <c r="M376" s="70">
        <v>1</v>
      </c>
    </row>
    <row r="377" spans="11:13">
      <c r="K377" s="76">
        <v>44287</v>
      </c>
      <c r="L377" s="70">
        <v>0.2</v>
      </c>
      <c r="M377" s="70">
        <v>1</v>
      </c>
    </row>
    <row r="378" spans="11:13">
      <c r="K378" s="76">
        <v>44288</v>
      </c>
      <c r="L378" s="70">
        <v>0.2</v>
      </c>
      <c r="M378" s="70">
        <v>1</v>
      </c>
    </row>
    <row r="379" spans="11:13">
      <c r="K379" s="76">
        <v>44289</v>
      </c>
      <c r="L379" s="70">
        <v>0.2</v>
      </c>
      <c r="M379" s="70">
        <v>1</v>
      </c>
    </row>
    <row r="380" spans="11:13">
      <c r="K380" s="76">
        <v>44290</v>
      </c>
      <c r="L380" s="70">
        <v>0.2</v>
      </c>
      <c r="M380" s="70">
        <v>1</v>
      </c>
    </row>
    <row r="381" spans="11:13">
      <c r="K381" s="76">
        <v>44291</v>
      </c>
      <c r="L381" s="70">
        <v>0.2</v>
      </c>
      <c r="M381" s="70">
        <v>1</v>
      </c>
    </row>
    <row r="382" spans="11:13">
      <c r="K382" s="76">
        <v>44292</v>
      </c>
      <c r="L382" s="70">
        <v>0.2</v>
      </c>
      <c r="M382" s="70">
        <v>1</v>
      </c>
    </row>
    <row r="383" spans="11:13">
      <c r="K383" s="76">
        <v>44293</v>
      </c>
      <c r="L383" s="70">
        <v>0.2</v>
      </c>
      <c r="M383" s="70">
        <v>1</v>
      </c>
    </row>
    <row r="384" spans="11:13">
      <c r="K384" s="76">
        <v>44294</v>
      </c>
      <c r="L384" s="70">
        <v>0.2</v>
      </c>
      <c r="M384" s="70">
        <v>1</v>
      </c>
    </row>
    <row r="385" spans="11:13">
      <c r="K385" s="76">
        <v>44295</v>
      </c>
      <c r="L385" s="70">
        <v>0.2</v>
      </c>
      <c r="M385" s="70">
        <v>1</v>
      </c>
    </row>
    <row r="386" spans="11:13">
      <c r="K386" s="76">
        <v>44296</v>
      </c>
      <c r="L386" s="70">
        <v>0.2</v>
      </c>
      <c r="M386" s="70">
        <v>1</v>
      </c>
    </row>
    <row r="387" spans="11:13">
      <c r="K387" s="76">
        <v>44297</v>
      </c>
      <c r="L387" s="70">
        <v>0.2</v>
      </c>
      <c r="M387" s="70">
        <v>1</v>
      </c>
    </row>
    <row r="388" spans="11:13">
      <c r="K388" s="76">
        <v>44298</v>
      </c>
      <c r="L388" s="70">
        <v>0.2</v>
      </c>
      <c r="M388" s="70">
        <v>1</v>
      </c>
    </row>
    <row r="389" spans="11:13">
      <c r="K389" s="76">
        <v>44299</v>
      </c>
      <c r="L389" s="70">
        <v>0.2</v>
      </c>
      <c r="M389" s="70">
        <v>1</v>
      </c>
    </row>
    <row r="390" spans="11:13">
      <c r="K390" s="76">
        <v>44300</v>
      </c>
      <c r="L390" s="70">
        <v>0.2</v>
      </c>
      <c r="M390" s="70">
        <v>1</v>
      </c>
    </row>
    <row r="391" spans="11:13">
      <c r="K391" s="76">
        <v>44301</v>
      </c>
      <c r="L391" s="70">
        <v>0.2</v>
      </c>
      <c r="M391" s="70">
        <v>1</v>
      </c>
    </row>
    <row r="392" spans="11:13">
      <c r="K392" s="76">
        <v>44302</v>
      </c>
      <c r="L392" s="70">
        <v>0.2</v>
      </c>
      <c r="M392" s="70">
        <v>1</v>
      </c>
    </row>
    <row r="393" spans="11:13">
      <c r="K393" s="76">
        <v>44303</v>
      </c>
      <c r="L393" s="70">
        <v>0.2</v>
      </c>
      <c r="M393" s="70">
        <v>1</v>
      </c>
    </row>
    <row r="394" spans="11:13">
      <c r="K394" s="76">
        <v>44304</v>
      </c>
      <c r="L394" s="70">
        <v>0.2</v>
      </c>
      <c r="M394" s="70">
        <v>1</v>
      </c>
    </row>
    <row r="395" spans="11:13">
      <c r="K395" s="76">
        <v>44305</v>
      </c>
      <c r="L395" s="70">
        <v>0.2</v>
      </c>
      <c r="M395" s="70">
        <v>1</v>
      </c>
    </row>
    <row r="396" spans="11:13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/>
  <sheetData>
    <row r="1" spans="11:13">
      <c r="K1" t="s">
        <v>53</v>
      </c>
    </row>
    <row r="2" spans="11:13">
      <c r="K2" t="s">
        <v>0</v>
      </c>
      <c r="L2" t="s">
        <v>55</v>
      </c>
      <c r="M2" t="s">
        <v>54</v>
      </c>
    </row>
    <row r="3" spans="11:13">
      <c r="K3" s="76">
        <v>43913</v>
      </c>
      <c r="L3" s="70">
        <v>0.5</v>
      </c>
      <c r="M3" s="70">
        <v>0.16</v>
      </c>
    </row>
    <row r="4" spans="11:13">
      <c r="K4" s="76">
        <v>43914</v>
      </c>
      <c r="L4" s="70">
        <v>0.5</v>
      </c>
      <c r="M4" s="70">
        <v>0.16</v>
      </c>
    </row>
    <row r="5" spans="11:13">
      <c r="K5" s="76">
        <v>43915</v>
      </c>
      <c r="L5" s="70">
        <v>0.5</v>
      </c>
      <c r="M5" s="70">
        <v>0.16</v>
      </c>
    </row>
    <row r="6" spans="11:13">
      <c r="K6" s="76">
        <v>43916</v>
      </c>
      <c r="L6" s="70">
        <v>0.5</v>
      </c>
      <c r="M6" s="70">
        <v>0.16</v>
      </c>
    </row>
    <row r="7" spans="11:13">
      <c r="K7" s="76">
        <v>43917</v>
      </c>
      <c r="L7" s="70">
        <v>0.5</v>
      </c>
      <c r="M7" s="70">
        <v>0.16</v>
      </c>
    </row>
    <row r="8" spans="11:13">
      <c r="K8" s="76">
        <v>43918</v>
      </c>
      <c r="L8" s="70">
        <v>0.5</v>
      </c>
      <c r="M8" s="70">
        <v>0.16</v>
      </c>
    </row>
    <row r="9" spans="11:13">
      <c r="K9" s="76">
        <v>43919</v>
      </c>
      <c r="L9" s="70">
        <v>0.5</v>
      </c>
      <c r="M9" s="70">
        <v>0.16</v>
      </c>
    </row>
    <row r="10" spans="11:13">
      <c r="K10" s="76">
        <v>43920</v>
      </c>
      <c r="L10" s="70">
        <v>0.5</v>
      </c>
      <c r="M10" s="70">
        <v>0.16</v>
      </c>
    </row>
    <row r="11" spans="11:13">
      <c r="K11" s="76">
        <v>43921</v>
      </c>
      <c r="L11" s="70">
        <v>0.5</v>
      </c>
      <c r="M11" s="70">
        <v>0.16</v>
      </c>
    </row>
    <row r="12" spans="11:13">
      <c r="K12" s="76">
        <v>43922</v>
      </c>
      <c r="L12" s="70">
        <v>0.5</v>
      </c>
      <c r="M12" s="70">
        <v>0.16</v>
      </c>
    </row>
    <row r="13" spans="11:13">
      <c r="K13" s="76">
        <v>43923</v>
      </c>
      <c r="L13" s="70">
        <v>0.5</v>
      </c>
      <c r="M13" s="70">
        <v>0.16</v>
      </c>
    </row>
    <row r="14" spans="11:13">
      <c r="K14" s="76">
        <v>43924</v>
      </c>
      <c r="L14" s="70">
        <v>0.5</v>
      </c>
      <c r="M14" s="70">
        <v>0.16</v>
      </c>
    </row>
    <row r="15" spans="11:13">
      <c r="K15" s="76">
        <v>43925</v>
      </c>
      <c r="L15" s="70">
        <v>0.5</v>
      </c>
      <c r="M15" s="70">
        <v>0.16</v>
      </c>
    </row>
    <row r="16" spans="11:13">
      <c r="K16" s="76">
        <v>43926</v>
      </c>
      <c r="L16" s="70">
        <v>0.5</v>
      </c>
      <c r="M16" s="70">
        <v>0.16</v>
      </c>
    </row>
    <row r="17" spans="11:13">
      <c r="K17" s="76">
        <v>43927</v>
      </c>
      <c r="L17" s="70">
        <v>0.5</v>
      </c>
      <c r="M17" s="70">
        <v>0.16</v>
      </c>
    </row>
    <row r="18" spans="11:13">
      <c r="K18" s="76">
        <v>43928</v>
      </c>
      <c r="L18" s="70">
        <v>0.5</v>
      </c>
      <c r="M18" s="70">
        <v>0.16</v>
      </c>
    </row>
    <row r="19" spans="11:13">
      <c r="K19" s="76">
        <v>43929</v>
      </c>
      <c r="L19" s="70">
        <v>0.5</v>
      </c>
      <c r="M19" s="70">
        <v>0.16</v>
      </c>
    </row>
    <row r="20" spans="11:13">
      <c r="K20" s="76">
        <v>43930</v>
      </c>
      <c r="L20" s="70">
        <v>0.5</v>
      </c>
      <c r="M20" s="70">
        <v>0.16</v>
      </c>
    </row>
    <row r="21" spans="11:13">
      <c r="K21" s="76">
        <v>43931</v>
      </c>
      <c r="L21" s="70">
        <v>0.5</v>
      </c>
      <c r="M21" s="70">
        <v>0.16</v>
      </c>
    </row>
    <row r="22" spans="11:13">
      <c r="K22" s="76">
        <v>43932</v>
      </c>
      <c r="L22" s="70">
        <v>0.5</v>
      </c>
      <c r="M22" s="70">
        <v>0.16</v>
      </c>
    </row>
    <row r="23" spans="11:13">
      <c r="K23" s="76">
        <v>43933</v>
      </c>
      <c r="L23" s="70">
        <v>0.5</v>
      </c>
      <c r="M23" s="70">
        <v>0.16</v>
      </c>
    </row>
    <row r="24" spans="11:13">
      <c r="K24" s="76">
        <v>43934</v>
      </c>
      <c r="L24" s="70">
        <v>0.5</v>
      </c>
      <c r="M24" s="70">
        <v>0.16</v>
      </c>
    </row>
    <row r="25" spans="11:13">
      <c r="K25" s="76">
        <v>43935</v>
      </c>
      <c r="L25" s="70">
        <v>0.5</v>
      </c>
      <c r="M25" s="70">
        <v>0.16</v>
      </c>
    </row>
    <row r="26" spans="11:13">
      <c r="K26" s="76">
        <v>43936</v>
      </c>
      <c r="L26" s="70">
        <v>0.5</v>
      </c>
      <c r="M26" s="70">
        <v>0.16</v>
      </c>
    </row>
    <row r="27" spans="11:13">
      <c r="K27" s="76">
        <v>43937</v>
      </c>
      <c r="L27" s="70">
        <v>0.5</v>
      </c>
      <c r="M27" s="70">
        <v>0.16</v>
      </c>
    </row>
    <row r="28" spans="11:13">
      <c r="K28" s="76">
        <v>43938</v>
      </c>
      <c r="L28" s="70">
        <v>0.5</v>
      </c>
      <c r="M28" s="70">
        <v>0.16</v>
      </c>
    </row>
    <row r="29" spans="11:13">
      <c r="K29" s="76">
        <v>43939</v>
      </c>
      <c r="L29" s="70">
        <v>0.5</v>
      </c>
      <c r="M29" s="70">
        <v>0.16</v>
      </c>
    </row>
    <row r="30" spans="11:13">
      <c r="K30" s="76">
        <v>43940</v>
      </c>
      <c r="L30" s="70">
        <v>0.5</v>
      </c>
      <c r="M30" s="70">
        <v>0.16</v>
      </c>
    </row>
    <row r="31" spans="11:13">
      <c r="K31" s="76">
        <v>43941</v>
      </c>
      <c r="L31" s="70">
        <v>0.5</v>
      </c>
      <c r="M31" s="70">
        <v>0.16</v>
      </c>
    </row>
    <row r="32" spans="11:13">
      <c r="K32" s="76">
        <v>43942</v>
      </c>
      <c r="L32" s="70">
        <v>0.5</v>
      </c>
      <c r="M32" s="70">
        <v>0.16</v>
      </c>
    </row>
    <row r="33" spans="11:13">
      <c r="K33" s="76">
        <v>43943</v>
      </c>
      <c r="L33" s="70">
        <v>0.5</v>
      </c>
      <c r="M33" s="70">
        <v>0.16</v>
      </c>
    </row>
    <row r="34" spans="11:13">
      <c r="K34" s="76">
        <v>43944</v>
      </c>
      <c r="L34" s="70">
        <v>0.5</v>
      </c>
      <c r="M34" s="70">
        <v>0.16</v>
      </c>
    </row>
    <row r="35" spans="11:13">
      <c r="K35" s="76">
        <v>43945</v>
      </c>
      <c r="L35" s="70">
        <v>0.5</v>
      </c>
      <c r="M35" s="70">
        <v>0.16</v>
      </c>
    </row>
    <row r="36" spans="11:13">
      <c r="K36" s="76">
        <v>43946</v>
      </c>
      <c r="L36" s="70">
        <v>0.5</v>
      </c>
      <c r="M36" s="70">
        <v>0.16</v>
      </c>
    </row>
    <row r="37" spans="11:13">
      <c r="K37" s="76">
        <v>43947</v>
      </c>
      <c r="L37" s="70">
        <v>0.5</v>
      </c>
      <c r="M37" s="70">
        <v>0.16</v>
      </c>
    </row>
    <row r="38" spans="11:13">
      <c r="K38" s="76">
        <v>43948</v>
      </c>
      <c r="L38" s="70">
        <v>0.5</v>
      </c>
      <c r="M38" s="70">
        <v>0.16</v>
      </c>
    </row>
    <row r="39" spans="11:13">
      <c r="K39" s="76">
        <v>43949</v>
      </c>
      <c r="L39" s="70">
        <v>0.5</v>
      </c>
      <c r="M39" s="70">
        <v>0.16</v>
      </c>
    </row>
    <row r="40" spans="11:13">
      <c r="K40" s="76">
        <v>43950</v>
      </c>
      <c r="L40" s="70">
        <v>0.5</v>
      </c>
      <c r="M40" s="70">
        <v>0.16</v>
      </c>
    </row>
    <row r="41" spans="11:13">
      <c r="K41" s="76">
        <v>43951</v>
      </c>
      <c r="L41" s="70">
        <v>0.5</v>
      </c>
      <c r="M41" s="70">
        <v>0.16</v>
      </c>
    </row>
    <row r="42" spans="11:13">
      <c r="K42" s="76">
        <v>43952</v>
      </c>
      <c r="L42" s="70">
        <v>0.5</v>
      </c>
      <c r="M42" s="70">
        <v>0.16</v>
      </c>
    </row>
    <row r="43" spans="11:13">
      <c r="K43" s="76">
        <v>43953</v>
      </c>
      <c r="L43" s="70">
        <v>0.5</v>
      </c>
      <c r="M43" s="70">
        <v>0.16</v>
      </c>
    </row>
    <row r="44" spans="11:13">
      <c r="K44" s="76">
        <v>43954</v>
      </c>
      <c r="L44" s="70">
        <v>0.5</v>
      </c>
      <c r="M44" s="70">
        <v>0.16</v>
      </c>
    </row>
    <row r="45" spans="11:13">
      <c r="K45" s="76">
        <v>43955</v>
      </c>
      <c r="L45" s="70">
        <v>0.5</v>
      </c>
      <c r="M45" s="70">
        <v>0.16</v>
      </c>
    </row>
    <row r="46" spans="11:13">
      <c r="K46" s="76">
        <v>43956</v>
      </c>
      <c r="L46" s="70">
        <v>0.5</v>
      </c>
      <c r="M46" s="70">
        <v>0.16</v>
      </c>
    </row>
    <row r="47" spans="11:13">
      <c r="K47" s="76">
        <v>43957</v>
      </c>
      <c r="L47" s="70">
        <v>0.5</v>
      </c>
      <c r="M47" s="70">
        <v>0.16</v>
      </c>
    </row>
    <row r="48" spans="11:13">
      <c r="K48" s="76">
        <v>43958</v>
      </c>
      <c r="L48" s="70">
        <v>0.5</v>
      </c>
      <c r="M48" s="70">
        <v>0.16</v>
      </c>
    </row>
    <row r="49" spans="11:13">
      <c r="K49" s="76">
        <v>43959</v>
      </c>
      <c r="L49" s="70">
        <v>0.5</v>
      </c>
      <c r="M49" s="70">
        <v>0.16</v>
      </c>
    </row>
    <row r="50" spans="11:13">
      <c r="K50" s="76">
        <v>43960</v>
      </c>
      <c r="L50" s="70">
        <v>0.5</v>
      </c>
      <c r="M50" s="70">
        <v>0.16</v>
      </c>
    </row>
    <row r="51" spans="11:13">
      <c r="K51" s="76">
        <v>43961</v>
      </c>
      <c r="L51" s="70">
        <v>0.5</v>
      </c>
      <c r="M51" s="70">
        <v>0.16</v>
      </c>
    </row>
    <row r="52" spans="11:13">
      <c r="K52" s="76">
        <v>43962</v>
      </c>
      <c r="L52" s="70">
        <v>0.5</v>
      </c>
      <c r="M52" s="70">
        <v>0.16</v>
      </c>
    </row>
    <row r="53" spans="11:13">
      <c r="K53" s="76">
        <v>43963</v>
      </c>
      <c r="L53" s="70">
        <v>0.5</v>
      </c>
      <c r="M53" s="70">
        <v>0.16</v>
      </c>
    </row>
    <row r="54" spans="11:13">
      <c r="K54" s="76">
        <v>43964</v>
      </c>
      <c r="L54" s="70">
        <v>0.5</v>
      </c>
      <c r="M54" s="70">
        <v>0.16</v>
      </c>
    </row>
    <row r="55" spans="11:13">
      <c r="K55" s="76">
        <v>43965</v>
      </c>
      <c r="L55" s="70">
        <v>0.5</v>
      </c>
      <c r="M55" s="70">
        <v>0.16</v>
      </c>
    </row>
    <row r="56" spans="11:13">
      <c r="K56" s="76">
        <v>43966</v>
      </c>
      <c r="L56" s="70">
        <v>0.5</v>
      </c>
      <c r="M56" s="70">
        <v>0.16</v>
      </c>
    </row>
    <row r="57" spans="11:13">
      <c r="K57" s="76">
        <v>43967</v>
      </c>
      <c r="L57" s="70">
        <v>0.5</v>
      </c>
      <c r="M57" s="70">
        <v>0.16</v>
      </c>
    </row>
    <row r="58" spans="11:13">
      <c r="K58" s="76">
        <v>43968</v>
      </c>
      <c r="L58" s="70">
        <v>0.5</v>
      </c>
      <c r="M58" s="70">
        <v>0.16</v>
      </c>
    </row>
    <row r="59" spans="11:13">
      <c r="K59" s="76">
        <v>43969</v>
      </c>
      <c r="L59" s="70">
        <v>0.5</v>
      </c>
      <c r="M59" s="70">
        <v>0.16</v>
      </c>
    </row>
    <row r="60" spans="11:13">
      <c r="K60" s="76">
        <v>43970</v>
      </c>
      <c r="L60" s="70">
        <v>0.5</v>
      </c>
      <c r="M60" s="70">
        <v>0.16</v>
      </c>
    </row>
    <row r="61" spans="11:13">
      <c r="K61" s="76">
        <v>43971</v>
      </c>
      <c r="L61" s="70">
        <v>0.5</v>
      </c>
      <c r="M61" s="70">
        <v>0.16</v>
      </c>
    </row>
    <row r="62" spans="11:13">
      <c r="K62" s="76">
        <v>43972</v>
      </c>
      <c r="L62" s="70">
        <v>0.5</v>
      </c>
      <c r="M62" s="70">
        <v>0.16</v>
      </c>
    </row>
    <row r="63" spans="11:13">
      <c r="K63" s="76">
        <v>43973</v>
      </c>
      <c r="L63" s="70">
        <v>0.5</v>
      </c>
      <c r="M63" s="70">
        <v>0.16</v>
      </c>
    </row>
    <row r="64" spans="11:13">
      <c r="K64" s="76">
        <v>43974</v>
      </c>
      <c r="L64" s="70">
        <v>0.5</v>
      </c>
      <c r="M64" s="70">
        <v>0.16</v>
      </c>
    </row>
    <row r="65" spans="11:13">
      <c r="K65" s="76">
        <v>43975</v>
      </c>
      <c r="L65" s="70">
        <v>0.5</v>
      </c>
      <c r="M65" s="70">
        <v>0.16</v>
      </c>
    </row>
    <row r="66" spans="11:13">
      <c r="K66" s="76">
        <v>43976</v>
      </c>
      <c r="L66" s="70">
        <v>0.5</v>
      </c>
      <c r="M66" s="70">
        <v>0.16</v>
      </c>
    </row>
    <row r="67" spans="11:13">
      <c r="K67" s="76">
        <v>43977</v>
      </c>
      <c r="L67" s="70">
        <v>0.5</v>
      </c>
      <c r="M67" s="70">
        <v>0.16</v>
      </c>
    </row>
    <row r="68" spans="11:13">
      <c r="K68" s="76">
        <v>43978</v>
      </c>
      <c r="L68" s="70">
        <v>0.5</v>
      </c>
      <c r="M68" s="70">
        <v>0.16</v>
      </c>
    </row>
    <row r="69" spans="11:13">
      <c r="K69" s="76">
        <v>43979</v>
      </c>
      <c r="L69" s="70">
        <v>0.5</v>
      </c>
      <c r="M69" s="70">
        <v>0.16</v>
      </c>
    </row>
    <row r="70" spans="11:13">
      <c r="K70" s="76">
        <v>43980</v>
      </c>
      <c r="L70" s="70">
        <v>0.5</v>
      </c>
      <c r="M70" s="70">
        <v>0.16</v>
      </c>
    </row>
    <row r="71" spans="11:13">
      <c r="K71" s="76">
        <v>43981</v>
      </c>
      <c r="L71" s="70">
        <v>0.5</v>
      </c>
      <c r="M71" s="70">
        <v>0.16</v>
      </c>
    </row>
    <row r="72" spans="11:13">
      <c r="K72" s="76">
        <v>43982</v>
      </c>
      <c r="L72" s="70">
        <v>0.5</v>
      </c>
      <c r="M72" s="70">
        <v>0.16</v>
      </c>
    </row>
    <row r="73" spans="11:13">
      <c r="K73" s="76">
        <v>43983</v>
      </c>
      <c r="L73" s="70">
        <v>0.5</v>
      </c>
      <c r="M73" s="70">
        <v>0.16</v>
      </c>
    </row>
    <row r="74" spans="11:13">
      <c r="K74" s="76">
        <v>43984</v>
      </c>
      <c r="L74" s="70">
        <v>0.5</v>
      </c>
      <c r="M74" s="70">
        <v>0.16</v>
      </c>
    </row>
    <row r="75" spans="11:13">
      <c r="K75" s="76">
        <v>43985</v>
      </c>
      <c r="L75" s="70">
        <v>0.5</v>
      </c>
      <c r="M75" s="70">
        <v>0.16</v>
      </c>
    </row>
    <row r="76" spans="11:13">
      <c r="K76" s="76">
        <v>43986</v>
      </c>
      <c r="L76" s="70">
        <v>0.5</v>
      </c>
      <c r="M76" s="70">
        <v>0.16</v>
      </c>
    </row>
    <row r="77" spans="11:13">
      <c r="K77" s="76">
        <v>43987</v>
      </c>
      <c r="L77" s="70">
        <v>0.5</v>
      </c>
      <c r="M77" s="70">
        <v>0.16</v>
      </c>
    </row>
    <row r="78" spans="11:13">
      <c r="K78" s="76">
        <v>43988</v>
      </c>
      <c r="L78" s="70">
        <v>0.5</v>
      </c>
      <c r="M78" s="70">
        <v>0.16</v>
      </c>
    </row>
    <row r="79" spans="11:13">
      <c r="K79" s="76">
        <v>43989</v>
      </c>
      <c r="L79" s="70">
        <v>0.5</v>
      </c>
      <c r="M79" s="70">
        <v>0.16</v>
      </c>
    </row>
    <row r="80" spans="11:13">
      <c r="K80" s="76">
        <v>43990</v>
      </c>
      <c r="L80" s="70">
        <v>0.5</v>
      </c>
      <c r="M80" s="70">
        <v>0.16</v>
      </c>
    </row>
    <row r="81" spans="11:13">
      <c r="K81" s="76">
        <v>43991</v>
      </c>
      <c r="L81" s="70">
        <v>0.5</v>
      </c>
      <c r="M81" s="70">
        <v>0.16</v>
      </c>
    </row>
    <row r="82" spans="11:13">
      <c r="K82" s="76">
        <v>43992</v>
      </c>
      <c r="L82" s="70">
        <v>0.5</v>
      </c>
      <c r="M82" s="70">
        <v>0.16</v>
      </c>
    </row>
    <row r="83" spans="11:13">
      <c r="K83" s="76">
        <v>43993</v>
      </c>
      <c r="L83" s="70">
        <v>0.5</v>
      </c>
      <c r="M83" s="70">
        <v>0.16</v>
      </c>
    </row>
    <row r="84" spans="11:13">
      <c r="K84" s="76">
        <v>43994</v>
      </c>
      <c r="L84" s="70">
        <v>0.5</v>
      </c>
      <c r="M84" s="70">
        <v>0.16</v>
      </c>
    </row>
    <row r="85" spans="11:13">
      <c r="K85" s="76">
        <v>43995</v>
      </c>
      <c r="L85" s="70">
        <v>0.5</v>
      </c>
      <c r="M85" s="70">
        <v>0.16</v>
      </c>
    </row>
    <row r="86" spans="11:13">
      <c r="K86" s="76">
        <v>43996</v>
      </c>
      <c r="L86" s="70">
        <v>0.5</v>
      </c>
      <c r="M86" s="70">
        <v>0.16</v>
      </c>
    </row>
    <row r="87" spans="11:13">
      <c r="K87" s="76">
        <v>43997</v>
      </c>
      <c r="L87" s="70">
        <v>0.5</v>
      </c>
      <c r="M87" s="70">
        <v>0.16</v>
      </c>
    </row>
    <row r="88" spans="11:13">
      <c r="K88" s="76">
        <v>43998</v>
      </c>
      <c r="L88" s="70">
        <v>0.5</v>
      </c>
      <c r="M88" s="70">
        <v>0.16</v>
      </c>
    </row>
    <row r="89" spans="11:13">
      <c r="K89" s="76">
        <v>43999</v>
      </c>
      <c r="L89" s="70">
        <v>0.5</v>
      </c>
      <c r="M89" s="70">
        <v>0.16</v>
      </c>
    </row>
    <row r="90" spans="11:13">
      <c r="K90" s="76">
        <v>44000</v>
      </c>
      <c r="L90" s="70">
        <v>0.5</v>
      </c>
      <c r="M90" s="70">
        <v>0.16</v>
      </c>
    </row>
    <row r="91" spans="11:13">
      <c r="K91" s="76">
        <v>44001</v>
      </c>
      <c r="L91" s="70">
        <v>0.5</v>
      </c>
      <c r="M91" s="70">
        <v>0.16</v>
      </c>
    </row>
    <row r="92" spans="11:13">
      <c r="K92" s="76">
        <v>44002</v>
      </c>
      <c r="L92" s="70">
        <v>0.5</v>
      </c>
      <c r="M92" s="70">
        <v>0.16</v>
      </c>
    </row>
    <row r="93" spans="11:13">
      <c r="K93" s="76">
        <v>44003</v>
      </c>
      <c r="L93" s="70">
        <v>0.5</v>
      </c>
      <c r="M93" s="70">
        <v>0.16</v>
      </c>
    </row>
    <row r="94" spans="11:13">
      <c r="K94" s="76">
        <v>44004</v>
      </c>
      <c r="L94" s="70">
        <v>0.5</v>
      </c>
      <c r="M94" s="70">
        <v>0.16</v>
      </c>
    </row>
    <row r="95" spans="11:13">
      <c r="K95" s="76">
        <v>44005</v>
      </c>
      <c r="L95" s="70">
        <v>0.5</v>
      </c>
      <c r="M95" s="70">
        <v>0.16</v>
      </c>
    </row>
    <row r="96" spans="11:13">
      <c r="K96" s="76">
        <v>44006</v>
      </c>
      <c r="L96" s="70">
        <v>0.5</v>
      </c>
      <c r="M96" s="70">
        <v>0.16</v>
      </c>
    </row>
    <row r="97" spans="11:13">
      <c r="K97" s="76">
        <v>44007</v>
      </c>
      <c r="L97" s="70">
        <v>0.5</v>
      </c>
      <c r="M97" s="70">
        <v>0.16</v>
      </c>
    </row>
    <row r="98" spans="11:13">
      <c r="K98" s="76">
        <v>44008</v>
      </c>
      <c r="L98" s="70">
        <v>0.5</v>
      </c>
      <c r="M98" s="70">
        <v>0.16</v>
      </c>
    </row>
    <row r="99" spans="11:13">
      <c r="K99" s="76">
        <v>44009</v>
      </c>
      <c r="L99" s="70">
        <v>0.5</v>
      </c>
      <c r="M99" s="70">
        <v>0.16</v>
      </c>
    </row>
    <row r="100" spans="11:13">
      <c r="K100" s="76">
        <v>44010</v>
      </c>
      <c r="L100" s="70">
        <v>0.5</v>
      </c>
      <c r="M100" s="70">
        <v>0.16</v>
      </c>
    </row>
    <row r="101" spans="11:13">
      <c r="K101" s="76">
        <v>44011</v>
      </c>
      <c r="L101" s="70">
        <v>0.5</v>
      </c>
      <c r="M101" s="70">
        <v>0.16</v>
      </c>
    </row>
    <row r="102" spans="11:13">
      <c r="K102" s="76">
        <v>44012</v>
      </c>
      <c r="L102" s="70">
        <v>0.5</v>
      </c>
      <c r="M102" s="70">
        <v>0.16</v>
      </c>
    </row>
    <row r="103" spans="11:13">
      <c r="K103" s="76">
        <v>44013</v>
      </c>
      <c r="L103" s="70">
        <v>0.5</v>
      </c>
      <c r="M103" s="70">
        <v>0.16</v>
      </c>
    </row>
    <row r="104" spans="11:13">
      <c r="K104" s="76">
        <v>44014</v>
      </c>
      <c r="L104" s="70">
        <v>0.5</v>
      </c>
      <c r="M104" s="70">
        <v>0.16</v>
      </c>
    </row>
    <row r="105" spans="11:13">
      <c r="K105" s="76">
        <v>44015</v>
      </c>
      <c r="L105" s="70">
        <v>0.5</v>
      </c>
      <c r="M105" s="70">
        <v>0.16</v>
      </c>
    </row>
    <row r="106" spans="11:13">
      <c r="K106" s="76">
        <v>44016</v>
      </c>
      <c r="L106" s="70">
        <v>0.5</v>
      </c>
      <c r="M106" s="70">
        <v>0.16</v>
      </c>
    </row>
    <row r="107" spans="11:13">
      <c r="K107" s="76">
        <v>44017</v>
      </c>
      <c r="L107" s="70">
        <v>0.5</v>
      </c>
      <c r="M107" s="70">
        <v>0.16</v>
      </c>
    </row>
    <row r="108" spans="11:13">
      <c r="K108" s="76">
        <v>44018</v>
      </c>
      <c r="L108" s="70">
        <v>0.5</v>
      </c>
      <c r="M108" s="70">
        <v>0.16</v>
      </c>
    </row>
    <row r="109" spans="11:13">
      <c r="K109" s="76">
        <v>44019</v>
      </c>
      <c r="L109" s="70">
        <v>0.5</v>
      </c>
      <c r="M109" s="70">
        <v>0.16</v>
      </c>
    </row>
    <row r="110" spans="11:13">
      <c r="K110" s="76">
        <v>44020</v>
      </c>
      <c r="L110" s="70">
        <v>0.5</v>
      </c>
      <c r="M110" s="70">
        <v>0.16</v>
      </c>
    </row>
    <row r="111" spans="11:13">
      <c r="K111" s="76">
        <v>44021</v>
      </c>
      <c r="L111" s="70">
        <v>0.5</v>
      </c>
      <c r="M111" s="70">
        <v>0.16</v>
      </c>
    </row>
    <row r="112" spans="11:13">
      <c r="K112" s="76">
        <v>44022</v>
      </c>
      <c r="L112" s="70">
        <v>0.5</v>
      </c>
      <c r="M112" s="70">
        <v>0.16</v>
      </c>
    </row>
    <row r="113" spans="11:13">
      <c r="K113" s="76">
        <v>44023</v>
      </c>
      <c r="L113" s="70">
        <v>0.5</v>
      </c>
      <c r="M113" s="70">
        <v>0.16</v>
      </c>
    </row>
    <row r="114" spans="11:13">
      <c r="K114" s="76">
        <v>44024</v>
      </c>
      <c r="L114" s="70">
        <v>0.5</v>
      </c>
      <c r="M114" s="70">
        <v>0.16</v>
      </c>
    </row>
    <row r="115" spans="11:13">
      <c r="K115" s="76">
        <v>44025</v>
      </c>
      <c r="L115" s="70">
        <v>0.5</v>
      </c>
      <c r="M115" s="70">
        <v>0.16</v>
      </c>
    </row>
    <row r="116" spans="11:13">
      <c r="K116" s="76">
        <v>44026</v>
      </c>
      <c r="L116" s="70">
        <v>0.5</v>
      </c>
      <c r="M116" s="70">
        <v>0.16</v>
      </c>
    </row>
    <row r="117" spans="11:13">
      <c r="K117" s="76">
        <v>44027</v>
      </c>
      <c r="L117" s="70">
        <v>0.5</v>
      </c>
      <c r="M117" s="70">
        <v>0.16</v>
      </c>
    </row>
    <row r="118" spans="11:13">
      <c r="K118" s="76">
        <v>44028</v>
      </c>
      <c r="L118" s="70">
        <v>0.5</v>
      </c>
      <c r="M118" s="70">
        <v>0.16</v>
      </c>
    </row>
    <row r="119" spans="11:13">
      <c r="K119" s="76">
        <v>44029</v>
      </c>
      <c r="L119" s="70">
        <v>0.5</v>
      </c>
      <c r="M119" s="70">
        <v>0.16</v>
      </c>
    </row>
    <row r="120" spans="11:13">
      <c r="K120" s="76">
        <v>44030</v>
      </c>
      <c r="L120" s="70">
        <v>0.5</v>
      </c>
      <c r="M120" s="70">
        <v>0.16</v>
      </c>
    </row>
    <row r="121" spans="11:13">
      <c r="K121" s="76">
        <v>44031</v>
      </c>
      <c r="L121" s="70">
        <v>0.5</v>
      </c>
      <c r="M121" s="70">
        <v>0.16</v>
      </c>
    </row>
    <row r="122" spans="11:13">
      <c r="K122" s="76">
        <v>44032</v>
      </c>
      <c r="L122" s="70">
        <v>0.5</v>
      </c>
      <c r="M122" s="70">
        <v>0.16</v>
      </c>
    </row>
    <row r="123" spans="11:13">
      <c r="K123" s="76">
        <v>44033</v>
      </c>
      <c r="L123" s="70">
        <v>0.5</v>
      </c>
      <c r="M123" s="70">
        <v>0.16</v>
      </c>
    </row>
    <row r="124" spans="11:13">
      <c r="K124" s="76">
        <v>44034</v>
      </c>
      <c r="L124" s="70">
        <v>0.5</v>
      </c>
      <c r="M124" s="70">
        <v>0.16</v>
      </c>
    </row>
    <row r="125" spans="11:13">
      <c r="K125" s="76">
        <v>44035</v>
      </c>
      <c r="L125" s="70">
        <v>0.5</v>
      </c>
      <c r="M125" s="70">
        <v>0.16</v>
      </c>
    </row>
    <row r="126" spans="11:13">
      <c r="K126" s="76">
        <v>44036</v>
      </c>
      <c r="L126" s="70">
        <v>0.5</v>
      </c>
      <c r="M126" s="70">
        <v>0.16</v>
      </c>
    </row>
    <row r="127" spans="11:13">
      <c r="K127" s="76">
        <v>44037</v>
      </c>
      <c r="L127" s="70">
        <v>0.5</v>
      </c>
      <c r="M127" s="70">
        <v>0.16</v>
      </c>
    </row>
    <row r="128" spans="11:13">
      <c r="K128" s="76">
        <v>44038</v>
      </c>
      <c r="L128" s="70">
        <v>0.5</v>
      </c>
      <c r="M128" s="70">
        <v>0.16</v>
      </c>
    </row>
    <row r="129" spans="11:13">
      <c r="K129" s="76">
        <v>44039</v>
      </c>
      <c r="L129" s="70">
        <v>0.5</v>
      </c>
      <c r="M129" s="70">
        <v>0.16</v>
      </c>
    </row>
    <row r="130" spans="11:13">
      <c r="K130" s="76">
        <v>44040</v>
      </c>
      <c r="L130" s="70">
        <v>0.5</v>
      </c>
      <c r="M130" s="70">
        <v>0.16</v>
      </c>
    </row>
    <row r="131" spans="11:13">
      <c r="K131" s="76">
        <v>44041</v>
      </c>
      <c r="L131" s="70">
        <v>0.5</v>
      </c>
      <c r="M131" s="70">
        <v>0.16</v>
      </c>
    </row>
    <row r="132" spans="11:13">
      <c r="K132" s="76">
        <v>44042</v>
      </c>
      <c r="L132" s="70">
        <v>0.5</v>
      </c>
      <c r="M132" s="70">
        <v>0.16</v>
      </c>
    </row>
    <row r="133" spans="11:13">
      <c r="K133" s="76">
        <v>44043</v>
      </c>
      <c r="L133" s="70">
        <v>0.5</v>
      </c>
      <c r="M133" s="70">
        <v>0.16</v>
      </c>
    </row>
    <row r="134" spans="11:13">
      <c r="K134" s="76">
        <v>44044</v>
      </c>
      <c r="L134" s="70">
        <v>0.5</v>
      </c>
      <c r="M134" s="70">
        <v>0.16</v>
      </c>
    </row>
    <row r="135" spans="11:13">
      <c r="K135" s="76">
        <v>44045</v>
      </c>
      <c r="L135" s="70">
        <v>0.5</v>
      </c>
      <c r="M135" s="70">
        <v>0.16</v>
      </c>
    </row>
    <row r="136" spans="11:13">
      <c r="K136" s="76">
        <v>44046</v>
      </c>
      <c r="L136" s="70">
        <v>0.5</v>
      </c>
      <c r="M136" s="70">
        <v>0.16</v>
      </c>
    </row>
    <row r="137" spans="11:13">
      <c r="K137" s="76">
        <v>44047</v>
      </c>
      <c r="L137" s="70">
        <v>0.5</v>
      </c>
      <c r="M137" s="70">
        <v>0.16</v>
      </c>
    </row>
    <row r="138" spans="11:13">
      <c r="K138" s="76">
        <v>44048</v>
      </c>
      <c r="L138" s="70">
        <v>0.5</v>
      </c>
      <c r="M138" s="70">
        <v>0.16</v>
      </c>
    </row>
    <row r="139" spans="11:13">
      <c r="K139" s="76">
        <v>44049</v>
      </c>
      <c r="L139" s="70">
        <v>0.5</v>
      </c>
      <c r="M139" s="70">
        <v>0.16</v>
      </c>
    </row>
    <row r="140" spans="11:13">
      <c r="K140" s="76">
        <v>44050</v>
      </c>
      <c r="L140" s="70">
        <v>0.5</v>
      </c>
      <c r="M140" s="70">
        <v>0.16</v>
      </c>
    </row>
    <row r="141" spans="11:13">
      <c r="K141" s="76">
        <v>44051</v>
      </c>
      <c r="L141" s="70">
        <v>0.5</v>
      </c>
      <c r="M141" s="70">
        <v>0.16</v>
      </c>
    </row>
    <row r="142" spans="11:13">
      <c r="K142" s="76">
        <v>44052</v>
      </c>
      <c r="L142" s="70">
        <v>0.5</v>
      </c>
      <c r="M142" s="70">
        <v>0.16</v>
      </c>
    </row>
    <row r="143" spans="11:13">
      <c r="K143" s="76">
        <v>44053</v>
      </c>
      <c r="L143" s="70">
        <v>0.5</v>
      </c>
      <c r="M143" s="70">
        <v>0.16</v>
      </c>
    </row>
    <row r="144" spans="11:13">
      <c r="K144" s="76">
        <v>44054</v>
      </c>
      <c r="L144" s="70">
        <v>0.5</v>
      </c>
      <c r="M144" s="70">
        <v>0.16</v>
      </c>
    </row>
    <row r="145" spans="11:13">
      <c r="K145" s="76">
        <v>44055</v>
      </c>
      <c r="L145" s="70">
        <v>0.5</v>
      </c>
      <c r="M145" s="70">
        <v>0.16</v>
      </c>
    </row>
    <row r="146" spans="11:13">
      <c r="K146" s="76">
        <v>44056</v>
      </c>
      <c r="L146" s="70">
        <v>0.5</v>
      </c>
      <c r="M146" s="70">
        <v>0.16</v>
      </c>
    </row>
    <row r="147" spans="11:13">
      <c r="K147" s="76">
        <v>44057</v>
      </c>
      <c r="L147" s="70">
        <v>0.5</v>
      </c>
      <c r="M147" s="70">
        <v>0.16</v>
      </c>
    </row>
    <row r="148" spans="11:13">
      <c r="K148" s="76">
        <v>44058</v>
      </c>
      <c r="L148" s="70">
        <v>0.5</v>
      </c>
      <c r="M148" s="70">
        <v>0.16</v>
      </c>
    </row>
    <row r="149" spans="11:13">
      <c r="K149" s="76">
        <v>44059</v>
      </c>
      <c r="L149" s="70">
        <v>0.5</v>
      </c>
      <c r="M149" s="70">
        <v>0.16</v>
      </c>
    </row>
    <row r="150" spans="11:13">
      <c r="K150" s="76">
        <v>44060</v>
      </c>
      <c r="L150" s="70">
        <v>0.5</v>
      </c>
      <c r="M150" s="70">
        <v>0.16</v>
      </c>
    </row>
    <row r="151" spans="11:13">
      <c r="K151" s="76">
        <v>44061</v>
      </c>
      <c r="L151" s="70">
        <v>0.5</v>
      </c>
      <c r="M151" s="70">
        <v>0.16</v>
      </c>
    </row>
    <row r="152" spans="11:13">
      <c r="K152" s="76">
        <v>44062</v>
      </c>
      <c r="L152" s="70">
        <v>0.5</v>
      </c>
      <c r="M152" s="70">
        <v>0.16</v>
      </c>
    </row>
    <row r="153" spans="11:13">
      <c r="K153" s="76">
        <v>44063</v>
      </c>
      <c r="L153" s="70">
        <v>0.5</v>
      </c>
      <c r="M153" s="70">
        <v>0.16</v>
      </c>
    </row>
    <row r="154" spans="11:13">
      <c r="K154" s="76">
        <v>44064</v>
      </c>
      <c r="L154" s="70">
        <v>0.5</v>
      </c>
      <c r="M154" s="70">
        <v>0.16</v>
      </c>
    </row>
    <row r="155" spans="11:13">
      <c r="K155" s="76">
        <v>44065</v>
      </c>
      <c r="L155" s="70">
        <v>0.5</v>
      </c>
      <c r="M155" s="70">
        <v>0.16</v>
      </c>
    </row>
    <row r="156" spans="11:13">
      <c r="K156" s="76">
        <v>44066</v>
      </c>
      <c r="L156" s="70">
        <v>0.5</v>
      </c>
      <c r="M156" s="70">
        <v>0.16</v>
      </c>
    </row>
    <row r="157" spans="11:13">
      <c r="K157" s="76">
        <v>44067</v>
      </c>
      <c r="L157" s="70">
        <v>0.5</v>
      </c>
      <c r="M157" s="70">
        <v>0.16</v>
      </c>
    </row>
    <row r="158" spans="11:13">
      <c r="K158" s="76">
        <v>44068</v>
      </c>
      <c r="L158" s="70">
        <v>0.5</v>
      </c>
      <c r="M158" s="70">
        <v>0.16</v>
      </c>
    </row>
    <row r="159" spans="11:13">
      <c r="K159" s="76">
        <v>44069</v>
      </c>
      <c r="L159" s="70">
        <v>0.5</v>
      </c>
      <c r="M159" s="70">
        <v>0.16</v>
      </c>
    </row>
    <row r="160" spans="11:13">
      <c r="K160" s="76">
        <v>44070</v>
      </c>
      <c r="L160" s="70">
        <v>0.5</v>
      </c>
      <c r="M160" s="70">
        <v>0.16</v>
      </c>
    </row>
    <row r="161" spans="11:13">
      <c r="K161" s="76">
        <v>44071</v>
      </c>
      <c r="L161" s="70">
        <v>0.5</v>
      </c>
      <c r="M161" s="70">
        <v>0.16</v>
      </c>
    </row>
    <row r="162" spans="11:13">
      <c r="K162" s="76">
        <v>44072</v>
      </c>
      <c r="L162" s="70">
        <v>0.5</v>
      </c>
      <c r="M162" s="70">
        <v>0.16</v>
      </c>
    </row>
    <row r="163" spans="11:13">
      <c r="K163" s="76">
        <v>44073</v>
      </c>
      <c r="L163" s="70">
        <v>0.5</v>
      </c>
      <c r="M163" s="70">
        <v>0.16</v>
      </c>
    </row>
    <row r="164" spans="11:13">
      <c r="K164" s="76">
        <v>44074</v>
      </c>
      <c r="L164" s="70">
        <v>0.5</v>
      </c>
      <c r="M164" s="70">
        <v>0.16</v>
      </c>
    </row>
    <row r="165" spans="11:13">
      <c r="K165" s="76">
        <v>44075</v>
      </c>
      <c r="L165" s="70">
        <v>0.5</v>
      </c>
      <c r="M165" s="70">
        <v>0.16</v>
      </c>
    </row>
    <row r="166" spans="11:13">
      <c r="K166" s="76">
        <v>44076</v>
      </c>
      <c r="L166" s="70">
        <v>0.5</v>
      </c>
      <c r="M166" s="70">
        <v>0.16</v>
      </c>
    </row>
    <row r="167" spans="11:13">
      <c r="K167" s="76">
        <v>44077</v>
      </c>
      <c r="L167" s="70">
        <v>0.5</v>
      </c>
      <c r="M167" s="70">
        <v>0.16</v>
      </c>
    </row>
    <row r="168" spans="11:13">
      <c r="K168" s="76">
        <v>44078</v>
      </c>
      <c r="L168" s="70">
        <v>0.5</v>
      </c>
      <c r="M168" s="70">
        <v>0.16</v>
      </c>
    </row>
    <row r="169" spans="11:13">
      <c r="K169" s="76">
        <v>44079</v>
      </c>
      <c r="L169" s="70">
        <v>0.5</v>
      </c>
      <c r="M169" s="70">
        <v>0.16</v>
      </c>
    </row>
    <row r="170" spans="11:13">
      <c r="K170" s="76">
        <v>44080</v>
      </c>
      <c r="L170" s="70">
        <v>0.5</v>
      </c>
      <c r="M170" s="70">
        <v>0.16</v>
      </c>
    </row>
    <row r="171" spans="11:13">
      <c r="K171" s="76">
        <v>44081</v>
      </c>
      <c r="L171" s="70">
        <v>0.5</v>
      </c>
      <c r="M171" s="70">
        <v>0.16</v>
      </c>
    </row>
    <row r="172" spans="11:13">
      <c r="K172" s="76">
        <v>44082</v>
      </c>
      <c r="L172" s="70">
        <v>0.5</v>
      </c>
      <c r="M172" s="70">
        <v>0.16</v>
      </c>
    </row>
    <row r="173" spans="11:13">
      <c r="K173" s="76">
        <v>44083</v>
      </c>
      <c r="L173" s="70">
        <v>0.5</v>
      </c>
      <c r="M173" s="70">
        <v>0.16</v>
      </c>
    </row>
    <row r="174" spans="11:13">
      <c r="K174" s="76">
        <v>44084</v>
      </c>
      <c r="L174" s="70">
        <v>0.5</v>
      </c>
      <c r="M174" s="70">
        <v>0.16</v>
      </c>
    </row>
    <row r="175" spans="11:13">
      <c r="K175" s="76">
        <v>44085</v>
      </c>
      <c r="L175" s="70">
        <v>0.5</v>
      </c>
      <c r="M175" s="70">
        <v>0.16</v>
      </c>
    </row>
    <row r="176" spans="11:13">
      <c r="K176" s="76">
        <v>44086</v>
      </c>
      <c r="L176" s="70">
        <v>0.5</v>
      </c>
      <c r="M176" s="70">
        <v>0.16</v>
      </c>
    </row>
    <row r="177" spans="11:13">
      <c r="K177" s="76">
        <v>44087</v>
      </c>
      <c r="L177" s="70">
        <v>0.5</v>
      </c>
      <c r="M177" s="70">
        <v>0.16</v>
      </c>
    </row>
    <row r="178" spans="11:13">
      <c r="K178" s="76">
        <v>44088</v>
      </c>
      <c r="L178" s="70">
        <v>0.5</v>
      </c>
      <c r="M178" s="70">
        <v>0.16</v>
      </c>
    </row>
    <row r="179" spans="11:13">
      <c r="K179" s="76">
        <v>44089</v>
      </c>
      <c r="L179" s="70">
        <v>0.5</v>
      </c>
      <c r="M179" s="70">
        <v>0.16</v>
      </c>
    </row>
    <row r="180" spans="11:13">
      <c r="K180" s="76">
        <v>44090</v>
      </c>
      <c r="L180" s="70">
        <v>0.5</v>
      </c>
      <c r="M180" s="70">
        <v>0.16</v>
      </c>
    </row>
    <row r="181" spans="11:13">
      <c r="K181" s="76">
        <v>44091</v>
      </c>
      <c r="L181" s="70">
        <v>0.5</v>
      </c>
      <c r="M181" s="70">
        <v>0.16</v>
      </c>
    </row>
    <row r="182" spans="11:13">
      <c r="K182" s="76">
        <v>44092</v>
      </c>
      <c r="L182" s="70">
        <v>0.5</v>
      </c>
      <c r="M182" s="70">
        <v>0.16</v>
      </c>
    </row>
    <row r="183" spans="11:13">
      <c r="K183" s="76">
        <v>44093</v>
      </c>
      <c r="L183" s="70">
        <v>0.5</v>
      </c>
      <c r="M183" s="70">
        <v>0.16</v>
      </c>
    </row>
    <row r="184" spans="11:13">
      <c r="K184" s="76">
        <v>44094</v>
      </c>
      <c r="L184" s="70">
        <v>0.5</v>
      </c>
      <c r="M184" s="70">
        <v>0.16</v>
      </c>
    </row>
    <row r="185" spans="11:13">
      <c r="K185" s="76">
        <v>44095</v>
      </c>
      <c r="L185" s="70">
        <v>0.5</v>
      </c>
      <c r="M185" s="70">
        <v>0.16</v>
      </c>
    </row>
    <row r="186" spans="11:13">
      <c r="K186" s="76">
        <v>44096</v>
      </c>
      <c r="L186" s="70">
        <v>0.5</v>
      </c>
      <c r="M186" s="70">
        <v>0.16</v>
      </c>
    </row>
    <row r="187" spans="11:13">
      <c r="K187" s="76">
        <v>44097</v>
      </c>
      <c r="L187" s="70">
        <v>0.5</v>
      </c>
      <c r="M187" s="70">
        <v>0.16</v>
      </c>
    </row>
    <row r="188" spans="11:13">
      <c r="K188" s="76">
        <v>44098</v>
      </c>
      <c r="L188" s="70">
        <v>0.5</v>
      </c>
      <c r="M188" s="70">
        <v>0.16</v>
      </c>
    </row>
    <row r="189" spans="11:13">
      <c r="K189" s="76">
        <v>44099</v>
      </c>
      <c r="L189" s="70">
        <v>0.5</v>
      </c>
      <c r="M189" s="70">
        <v>0.16</v>
      </c>
    </row>
    <row r="190" spans="11:13">
      <c r="K190" s="76">
        <v>44100</v>
      </c>
      <c r="L190" s="70">
        <v>0.5</v>
      </c>
      <c r="M190" s="70">
        <v>0.16</v>
      </c>
    </row>
    <row r="191" spans="11:13">
      <c r="K191" s="76">
        <v>44101</v>
      </c>
      <c r="L191" s="70">
        <v>0.5</v>
      </c>
      <c r="M191" s="70">
        <v>0.16</v>
      </c>
    </row>
    <row r="192" spans="11:13">
      <c r="K192" s="76">
        <v>44102</v>
      </c>
      <c r="L192" s="70">
        <v>0.5</v>
      </c>
      <c r="M192" s="70">
        <v>0.16</v>
      </c>
    </row>
    <row r="193" spans="11:13">
      <c r="K193" s="76">
        <v>44103</v>
      </c>
      <c r="L193" s="70">
        <v>0.5</v>
      </c>
      <c r="M193" s="70">
        <v>0.16</v>
      </c>
    </row>
    <row r="194" spans="11:13">
      <c r="K194" s="76">
        <v>44104</v>
      </c>
      <c r="L194" s="70">
        <v>0.5</v>
      </c>
      <c r="M194" s="70">
        <v>0.16</v>
      </c>
    </row>
    <row r="195" spans="11:13">
      <c r="K195" s="76">
        <v>44105</v>
      </c>
      <c r="L195" s="70">
        <v>0.5</v>
      </c>
      <c r="M195" s="70">
        <v>0.16</v>
      </c>
    </row>
    <row r="196" spans="11:13">
      <c r="K196" s="76">
        <v>44106</v>
      </c>
      <c r="L196" s="70">
        <v>0.5</v>
      </c>
      <c r="M196" s="70">
        <v>0.16</v>
      </c>
    </row>
    <row r="197" spans="11:13">
      <c r="K197" s="76">
        <v>44107</v>
      </c>
      <c r="L197" s="70">
        <v>0.5</v>
      </c>
      <c r="M197" s="70">
        <v>0.16</v>
      </c>
    </row>
    <row r="198" spans="11:13">
      <c r="K198" s="76">
        <v>44108</v>
      </c>
      <c r="L198" s="70">
        <v>0.5</v>
      </c>
      <c r="M198" s="70">
        <v>0.16</v>
      </c>
    </row>
    <row r="199" spans="11:13">
      <c r="K199" s="76">
        <v>44109</v>
      </c>
      <c r="L199" s="70">
        <v>0.5</v>
      </c>
      <c r="M199" s="70">
        <v>0.16</v>
      </c>
    </row>
    <row r="200" spans="11:13">
      <c r="K200" s="76">
        <v>44110</v>
      </c>
      <c r="L200" s="70">
        <v>0.5</v>
      </c>
      <c r="M200" s="70">
        <v>0.16</v>
      </c>
    </row>
    <row r="201" spans="11:13">
      <c r="K201" s="76">
        <v>44111</v>
      </c>
      <c r="L201" s="70">
        <v>0.5</v>
      </c>
      <c r="M201" s="70">
        <v>0.16</v>
      </c>
    </row>
    <row r="202" spans="11:13">
      <c r="K202" s="76">
        <v>44112</v>
      </c>
      <c r="L202" s="70">
        <v>0.5</v>
      </c>
      <c r="M202" s="70">
        <v>0.16</v>
      </c>
    </row>
    <row r="203" spans="11:13">
      <c r="K203" s="76">
        <v>44113</v>
      </c>
      <c r="L203" s="70">
        <v>0.5</v>
      </c>
      <c r="M203" s="70">
        <v>0.16</v>
      </c>
    </row>
    <row r="204" spans="11:13">
      <c r="K204" s="76">
        <v>44114</v>
      </c>
      <c r="L204" s="70">
        <v>0.5</v>
      </c>
      <c r="M204" s="70">
        <v>0.16</v>
      </c>
    </row>
    <row r="205" spans="11:13">
      <c r="K205" s="76">
        <v>44115</v>
      </c>
      <c r="L205" s="70">
        <v>0.5</v>
      </c>
      <c r="M205" s="70">
        <v>0.16</v>
      </c>
    </row>
    <row r="206" spans="11:13">
      <c r="K206" s="76">
        <v>44116</v>
      </c>
      <c r="L206" s="70">
        <v>0.5</v>
      </c>
      <c r="M206" s="70">
        <v>0.16</v>
      </c>
    </row>
    <row r="207" spans="11:13">
      <c r="K207" s="76">
        <v>44117</v>
      </c>
      <c r="L207" s="70">
        <v>0.5</v>
      </c>
      <c r="M207" s="70">
        <v>0.16</v>
      </c>
    </row>
    <row r="208" spans="11:13">
      <c r="K208" s="76">
        <v>44118</v>
      </c>
      <c r="L208" s="70">
        <v>0.5</v>
      </c>
      <c r="M208" s="70">
        <v>0.16</v>
      </c>
    </row>
    <row r="209" spans="11:13">
      <c r="K209" s="76">
        <v>44119</v>
      </c>
      <c r="L209" s="70">
        <v>0.5</v>
      </c>
      <c r="M209" s="70">
        <v>0.16</v>
      </c>
    </row>
    <row r="210" spans="11:13">
      <c r="K210" s="76">
        <v>44120</v>
      </c>
      <c r="L210" s="70">
        <v>0.5</v>
      </c>
      <c r="M210" s="70">
        <v>0.16</v>
      </c>
    </row>
    <row r="211" spans="11:13">
      <c r="K211" s="76">
        <v>44121</v>
      </c>
      <c r="L211" s="70">
        <v>0.5</v>
      </c>
      <c r="M211" s="70">
        <v>0.16</v>
      </c>
    </row>
    <row r="212" spans="11:13">
      <c r="K212" s="76">
        <v>44122</v>
      </c>
      <c r="L212" s="70">
        <v>0.5</v>
      </c>
      <c r="M212" s="70">
        <v>0.16</v>
      </c>
    </row>
    <row r="213" spans="11:13">
      <c r="K213" s="76">
        <v>44123</v>
      </c>
      <c r="L213" s="70">
        <v>0.5</v>
      </c>
      <c r="M213" s="70">
        <v>0.16</v>
      </c>
    </row>
    <row r="214" spans="11:13">
      <c r="K214" s="76">
        <v>44124</v>
      </c>
      <c r="L214" s="70">
        <v>0.5</v>
      </c>
      <c r="M214" s="70">
        <v>0.16</v>
      </c>
    </row>
    <row r="215" spans="11:13">
      <c r="K215" s="76">
        <v>44125</v>
      </c>
      <c r="L215" s="70">
        <v>0.5</v>
      </c>
      <c r="M215" s="70">
        <v>0.16</v>
      </c>
    </row>
    <row r="216" spans="11:13">
      <c r="K216" s="76">
        <v>44126</v>
      </c>
      <c r="L216" s="70">
        <v>0.5</v>
      </c>
      <c r="M216" s="70">
        <v>0.16</v>
      </c>
    </row>
    <row r="217" spans="11:13">
      <c r="K217" s="76">
        <v>44127</v>
      </c>
      <c r="L217" s="70">
        <v>0.5</v>
      </c>
      <c r="M217" s="70">
        <v>0.16</v>
      </c>
    </row>
    <row r="218" spans="11:13">
      <c r="K218" s="76">
        <v>44128</v>
      </c>
      <c r="L218" s="70">
        <v>0.5</v>
      </c>
      <c r="M218" s="70">
        <v>0.16</v>
      </c>
    </row>
    <row r="219" spans="11:13">
      <c r="K219" s="76">
        <v>44129</v>
      </c>
      <c r="L219" s="70">
        <v>0.5</v>
      </c>
      <c r="M219" s="70">
        <v>0.16</v>
      </c>
    </row>
    <row r="220" spans="11:13">
      <c r="K220" s="76">
        <v>44130</v>
      </c>
      <c r="L220" s="70">
        <v>0.5</v>
      </c>
      <c r="M220" s="70">
        <v>0.16</v>
      </c>
    </row>
    <row r="221" spans="11:13">
      <c r="K221" s="76">
        <v>44131</v>
      </c>
      <c r="L221" s="70">
        <v>0.5</v>
      </c>
      <c r="M221" s="70">
        <v>0.16</v>
      </c>
    </row>
    <row r="222" spans="11:13">
      <c r="K222" s="76">
        <v>44132</v>
      </c>
      <c r="L222" s="70">
        <v>0.5</v>
      </c>
      <c r="M222" s="70">
        <v>0.16</v>
      </c>
    </row>
    <row r="223" spans="11:13">
      <c r="K223" s="76">
        <v>44133</v>
      </c>
      <c r="L223" s="70">
        <v>0.5</v>
      </c>
      <c r="M223" s="70">
        <v>0.16</v>
      </c>
    </row>
    <row r="224" spans="11:13">
      <c r="K224" s="76">
        <v>44134</v>
      </c>
      <c r="L224" s="70">
        <v>0.5</v>
      </c>
      <c r="M224" s="70">
        <v>0.16</v>
      </c>
    </row>
    <row r="225" spans="11:13">
      <c r="K225" s="76">
        <v>44135</v>
      </c>
      <c r="L225" s="70">
        <v>0.5</v>
      </c>
      <c r="M225" s="70">
        <v>0.16</v>
      </c>
    </row>
    <row r="226" spans="11:13">
      <c r="K226" s="76">
        <v>44136</v>
      </c>
      <c r="L226" s="70">
        <v>0.5</v>
      </c>
      <c r="M226" s="70">
        <v>0.16</v>
      </c>
    </row>
    <row r="227" spans="11:13">
      <c r="K227" s="76">
        <v>44137</v>
      </c>
      <c r="L227" s="70">
        <v>0.5</v>
      </c>
      <c r="M227" s="70">
        <v>0.16</v>
      </c>
    </row>
    <row r="228" spans="11:13">
      <c r="K228" s="76">
        <v>44138</v>
      </c>
      <c r="L228" s="70">
        <v>0.5</v>
      </c>
      <c r="M228" s="70">
        <v>0.16</v>
      </c>
    </row>
    <row r="229" spans="11:13">
      <c r="K229" s="76">
        <v>44139</v>
      </c>
      <c r="L229" s="70">
        <v>0.5</v>
      </c>
      <c r="M229" s="70">
        <v>0.16</v>
      </c>
    </row>
    <row r="230" spans="11:13">
      <c r="K230" s="76">
        <v>44140</v>
      </c>
      <c r="L230" s="70">
        <v>0.5</v>
      </c>
      <c r="M230" s="70">
        <v>0.16</v>
      </c>
    </row>
    <row r="231" spans="11:13">
      <c r="K231" s="76">
        <v>44141</v>
      </c>
      <c r="L231" s="70">
        <v>0.5</v>
      </c>
      <c r="M231" s="70">
        <v>0.16</v>
      </c>
    </row>
    <row r="232" spans="11:13">
      <c r="K232" s="76">
        <v>44142</v>
      </c>
      <c r="L232" s="70">
        <v>0.5</v>
      </c>
      <c r="M232" s="70">
        <v>0.16</v>
      </c>
    </row>
    <row r="233" spans="11:13">
      <c r="K233" s="76">
        <v>44143</v>
      </c>
      <c r="L233" s="70">
        <v>0.5</v>
      </c>
      <c r="M233" s="70">
        <v>0.16</v>
      </c>
    </row>
    <row r="234" spans="11:13">
      <c r="K234" s="76">
        <v>44144</v>
      </c>
      <c r="L234" s="70">
        <v>0.5</v>
      </c>
      <c r="M234" s="70">
        <v>0.16</v>
      </c>
    </row>
    <row r="235" spans="11:13">
      <c r="K235" s="76">
        <v>44145</v>
      </c>
      <c r="L235" s="70">
        <v>0.5</v>
      </c>
      <c r="M235" s="70">
        <v>0.16</v>
      </c>
    </row>
    <row r="236" spans="11:13">
      <c r="K236" s="76">
        <v>44146</v>
      </c>
      <c r="L236" s="70">
        <v>0.5</v>
      </c>
      <c r="M236" s="70">
        <v>0.16</v>
      </c>
    </row>
    <row r="237" spans="11:13">
      <c r="K237" s="76">
        <v>44147</v>
      </c>
      <c r="L237" s="70">
        <v>0.5</v>
      </c>
      <c r="M237" s="70">
        <v>0.16</v>
      </c>
    </row>
    <row r="238" spans="11:13">
      <c r="K238" s="76">
        <v>44148</v>
      </c>
      <c r="L238" s="70">
        <v>0.5</v>
      </c>
      <c r="M238" s="70">
        <v>0.16</v>
      </c>
    </row>
    <row r="239" spans="11:13">
      <c r="K239" s="76">
        <v>44149</v>
      </c>
      <c r="L239" s="70">
        <v>0.5</v>
      </c>
      <c r="M239" s="70">
        <v>0.16</v>
      </c>
    </row>
    <row r="240" spans="11:13">
      <c r="K240" s="76">
        <v>44150</v>
      </c>
      <c r="L240" s="70">
        <v>0.5</v>
      </c>
      <c r="M240" s="70">
        <v>0.16</v>
      </c>
    </row>
    <row r="241" spans="11:13">
      <c r="K241" s="76">
        <v>44151</v>
      </c>
      <c r="L241" s="70">
        <v>0.5</v>
      </c>
      <c r="M241" s="70">
        <v>0.16</v>
      </c>
    </row>
    <row r="242" spans="11:13">
      <c r="K242" s="76">
        <v>44152</v>
      </c>
      <c r="L242" s="70">
        <v>0.5</v>
      </c>
      <c r="M242" s="70">
        <v>0.16</v>
      </c>
    </row>
    <row r="243" spans="11:13">
      <c r="K243" s="76">
        <v>44153</v>
      </c>
      <c r="L243" s="70">
        <v>0.5</v>
      </c>
      <c r="M243" s="70">
        <v>0.16</v>
      </c>
    </row>
    <row r="244" spans="11:13">
      <c r="K244" s="76">
        <v>44154</v>
      </c>
      <c r="L244" s="70">
        <v>0.5</v>
      </c>
      <c r="M244" s="70">
        <v>0.16</v>
      </c>
    </row>
    <row r="245" spans="11:13">
      <c r="K245" s="76">
        <v>44155</v>
      </c>
      <c r="L245" s="70">
        <v>0.5</v>
      </c>
      <c r="M245" s="70">
        <v>0.16</v>
      </c>
    </row>
    <row r="246" spans="11:13">
      <c r="K246" s="76">
        <v>44156</v>
      </c>
      <c r="L246" s="70">
        <v>0.5</v>
      </c>
      <c r="M246" s="70">
        <v>0.16</v>
      </c>
    </row>
    <row r="247" spans="11:13">
      <c r="K247" s="76">
        <v>44157</v>
      </c>
      <c r="L247" s="70">
        <v>0.5</v>
      </c>
      <c r="M247" s="70">
        <v>0.16</v>
      </c>
    </row>
    <row r="248" spans="11:13">
      <c r="K248" s="76">
        <v>44158</v>
      </c>
      <c r="L248" s="70">
        <v>0.5</v>
      </c>
      <c r="M248" s="70">
        <v>0.16</v>
      </c>
    </row>
    <row r="249" spans="11:13">
      <c r="K249" s="76">
        <v>44159</v>
      </c>
      <c r="L249" s="70">
        <v>0.5</v>
      </c>
      <c r="M249" s="70">
        <v>0.16</v>
      </c>
    </row>
    <row r="250" spans="11:13">
      <c r="K250" s="76">
        <v>44160</v>
      </c>
      <c r="L250" s="70">
        <v>0.5</v>
      </c>
      <c r="M250" s="70">
        <v>0.16</v>
      </c>
    </row>
    <row r="251" spans="11:13">
      <c r="K251" s="76">
        <v>44161</v>
      </c>
      <c r="L251" s="70">
        <v>0.5</v>
      </c>
      <c r="M251" s="70">
        <v>0.16</v>
      </c>
    </row>
    <row r="252" spans="11:13">
      <c r="K252" s="76">
        <v>44162</v>
      </c>
      <c r="L252" s="70">
        <v>0.5</v>
      </c>
      <c r="M252" s="70">
        <v>0.16</v>
      </c>
    </row>
    <row r="253" spans="11:13">
      <c r="K253" s="76">
        <v>44163</v>
      </c>
      <c r="L253" s="70">
        <v>0.5</v>
      </c>
      <c r="M253" s="70">
        <v>0.16</v>
      </c>
    </row>
    <row r="254" spans="11:13">
      <c r="K254" s="76">
        <v>44164</v>
      </c>
      <c r="L254" s="70">
        <v>0.5</v>
      </c>
      <c r="M254" s="70">
        <v>0.16</v>
      </c>
    </row>
    <row r="255" spans="11:13">
      <c r="K255" s="76">
        <v>44165</v>
      </c>
      <c r="L255" s="70">
        <v>0.5</v>
      </c>
      <c r="M255" s="70">
        <v>0.16</v>
      </c>
    </row>
    <row r="256" spans="11:13">
      <c r="K256" s="76">
        <v>44166</v>
      </c>
      <c r="L256" s="70">
        <v>0.5</v>
      </c>
      <c r="M256" s="70">
        <v>0.16</v>
      </c>
    </row>
    <row r="257" spans="11:13">
      <c r="K257" s="76">
        <v>44167</v>
      </c>
      <c r="L257" s="70">
        <v>0.5</v>
      </c>
      <c r="M257" s="70">
        <v>0.16</v>
      </c>
    </row>
    <row r="258" spans="11:13">
      <c r="K258" s="76">
        <v>44168</v>
      </c>
      <c r="L258" s="70">
        <v>0.5</v>
      </c>
      <c r="M258" s="70">
        <v>0.16</v>
      </c>
    </row>
    <row r="259" spans="11:13">
      <c r="K259" s="76">
        <v>44169</v>
      </c>
      <c r="L259" s="70">
        <v>0.5</v>
      </c>
      <c r="M259" s="70">
        <v>0.16</v>
      </c>
    </row>
    <row r="260" spans="11:13">
      <c r="K260" s="76">
        <v>44170</v>
      </c>
      <c r="L260" s="70">
        <v>0.5</v>
      </c>
      <c r="M260" s="70">
        <v>0.16</v>
      </c>
    </row>
    <row r="261" spans="11:13">
      <c r="K261" s="76">
        <v>44171</v>
      </c>
      <c r="L261" s="70">
        <v>0.5</v>
      </c>
      <c r="M261" s="70">
        <v>0.16</v>
      </c>
    </row>
    <row r="262" spans="11:13">
      <c r="K262" s="76">
        <v>44172</v>
      </c>
      <c r="L262" s="70">
        <v>0.5</v>
      </c>
      <c r="M262" s="70">
        <v>0.16</v>
      </c>
    </row>
    <row r="263" spans="11:13">
      <c r="K263" s="76">
        <v>44173</v>
      </c>
      <c r="L263" s="70">
        <v>0.5</v>
      </c>
      <c r="M263" s="70">
        <v>0.16</v>
      </c>
    </row>
    <row r="264" spans="11:13">
      <c r="K264" s="76">
        <v>44174</v>
      </c>
      <c r="L264" s="70">
        <v>0.5</v>
      </c>
      <c r="M264" s="70">
        <v>0.16</v>
      </c>
    </row>
    <row r="265" spans="11:13">
      <c r="K265" s="76">
        <v>44175</v>
      </c>
      <c r="L265" s="70">
        <v>0.5</v>
      </c>
      <c r="M265" s="70">
        <v>0.16</v>
      </c>
    </row>
    <row r="266" spans="11:13">
      <c r="K266" s="76">
        <v>44176</v>
      </c>
      <c r="L266" s="70">
        <v>0.5</v>
      </c>
      <c r="M266" s="70">
        <v>0.16</v>
      </c>
    </row>
    <row r="267" spans="11:13">
      <c r="K267" s="76">
        <v>44177</v>
      </c>
      <c r="L267" s="70">
        <v>0.5</v>
      </c>
      <c r="M267" s="70">
        <v>0.16</v>
      </c>
    </row>
    <row r="268" spans="11:13">
      <c r="K268" s="76">
        <v>44178</v>
      </c>
      <c r="L268" s="70">
        <v>0.5</v>
      </c>
      <c r="M268" s="70">
        <v>0.16</v>
      </c>
    </row>
    <row r="269" spans="11:13">
      <c r="K269" s="76">
        <v>44179</v>
      </c>
      <c r="L269" s="70">
        <v>0.5</v>
      </c>
      <c r="M269" s="70">
        <v>0.16</v>
      </c>
    </row>
    <row r="270" spans="11:13">
      <c r="K270" s="76">
        <v>44180</v>
      </c>
      <c r="L270" s="70">
        <v>0.5</v>
      </c>
      <c r="M270" s="70">
        <v>0.16</v>
      </c>
    </row>
    <row r="271" spans="11:13">
      <c r="K271" s="76">
        <v>44181</v>
      </c>
      <c r="L271" s="70">
        <v>0.5</v>
      </c>
      <c r="M271" s="70">
        <v>0.16</v>
      </c>
    </row>
    <row r="272" spans="11:13">
      <c r="K272" s="76">
        <v>44182</v>
      </c>
      <c r="L272" s="70">
        <v>0.5</v>
      </c>
      <c r="M272" s="70">
        <v>0.16</v>
      </c>
    </row>
    <row r="273" spans="11:13">
      <c r="K273" s="76">
        <v>44183</v>
      </c>
      <c r="L273" s="70">
        <v>0.5</v>
      </c>
      <c r="M273" s="70">
        <v>0.16</v>
      </c>
    </row>
    <row r="274" spans="11:13">
      <c r="K274" s="76">
        <v>44184</v>
      </c>
      <c r="L274" s="70">
        <v>0.5</v>
      </c>
      <c r="M274" s="70">
        <v>0.16</v>
      </c>
    </row>
    <row r="275" spans="11:13">
      <c r="K275" s="76">
        <v>44185</v>
      </c>
      <c r="L275" s="70">
        <v>0.5</v>
      </c>
      <c r="M275" s="70">
        <v>0.16</v>
      </c>
    </row>
    <row r="276" spans="11:13">
      <c r="K276" s="76">
        <v>44186</v>
      </c>
      <c r="L276" s="70">
        <v>0.5</v>
      </c>
      <c r="M276" s="70">
        <v>0.16</v>
      </c>
    </row>
    <row r="277" spans="11:13">
      <c r="K277" s="76">
        <v>44187</v>
      </c>
      <c r="L277" s="70">
        <v>0.5</v>
      </c>
      <c r="M277" s="70">
        <v>0.16</v>
      </c>
    </row>
    <row r="278" spans="11:13">
      <c r="K278" s="76">
        <v>44188</v>
      </c>
      <c r="L278" s="70">
        <v>0.5</v>
      </c>
      <c r="M278" s="70">
        <v>0.16</v>
      </c>
    </row>
    <row r="279" spans="11:13">
      <c r="K279" s="76">
        <v>44189</v>
      </c>
      <c r="L279" s="70">
        <v>0.5</v>
      </c>
      <c r="M279" s="70">
        <v>0.16</v>
      </c>
    </row>
    <row r="280" spans="11:13">
      <c r="K280" s="76">
        <v>44190</v>
      </c>
      <c r="L280" s="70">
        <v>0.5</v>
      </c>
      <c r="M280" s="70">
        <v>0.16</v>
      </c>
    </row>
    <row r="281" spans="11:13">
      <c r="K281" s="76">
        <v>44191</v>
      </c>
      <c r="L281" s="70">
        <v>0.5</v>
      </c>
      <c r="M281" s="70">
        <v>0.16</v>
      </c>
    </row>
    <row r="282" spans="11:13">
      <c r="K282" s="76">
        <v>44192</v>
      </c>
      <c r="L282" s="70">
        <v>0.5</v>
      </c>
      <c r="M282" s="70">
        <v>0.16</v>
      </c>
    </row>
    <row r="283" spans="11:13">
      <c r="K283" s="76">
        <v>44193</v>
      </c>
      <c r="L283" s="70">
        <v>0.5</v>
      </c>
      <c r="M283" s="70">
        <v>0.16</v>
      </c>
    </row>
    <row r="284" spans="11:13">
      <c r="K284" s="76">
        <v>44194</v>
      </c>
      <c r="L284" s="70">
        <v>0.5</v>
      </c>
      <c r="M284" s="70">
        <v>0.16</v>
      </c>
    </row>
    <row r="285" spans="11:13">
      <c r="K285" s="76">
        <v>44195</v>
      </c>
      <c r="L285" s="70">
        <v>0.5</v>
      </c>
      <c r="M285" s="70">
        <v>0.16</v>
      </c>
    </row>
    <row r="286" spans="11:13">
      <c r="K286" s="76">
        <v>44196</v>
      </c>
      <c r="L286" s="70">
        <v>0.5</v>
      </c>
      <c r="M286" s="70">
        <v>0.16</v>
      </c>
    </row>
    <row r="287" spans="11:13">
      <c r="K287" s="76">
        <v>44197</v>
      </c>
      <c r="L287" s="70">
        <v>0.5</v>
      </c>
      <c r="M287" s="70">
        <v>0.16</v>
      </c>
    </row>
    <row r="288" spans="11:13">
      <c r="K288" s="76">
        <v>44198</v>
      </c>
      <c r="L288" s="70">
        <v>0.5</v>
      </c>
      <c r="M288" s="70">
        <v>0.16</v>
      </c>
    </row>
    <row r="289" spans="11:13">
      <c r="K289" s="76">
        <v>44199</v>
      </c>
      <c r="L289" s="70">
        <v>0.5</v>
      </c>
      <c r="M289" s="70">
        <v>0.16</v>
      </c>
    </row>
    <row r="290" spans="11:13">
      <c r="K290" s="76">
        <v>44200</v>
      </c>
      <c r="L290" s="70">
        <v>0.5</v>
      </c>
      <c r="M290" s="70">
        <v>0.16</v>
      </c>
    </row>
    <row r="291" spans="11:13">
      <c r="K291" s="76">
        <v>44201</v>
      </c>
      <c r="L291" s="70">
        <v>0.5</v>
      </c>
      <c r="M291" s="70">
        <v>0.16</v>
      </c>
    </row>
    <row r="292" spans="11:13">
      <c r="K292" s="76">
        <v>44202</v>
      </c>
      <c r="L292" s="70">
        <v>0.5</v>
      </c>
      <c r="M292" s="70">
        <v>0.16</v>
      </c>
    </row>
    <row r="293" spans="11:13">
      <c r="K293" s="76">
        <v>44203</v>
      </c>
      <c r="L293" s="70">
        <v>0.5</v>
      </c>
      <c r="M293" s="70">
        <v>0.16</v>
      </c>
    </row>
    <row r="294" spans="11:13">
      <c r="K294" s="76">
        <v>44204</v>
      </c>
      <c r="L294" s="70">
        <v>0.5</v>
      </c>
      <c r="M294" s="70">
        <v>0.16</v>
      </c>
    </row>
    <row r="295" spans="11:13">
      <c r="K295" s="76">
        <v>44205</v>
      </c>
      <c r="L295" s="70">
        <v>0.5</v>
      </c>
      <c r="M295" s="70">
        <v>0.16</v>
      </c>
    </row>
    <row r="296" spans="11:13">
      <c r="K296" s="76">
        <v>44206</v>
      </c>
      <c r="L296" s="70">
        <v>0.5</v>
      </c>
      <c r="M296" s="70">
        <v>0.16</v>
      </c>
    </row>
    <row r="297" spans="11:13">
      <c r="K297" s="76">
        <v>44207</v>
      </c>
      <c r="L297" s="70">
        <v>0.5</v>
      </c>
      <c r="M297" s="70">
        <v>0.16</v>
      </c>
    </row>
    <row r="298" spans="11:13">
      <c r="K298" s="76">
        <v>44208</v>
      </c>
      <c r="L298" s="70">
        <v>0.5</v>
      </c>
      <c r="M298" s="70">
        <v>0.16</v>
      </c>
    </row>
    <row r="299" spans="11:13">
      <c r="K299" s="76">
        <v>44209</v>
      </c>
      <c r="L299" s="70">
        <v>0.5</v>
      </c>
      <c r="M299" s="70">
        <v>0.16</v>
      </c>
    </row>
    <row r="300" spans="11:13">
      <c r="K300" s="76">
        <v>44210</v>
      </c>
      <c r="L300" s="70">
        <v>0.5</v>
      </c>
      <c r="M300" s="70">
        <v>0.16</v>
      </c>
    </row>
    <row r="301" spans="11:13">
      <c r="K301" s="76">
        <v>44211</v>
      </c>
      <c r="L301" s="70">
        <v>0.5</v>
      </c>
      <c r="M301" s="70">
        <v>0.16</v>
      </c>
    </row>
    <row r="302" spans="11:13">
      <c r="K302" s="76">
        <v>44212</v>
      </c>
      <c r="L302" s="70">
        <v>0.5</v>
      </c>
      <c r="M302" s="70">
        <v>0.16</v>
      </c>
    </row>
    <row r="303" spans="11:13">
      <c r="K303" s="76">
        <v>44213</v>
      </c>
      <c r="L303" s="70">
        <v>0.5</v>
      </c>
      <c r="M303" s="70">
        <v>0.16</v>
      </c>
    </row>
    <row r="304" spans="11:13">
      <c r="K304" s="76">
        <v>44214</v>
      </c>
      <c r="L304" s="70">
        <v>0.5</v>
      </c>
      <c r="M304" s="70">
        <v>0.16</v>
      </c>
    </row>
    <row r="305" spans="11:13">
      <c r="K305" s="76">
        <v>44215</v>
      </c>
      <c r="L305" s="70">
        <v>0.5</v>
      </c>
      <c r="M305" s="70">
        <v>0.16</v>
      </c>
    </row>
    <row r="306" spans="11:13">
      <c r="K306" s="76">
        <v>44216</v>
      </c>
      <c r="L306" s="70">
        <v>0.5</v>
      </c>
      <c r="M306" s="70">
        <v>0.16</v>
      </c>
    </row>
    <row r="307" spans="11:13">
      <c r="K307" s="76">
        <v>44217</v>
      </c>
      <c r="L307" s="70">
        <v>0.5</v>
      </c>
      <c r="M307" s="70">
        <v>0.16</v>
      </c>
    </row>
    <row r="308" spans="11:13">
      <c r="K308" s="76">
        <v>44218</v>
      </c>
      <c r="L308" s="70">
        <v>0.5</v>
      </c>
      <c r="M308" s="70">
        <v>0.16</v>
      </c>
    </row>
    <row r="309" spans="11:13">
      <c r="K309" s="76">
        <v>44219</v>
      </c>
      <c r="L309" s="70">
        <v>0.5</v>
      </c>
      <c r="M309" s="70">
        <v>0.16</v>
      </c>
    </row>
    <row r="310" spans="11:13">
      <c r="K310" s="76">
        <v>44220</v>
      </c>
      <c r="L310" s="70">
        <v>0.5</v>
      </c>
      <c r="M310" s="70">
        <v>0.16</v>
      </c>
    </row>
    <row r="311" spans="11:13">
      <c r="K311" s="76">
        <v>44221</v>
      </c>
      <c r="L311" s="70">
        <v>0.5</v>
      </c>
      <c r="M311" s="70">
        <v>0.16</v>
      </c>
    </row>
    <row r="312" spans="11:13">
      <c r="K312" s="76">
        <v>44222</v>
      </c>
      <c r="L312" s="70">
        <v>0.5</v>
      </c>
      <c r="M312" s="70">
        <v>0.16</v>
      </c>
    </row>
    <row r="313" spans="11:13">
      <c r="K313" s="76">
        <v>44223</v>
      </c>
      <c r="L313" s="70">
        <v>0.5</v>
      </c>
      <c r="M313" s="70">
        <v>0.16</v>
      </c>
    </row>
    <row r="314" spans="11:13">
      <c r="K314" s="76">
        <v>44224</v>
      </c>
      <c r="L314" s="70">
        <v>0.5</v>
      </c>
      <c r="M314" s="70">
        <v>0.16</v>
      </c>
    </row>
    <row r="315" spans="11:13">
      <c r="K315" s="76">
        <v>44225</v>
      </c>
      <c r="L315" s="70">
        <v>0.5</v>
      </c>
      <c r="M315" s="70">
        <v>0.16</v>
      </c>
    </row>
    <row r="316" spans="11:13">
      <c r="K316" s="76">
        <v>44226</v>
      </c>
      <c r="L316" s="70">
        <v>0.5</v>
      </c>
      <c r="M316" s="70">
        <v>0.16</v>
      </c>
    </row>
    <row r="317" spans="11:13">
      <c r="K317" s="76">
        <v>44227</v>
      </c>
      <c r="L317" s="70">
        <v>0.5</v>
      </c>
      <c r="M317" s="70">
        <v>0.16</v>
      </c>
    </row>
    <row r="318" spans="11:13">
      <c r="K318" s="76">
        <v>44228</v>
      </c>
      <c r="L318" s="70">
        <v>0.5</v>
      </c>
      <c r="M318" s="70">
        <v>0.16</v>
      </c>
    </row>
    <row r="319" spans="11:13">
      <c r="K319" s="76">
        <v>44229</v>
      </c>
      <c r="L319" s="70">
        <v>0.5</v>
      </c>
      <c r="M319" s="70">
        <v>0.16</v>
      </c>
    </row>
    <row r="320" spans="11:13">
      <c r="K320" s="76">
        <v>44230</v>
      </c>
      <c r="L320" s="70">
        <v>0.5</v>
      </c>
      <c r="M320" s="70">
        <v>0.16</v>
      </c>
    </row>
    <row r="321" spans="11:13">
      <c r="K321" s="76">
        <v>44231</v>
      </c>
      <c r="L321" s="70">
        <v>0.5</v>
      </c>
      <c r="M321" s="70">
        <v>0.16</v>
      </c>
    </row>
    <row r="322" spans="11:13">
      <c r="K322" s="76">
        <v>44232</v>
      </c>
      <c r="L322" s="70">
        <v>0.5</v>
      </c>
      <c r="M322" s="70">
        <v>0.16</v>
      </c>
    </row>
    <row r="323" spans="11:13">
      <c r="K323" s="76">
        <v>44233</v>
      </c>
      <c r="L323" s="70">
        <v>0.5</v>
      </c>
      <c r="M323" s="70">
        <v>0.16</v>
      </c>
    </row>
    <row r="324" spans="11:13">
      <c r="K324" s="76">
        <v>44234</v>
      </c>
      <c r="L324" s="70">
        <v>0.5</v>
      </c>
      <c r="M324" s="70">
        <v>0.16</v>
      </c>
    </row>
    <row r="325" spans="11:13">
      <c r="K325" s="76">
        <v>44235</v>
      </c>
      <c r="L325" s="70">
        <v>0.5</v>
      </c>
      <c r="M325" s="70">
        <v>0.16</v>
      </c>
    </row>
    <row r="326" spans="11:13">
      <c r="K326" s="76">
        <v>44236</v>
      </c>
      <c r="L326" s="70">
        <v>0.5</v>
      </c>
      <c r="M326" s="70">
        <v>0.16</v>
      </c>
    </row>
    <row r="327" spans="11:13">
      <c r="K327" s="76">
        <v>44237</v>
      </c>
      <c r="L327" s="70">
        <v>0.5</v>
      </c>
      <c r="M327" s="70">
        <v>0.16</v>
      </c>
    </row>
    <row r="328" spans="11:13">
      <c r="K328" s="76">
        <v>44238</v>
      </c>
      <c r="L328" s="70">
        <v>0.5</v>
      </c>
      <c r="M328" s="70">
        <v>0.16</v>
      </c>
    </row>
    <row r="329" spans="11:13">
      <c r="K329" s="76">
        <v>44239</v>
      </c>
      <c r="L329" s="70">
        <v>0.5</v>
      </c>
      <c r="M329" s="70">
        <v>0.16</v>
      </c>
    </row>
    <row r="330" spans="11:13">
      <c r="K330" s="76">
        <v>44240</v>
      </c>
      <c r="L330" s="70">
        <v>0.5</v>
      </c>
      <c r="M330" s="70">
        <v>0.16</v>
      </c>
    </row>
    <row r="331" spans="11:13">
      <c r="K331" s="76">
        <v>44241</v>
      </c>
      <c r="L331" s="70">
        <v>0.5</v>
      </c>
      <c r="M331" s="70">
        <v>0.16</v>
      </c>
    </row>
    <row r="332" spans="11:13">
      <c r="K332" s="76">
        <v>44242</v>
      </c>
      <c r="L332" s="70">
        <v>0.5</v>
      </c>
      <c r="M332" s="70">
        <v>0.16</v>
      </c>
    </row>
    <row r="333" spans="11:13">
      <c r="K333" s="76">
        <v>44243</v>
      </c>
      <c r="L333" s="70">
        <v>0.5</v>
      </c>
      <c r="M333" s="70">
        <v>0.16</v>
      </c>
    </row>
    <row r="334" spans="11:13">
      <c r="K334" s="76">
        <v>44244</v>
      </c>
      <c r="L334" s="70">
        <v>0.5</v>
      </c>
      <c r="M334" s="70">
        <v>0.16</v>
      </c>
    </row>
    <row r="335" spans="11:13">
      <c r="K335" s="76">
        <v>44245</v>
      </c>
      <c r="L335" s="70">
        <v>0.5</v>
      </c>
      <c r="M335" s="70">
        <v>0.16</v>
      </c>
    </row>
    <row r="336" spans="11:13">
      <c r="K336" s="76">
        <v>44246</v>
      </c>
      <c r="L336" s="70">
        <v>0.5</v>
      </c>
      <c r="M336" s="70">
        <v>0.16</v>
      </c>
    </row>
    <row r="337" spans="11:13">
      <c r="K337" s="76">
        <v>44247</v>
      </c>
      <c r="L337" s="70">
        <v>0.5</v>
      </c>
      <c r="M337" s="70">
        <v>0.16</v>
      </c>
    </row>
    <row r="338" spans="11:13">
      <c r="K338" s="76">
        <v>44248</v>
      </c>
      <c r="L338" s="70">
        <v>0.5</v>
      </c>
      <c r="M338" s="70">
        <v>0.16</v>
      </c>
    </row>
    <row r="339" spans="11:13">
      <c r="K339" s="76">
        <v>44249</v>
      </c>
      <c r="L339" s="70">
        <v>0.5</v>
      </c>
      <c r="M339" s="70">
        <v>0.16</v>
      </c>
    </row>
    <row r="340" spans="11:13">
      <c r="K340" s="76">
        <v>44250</v>
      </c>
      <c r="L340" s="70">
        <v>0.5</v>
      </c>
      <c r="M340" s="70">
        <v>0.16</v>
      </c>
    </row>
    <row r="341" spans="11:13">
      <c r="K341" s="76">
        <v>44251</v>
      </c>
      <c r="L341" s="70">
        <v>0.5</v>
      </c>
      <c r="M341" s="70">
        <v>0.16</v>
      </c>
    </row>
    <row r="342" spans="11:13">
      <c r="K342" s="76">
        <v>44252</v>
      </c>
      <c r="L342" s="70">
        <v>0.5</v>
      </c>
      <c r="M342" s="70">
        <v>0.16</v>
      </c>
    </row>
    <row r="343" spans="11:13">
      <c r="K343" s="76">
        <v>44253</v>
      </c>
      <c r="L343" s="70">
        <v>0.5</v>
      </c>
      <c r="M343" s="70">
        <v>0.16</v>
      </c>
    </row>
    <row r="344" spans="11:13">
      <c r="K344" s="76">
        <v>44254</v>
      </c>
      <c r="L344" s="70">
        <v>0.5</v>
      </c>
      <c r="M344" s="70">
        <v>0.16</v>
      </c>
    </row>
    <row r="345" spans="11:13">
      <c r="K345" s="76">
        <v>44255</v>
      </c>
      <c r="L345" s="70">
        <v>0.5</v>
      </c>
      <c r="M345" s="70">
        <v>0.16</v>
      </c>
    </row>
    <row r="346" spans="11:13">
      <c r="K346" s="76">
        <v>44256</v>
      </c>
      <c r="L346" s="70">
        <v>0.5</v>
      </c>
      <c r="M346" s="70">
        <v>0.16</v>
      </c>
    </row>
    <row r="347" spans="11:13">
      <c r="K347" s="76">
        <v>44257</v>
      </c>
      <c r="L347" s="70">
        <v>0.5</v>
      </c>
      <c r="M347" s="70">
        <v>0.16</v>
      </c>
    </row>
    <row r="348" spans="11:13">
      <c r="K348" s="76">
        <v>44258</v>
      </c>
      <c r="L348" s="70">
        <v>0.5</v>
      </c>
      <c r="M348" s="70">
        <v>0.16</v>
      </c>
    </row>
    <row r="349" spans="11:13">
      <c r="K349" s="76">
        <v>44259</v>
      </c>
      <c r="L349" s="70">
        <v>0.5</v>
      </c>
      <c r="M349" s="70">
        <v>0.16</v>
      </c>
    </row>
    <row r="350" spans="11:13">
      <c r="K350" s="76">
        <v>44260</v>
      </c>
      <c r="L350" s="70">
        <v>0.5</v>
      </c>
      <c r="M350" s="70">
        <v>0.16</v>
      </c>
    </row>
    <row r="351" spans="11:13">
      <c r="K351" s="76">
        <v>44261</v>
      </c>
      <c r="L351" s="70">
        <v>0.5</v>
      </c>
      <c r="M351" s="70">
        <v>0.16</v>
      </c>
    </row>
    <row r="352" spans="11:13">
      <c r="K352" s="76">
        <v>44262</v>
      </c>
      <c r="L352" s="70">
        <v>0.5</v>
      </c>
      <c r="M352" s="70">
        <v>0.16</v>
      </c>
    </row>
    <row r="353" spans="11:13">
      <c r="K353" s="76">
        <v>44263</v>
      </c>
      <c r="L353" s="70">
        <v>0.5</v>
      </c>
      <c r="M353" s="70">
        <v>0.16</v>
      </c>
    </row>
    <row r="354" spans="11:13">
      <c r="K354" s="76">
        <v>44264</v>
      </c>
      <c r="L354" s="70">
        <v>0.5</v>
      </c>
      <c r="M354" s="70">
        <v>0.16</v>
      </c>
    </row>
    <row r="355" spans="11:13">
      <c r="K355" s="76">
        <v>44265</v>
      </c>
      <c r="L355" s="70">
        <v>0.5</v>
      </c>
      <c r="M355" s="70">
        <v>0.16</v>
      </c>
    </row>
    <row r="356" spans="11:13">
      <c r="K356" s="76">
        <v>44266</v>
      </c>
      <c r="L356" s="70">
        <v>0.5</v>
      </c>
      <c r="M356" s="70">
        <v>0.16</v>
      </c>
    </row>
    <row r="357" spans="11:13">
      <c r="K357" s="76">
        <v>44267</v>
      </c>
      <c r="L357" s="70">
        <v>0.5</v>
      </c>
      <c r="M357" s="70">
        <v>0.16</v>
      </c>
    </row>
    <row r="358" spans="11:13">
      <c r="K358" s="76">
        <v>44268</v>
      </c>
      <c r="L358" s="70">
        <v>0.5</v>
      </c>
      <c r="M358" s="70">
        <v>0.16</v>
      </c>
    </row>
    <row r="359" spans="11:13">
      <c r="K359" s="76">
        <v>44269</v>
      </c>
      <c r="L359" s="70">
        <v>0.5</v>
      </c>
      <c r="M359" s="70">
        <v>0.16</v>
      </c>
    </row>
    <row r="360" spans="11:13">
      <c r="K360" s="76">
        <v>44270</v>
      </c>
      <c r="L360" s="70">
        <v>0.5</v>
      </c>
      <c r="M360" s="70">
        <v>0.16</v>
      </c>
    </row>
    <row r="361" spans="11:13">
      <c r="K361" s="76">
        <v>44271</v>
      </c>
      <c r="L361" s="70">
        <v>0.5</v>
      </c>
      <c r="M361" s="70">
        <v>0.16</v>
      </c>
    </row>
    <row r="362" spans="11:13">
      <c r="K362" s="76">
        <v>44272</v>
      </c>
      <c r="L362" s="70">
        <v>0.5</v>
      </c>
      <c r="M362" s="70">
        <v>0.16</v>
      </c>
    </row>
    <row r="363" spans="11:13">
      <c r="K363" s="76">
        <v>44273</v>
      </c>
      <c r="L363" s="70">
        <v>0.5</v>
      </c>
      <c r="M363" s="70">
        <v>0.16</v>
      </c>
    </row>
    <row r="364" spans="11:13">
      <c r="K364" s="76">
        <v>44274</v>
      </c>
      <c r="L364" s="70">
        <v>0.5</v>
      </c>
      <c r="M364" s="70">
        <v>0.16</v>
      </c>
    </row>
    <row r="365" spans="11:13">
      <c r="K365" s="76">
        <v>44275</v>
      </c>
      <c r="L365" s="70">
        <v>0.5</v>
      </c>
      <c r="M365" s="70">
        <v>0.16</v>
      </c>
    </row>
    <row r="366" spans="11:13">
      <c r="K366" s="76">
        <v>44276</v>
      </c>
      <c r="L366" s="70">
        <v>0.5</v>
      </c>
      <c r="M366" s="70">
        <v>0.16</v>
      </c>
    </row>
    <row r="367" spans="11:13">
      <c r="K367" s="76">
        <v>44277</v>
      </c>
      <c r="L367" s="70">
        <v>0.5</v>
      </c>
      <c r="M367" s="70">
        <v>0.16</v>
      </c>
    </row>
    <row r="368" spans="11:13">
      <c r="K368" s="76">
        <v>44278</v>
      </c>
      <c r="L368" s="70">
        <v>0.5</v>
      </c>
      <c r="M368" s="70">
        <v>0.16</v>
      </c>
    </row>
    <row r="369" spans="11:13">
      <c r="K369" s="76">
        <v>44279</v>
      </c>
      <c r="L369" s="70">
        <v>0.5</v>
      </c>
      <c r="M369" s="70">
        <v>0.16</v>
      </c>
    </row>
    <row r="370" spans="11:13">
      <c r="K370" s="76">
        <v>44280</v>
      </c>
      <c r="L370" s="70">
        <v>0.5</v>
      </c>
      <c r="M370" s="70">
        <v>0.16</v>
      </c>
    </row>
    <row r="371" spans="11:13">
      <c r="K371" s="76">
        <v>44281</v>
      </c>
      <c r="L371" s="70">
        <v>0.5</v>
      </c>
      <c r="M371" s="70">
        <v>0.16</v>
      </c>
    </row>
    <row r="372" spans="11:13">
      <c r="K372" s="76">
        <v>44282</v>
      </c>
      <c r="L372" s="70">
        <v>0.5</v>
      </c>
      <c r="M372" s="70">
        <v>0.16</v>
      </c>
    </row>
    <row r="373" spans="11:13">
      <c r="K373" s="76">
        <v>44283</v>
      </c>
      <c r="L373" s="70">
        <v>0.5</v>
      </c>
      <c r="M373" s="70">
        <v>0.16</v>
      </c>
    </row>
    <row r="374" spans="11:13">
      <c r="K374" s="76">
        <v>44284</v>
      </c>
      <c r="L374" s="70">
        <v>0.5</v>
      </c>
      <c r="M374" s="70">
        <v>0.16</v>
      </c>
    </row>
    <row r="375" spans="11:13">
      <c r="K375" s="76">
        <v>44285</v>
      </c>
      <c r="L375" s="70">
        <v>0.5</v>
      </c>
      <c r="M375" s="70">
        <v>0.16</v>
      </c>
    </row>
    <row r="376" spans="11:13">
      <c r="K376" s="76">
        <v>44286</v>
      </c>
      <c r="L376" s="70">
        <v>0.5</v>
      </c>
      <c r="M376" s="70">
        <v>0.16</v>
      </c>
    </row>
    <row r="377" spans="11:13">
      <c r="K377" s="76">
        <v>44287</v>
      </c>
      <c r="L377" s="70">
        <v>0.5</v>
      </c>
      <c r="M377" s="70">
        <v>0.16</v>
      </c>
    </row>
    <row r="378" spans="11:13">
      <c r="K378" s="76">
        <v>44288</v>
      </c>
      <c r="L378" s="70">
        <v>0.5</v>
      </c>
      <c r="M378" s="70">
        <v>0.16</v>
      </c>
    </row>
    <row r="379" spans="11:13">
      <c r="K379" s="76">
        <v>44289</v>
      </c>
      <c r="L379" s="70">
        <v>0.5</v>
      </c>
      <c r="M379" s="70">
        <v>0.16</v>
      </c>
    </row>
    <row r="380" spans="11:13">
      <c r="K380" s="76">
        <v>44290</v>
      </c>
      <c r="L380" s="70">
        <v>0.5</v>
      </c>
      <c r="M380" s="70">
        <v>0.16</v>
      </c>
    </row>
    <row r="381" spans="11:13">
      <c r="K381" s="76">
        <v>44291</v>
      </c>
      <c r="L381" s="70">
        <v>0.5</v>
      </c>
      <c r="M381" s="70">
        <v>0.16</v>
      </c>
    </row>
    <row r="382" spans="11:13">
      <c r="K382" s="76">
        <v>44292</v>
      </c>
      <c r="L382" s="70">
        <v>0.5</v>
      </c>
      <c r="M382" s="70">
        <v>0.16</v>
      </c>
    </row>
    <row r="383" spans="11:13">
      <c r="K383" s="76">
        <v>44293</v>
      </c>
      <c r="L383" s="70">
        <v>0.5</v>
      </c>
      <c r="M383" s="70">
        <v>0.16</v>
      </c>
    </row>
    <row r="384" spans="11:13">
      <c r="K384" s="76">
        <v>44294</v>
      </c>
      <c r="L384" s="70">
        <v>0.5</v>
      </c>
      <c r="M384" s="70">
        <v>0.16</v>
      </c>
    </row>
    <row r="385" spans="11:13">
      <c r="K385" s="76">
        <v>44295</v>
      </c>
      <c r="L385" s="70">
        <v>0.5</v>
      </c>
      <c r="M385" s="70">
        <v>0.16</v>
      </c>
    </row>
    <row r="386" spans="11:13">
      <c r="K386" s="76">
        <v>44296</v>
      </c>
      <c r="L386" s="70">
        <v>0.5</v>
      </c>
      <c r="M386" s="70">
        <v>0.16</v>
      </c>
    </row>
    <row r="387" spans="11:13">
      <c r="K387" s="76">
        <v>44297</v>
      </c>
      <c r="L387" s="70">
        <v>0.5</v>
      </c>
      <c r="M387" s="70">
        <v>0.16</v>
      </c>
    </row>
    <row r="388" spans="11:13">
      <c r="K388" s="76">
        <v>44298</v>
      </c>
      <c r="L388" s="70">
        <v>0.5</v>
      </c>
      <c r="M388" s="70">
        <v>0.16</v>
      </c>
    </row>
    <row r="389" spans="11:13">
      <c r="K389" s="76">
        <v>44299</v>
      </c>
      <c r="L389" s="70">
        <v>0.5</v>
      </c>
      <c r="M389" s="70">
        <v>0.16</v>
      </c>
    </row>
    <row r="390" spans="11:13">
      <c r="K390" s="76">
        <v>44300</v>
      </c>
      <c r="L390" s="70">
        <v>0.5</v>
      </c>
      <c r="M390" s="70">
        <v>0.16</v>
      </c>
    </row>
    <row r="391" spans="11:13">
      <c r="K391" s="76">
        <v>44301</v>
      </c>
      <c r="L391" s="70">
        <v>0.5</v>
      </c>
      <c r="M391" s="70">
        <v>0.16</v>
      </c>
    </row>
    <row r="392" spans="11:13">
      <c r="K392" s="76">
        <v>44302</v>
      </c>
      <c r="L392" s="70">
        <v>0.5</v>
      </c>
      <c r="M392" s="70">
        <v>0.16</v>
      </c>
    </row>
    <row r="393" spans="11:13">
      <c r="K393" s="76">
        <v>44303</v>
      </c>
      <c r="L393" s="70">
        <v>0.5</v>
      </c>
      <c r="M393" s="70">
        <v>0.16</v>
      </c>
    </row>
    <row r="394" spans="11:13">
      <c r="K394" s="76">
        <v>44304</v>
      </c>
      <c r="L394" s="70">
        <v>0.5</v>
      </c>
      <c r="M394" s="70">
        <v>0.16</v>
      </c>
    </row>
    <row r="395" spans="11:13">
      <c r="K395" s="76">
        <v>44305</v>
      </c>
      <c r="L395" s="70">
        <v>0.5</v>
      </c>
      <c r="M395" s="70">
        <v>0.16</v>
      </c>
    </row>
    <row r="396" spans="11:13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M9" sqref="M9"/>
    </sheetView>
  </sheetViews>
  <sheetFormatPr baseColWidth="10" defaultRowHeight="16"/>
  <cols>
    <col min="12" max="12" width="16.1640625" customWidth="1"/>
  </cols>
  <sheetData>
    <row r="7" spans="12:13">
      <c r="L7" s="33" t="s">
        <v>63</v>
      </c>
      <c r="M7" s="79">
        <f>compute!B61-compute!B54</f>
        <v>64</v>
      </c>
    </row>
    <row r="8" spans="12:13">
      <c r="L8" s="33" t="s">
        <v>64</v>
      </c>
      <c r="M8" s="79">
        <f>compute!B67-compute!B61</f>
        <v>47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>
      <c r="A6" s="17"/>
      <c r="B6" s="24"/>
      <c r="C6" s="59">
        <f ca="1">compute!U9</f>
        <v>861</v>
      </c>
      <c r="D6" s="24"/>
      <c r="E6" s="17"/>
      <c r="F6" s="18"/>
      <c r="G6" s="82">
        <f ca="1">compute!U12</f>
        <v>2609.090909090909</v>
      </c>
      <c r="H6" s="22"/>
      <c r="I6" s="21"/>
    </row>
    <row r="7" spans="1:12" s="50" customFormat="1" ht="35" customHeight="1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>
      <c r="A8" s="43"/>
      <c r="B8" s="44"/>
      <c r="C8" s="45" t="str">
        <f ca="1">compute!V80</f>
        <v>doubing in 39.4 days</v>
      </c>
      <c r="D8" s="44"/>
      <c r="E8" s="43"/>
      <c r="F8" s="46"/>
      <c r="G8" s="47" t="str">
        <f ca="1">compute!V82</f>
        <v>+1.8% per day</v>
      </c>
      <c r="H8" s="48"/>
      <c r="I8" s="49"/>
    </row>
    <row r="9" spans="1:12" ht="2" customHeight="1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>
      <c r="A10" s="17"/>
      <c r="B10" s="17"/>
      <c r="C10" s="17"/>
      <c r="D10" s="17"/>
      <c r="E10" s="17"/>
      <c r="F10" s="17"/>
      <c r="G10" s="17"/>
      <c r="H10" s="21"/>
      <c r="I10" s="21"/>
    </row>
    <row r="11" spans="1:1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>
      <c r="A14" s="17"/>
      <c r="B14" s="18"/>
      <c r="C14" s="20">
        <f ca="1">compute!U15</f>
        <v>2.8446879664743116E-2</v>
      </c>
      <c r="D14" s="18"/>
      <c r="E14" s="17"/>
      <c r="F14" s="18"/>
      <c r="G14" s="19">
        <f ca="1">compute!U18</f>
        <v>18.261423593827775</v>
      </c>
      <c r="H14" s="22"/>
      <c r="I14" s="21"/>
    </row>
    <row r="15" spans="1:12" ht="32" customHeight="1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84"/>
  <sheetViews>
    <sheetView workbookViewId="0">
      <selection sqref="A1:B67"/>
    </sheetView>
  </sheetViews>
  <sheetFormatPr baseColWidth="10" defaultRowHeight="16"/>
  <cols>
    <col min="1" max="1" width="15.1640625" style="92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>
      <c r="A1" s="89" t="s">
        <v>40</v>
      </c>
      <c r="B1" s="83" t="s">
        <v>42</v>
      </c>
      <c r="C1" s="71"/>
    </row>
    <row r="2" spans="1:24" ht="17">
      <c r="A2" s="89" t="s">
        <v>41</v>
      </c>
      <c r="B2" s="84">
        <v>91718</v>
      </c>
      <c r="C2" s="72"/>
    </row>
    <row r="3" spans="1:24">
      <c r="A3" s="89" t="s">
        <v>43</v>
      </c>
      <c r="B3" s="85" t="s">
        <v>35</v>
      </c>
      <c r="C3" s="71"/>
    </row>
    <row r="4" spans="1:24" s="2" customFormat="1" ht="81" customHeight="1" thickBot="1">
      <c r="A4" s="90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>
      <c r="A5" s="91">
        <v>43913</v>
      </c>
      <c r="B5" s="86">
        <v>33</v>
      </c>
      <c r="C5" s="74">
        <f>Table2[[#This Row],[cases]]/$B$2</f>
        <v>3.5979851283281364E-4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100</v>
      </c>
      <c r="G5" s="56">
        <f>Table2[[#This Row],[cases]]*100/$T$13</f>
        <v>84.615384615384613</v>
      </c>
      <c r="H5" s="56">
        <f>Table2[[#This Row],[cases]]*100/$T$16</f>
        <v>122.22222222222223</v>
      </c>
      <c r="I5" s="56">
        <f>Table2[[#This Row],[infection count, high end of estimate range]]-Table2[[#This Row],[infection count, low end of estimate range]]</f>
        <v>37.606837606837615</v>
      </c>
      <c r="J5" s="56">
        <f>(Table2[[#This Row],[infection count, low end of estimate range]]+Table2[[#This Row],[infection count, high end of estimate range]])/2</f>
        <v>103.41880341880342</v>
      </c>
      <c r="K5" s="26">
        <f>Table2[[#This Row],[estimated infections]]/$T$6</f>
        <v>1.0902985237357988E-3</v>
      </c>
      <c r="L5" s="26">
        <f>Table2[[#This Row],[infection count, low end of estimate range]]/$T$6</f>
        <v>9.2256028931490667E-4</v>
      </c>
      <c r="M5" s="26">
        <f>Table2[[#This Row],[infection count, high end of estimate range]]/$T$6</f>
        <v>1.3325870845659765E-3</v>
      </c>
      <c r="N5" s="14">
        <f>Table2[[#This Row],[infection percentage, high end of estimate range]]-Table2[[#This Row],[infection percentage, low end of estimate range]]</f>
        <v>4.1002679525106982E-4</v>
      </c>
      <c r="O5" s="26">
        <f>(Table2[[#This Row],[infection percentage, low end of estimate range]]+Table2[[#This Row],[infection percentage, high end of estimate range]])/2</f>
        <v>1.1275736869404416E-3</v>
      </c>
      <c r="P5" s="12">
        <f>$T$6/(Table2[[#This Row],[cases]]*5)</f>
        <v>555.86666666666667</v>
      </c>
      <c r="Q5" s="12">
        <f>$T$6/(Table2[[#This Row],[cases]]*7)</f>
        <v>397.04761904761904</v>
      </c>
      <c r="R5" s="3">
        <f>Table2[[#This Row],[1-in-X odds, estimating 5x cases infected]]-Table2[[#This Row],[1-in-X odds, estimating 7x cases infected]]</f>
        <v>158.81904761904764</v>
      </c>
      <c r="S5" s="5">
        <f>(Table2[[#This Row],[1-in-X odds, estimating 5x cases infected]]+Table2[[#This Row],[1-in-X odds, estimating 7x cases infected]])/2</f>
        <v>476.45714285714286</v>
      </c>
      <c r="T5" s="11" t="s">
        <v>11</v>
      </c>
      <c r="U5" s="11" t="s">
        <v>26</v>
      </c>
      <c r="V5" s="3"/>
      <c r="X5" s="1" t="s">
        <v>46</v>
      </c>
    </row>
    <row r="6" spans="1:24">
      <c r="A6" s="91">
        <v>43914</v>
      </c>
      <c r="B6" s="86">
        <v>46</v>
      </c>
      <c r="C6" s="71">
        <f>Table2[[#This Row],[cases]]/$B$2</f>
        <v>5.0153732091846751E-4</v>
      </c>
      <c r="D6" s="26">
        <f>(Table2[[#This Row],[cases]]-B5)/B5</f>
        <v>0.39393939393939392</v>
      </c>
      <c r="E6" s="38">
        <f t="shared" si="0"/>
        <v>2.0869514258092652</v>
      </c>
      <c r="F6" s="81">
        <f>Table2[[#This Row],[cases]]*100/$T$19</f>
        <v>139.39393939393941</v>
      </c>
      <c r="G6" s="56">
        <f>Table2[[#This Row],[cases]]*100/$T$13</f>
        <v>117.94871794871794</v>
      </c>
      <c r="H6" s="56">
        <f>Table2[[#This Row],[cases]]*100/$T$16</f>
        <v>170.37037037037038</v>
      </c>
      <c r="I6" s="56">
        <f>Table2[[#This Row],[infection count, high end of estimate range]]-Table2[[#This Row],[infection count, low end of estimate range]]</f>
        <v>52.421652421652439</v>
      </c>
      <c r="J6" s="56">
        <f>(Table2[[#This Row],[infection count, low end of estimate range]]+Table2[[#This Row],[infection count, high end of estimate range]])/2</f>
        <v>144.15954415954417</v>
      </c>
      <c r="K6" s="26">
        <f>Table2[[#This Row],[estimated infections]]/$T$6</f>
        <v>1.5198100633892955E-3</v>
      </c>
      <c r="L6" s="26">
        <f>Table2[[#This Row],[infection count, low end of estimate range]]/$T$6</f>
        <v>1.2859931305601729E-3</v>
      </c>
      <c r="M6" s="26">
        <f>Table2[[#This Row],[infection count, high end of estimate range]]/$T$6</f>
        <v>1.8575456330313612E-3</v>
      </c>
      <c r="N6" s="14">
        <f>Table2[[#This Row],[infection percentage, high end of estimate range]]-Table2[[#This Row],[infection percentage, low end of estimate range]]</f>
        <v>5.7155250247118827E-4</v>
      </c>
      <c r="O6" s="26">
        <f>(Table2[[#This Row],[infection percentage, low end of estimate range]]+Table2[[#This Row],[infection percentage, high end of estimate range]])/2</f>
        <v>1.5717693817957671E-3</v>
      </c>
      <c r="P6" s="12">
        <f>$T$6/(Table2[[#This Row],[cases]]*5)</f>
        <v>398.77391304347827</v>
      </c>
      <c r="Q6" s="12">
        <f>$T$6/(Table2[[#This Row],[cases]]*7)</f>
        <v>284.83850931677017</v>
      </c>
      <c r="R6" s="3">
        <f>Table2[[#This Row],[1-in-X odds, estimating 5x cases infected]]-Table2[[#This Row],[1-in-X odds, estimating 7x cases infected]]</f>
        <v>113.9354037267081</v>
      </c>
      <c r="S6" s="3">
        <f>(Table2[[#This Row],[1-in-X odds, estimating 5x cases infected]]+Table2[[#This Row],[1-in-X odds, estimating 7x cases infected]])/2</f>
        <v>341.80621118012425</v>
      </c>
      <c r="T6" s="3">
        <f>B2</f>
        <v>91718</v>
      </c>
      <c r="U6" s="29">
        <f ca="1">OFFSET(compute!A5,COUNTA(compute!A5:A10045)-1,0)</f>
        <v>43976</v>
      </c>
      <c r="V6" s="3"/>
      <c r="X6" t="str">
        <f>"Number of Confirmed COVID-19 Cases " &amp; B1</f>
        <v>Number of Confirmed COVID-19 Cases Miami Beach</v>
      </c>
    </row>
    <row r="7" spans="1:24">
      <c r="A7" s="91">
        <v>43915</v>
      </c>
      <c r="B7" s="86">
        <v>63</v>
      </c>
      <c r="C7" s="71">
        <f>Table2[[#This Row],[cases]]/$B$2</f>
        <v>6.8688806995355323E-4</v>
      </c>
      <c r="D7" s="26">
        <f>(Table2[[#This Row],[cases]]-B6)/B6</f>
        <v>0.36956521739130432</v>
      </c>
      <c r="E7" s="38">
        <f t="shared" si="0"/>
        <v>2.2040123419309841</v>
      </c>
      <c r="F7" s="81">
        <f>Table2[[#This Row],[cases]]*100/$T$19</f>
        <v>190.90909090909091</v>
      </c>
      <c r="G7" s="56">
        <f>Table2[[#This Row],[cases]]*100/$T$13</f>
        <v>161.53846153846155</v>
      </c>
      <c r="H7" s="56">
        <f>Table2[[#This Row],[cases]]*100/$T$16</f>
        <v>233.33333333333334</v>
      </c>
      <c r="I7" s="56">
        <f>Table2[[#This Row],[infection count, high end of estimate range]]-Table2[[#This Row],[infection count, low end of estimate range]]</f>
        <v>71.794871794871796</v>
      </c>
      <c r="J7" s="56">
        <f>(Table2[[#This Row],[infection count, low end of estimate range]]+Table2[[#This Row],[infection count, high end of estimate range]])/2</f>
        <v>197.43589743589746</v>
      </c>
      <c r="K7" s="26">
        <f>Table2[[#This Row],[estimated infections]]/$T$6</f>
        <v>2.0814789998592521E-3</v>
      </c>
      <c r="L7" s="26">
        <f>Table2[[#This Row],[infection count, low end of estimate range]]/$T$6</f>
        <v>1.7612514614193675E-3</v>
      </c>
      <c r="M7" s="26">
        <f>Table2[[#This Row],[infection count, high end of estimate range]]/$T$6</f>
        <v>2.5440298887168642E-3</v>
      </c>
      <c r="N7" s="14">
        <f>Table2[[#This Row],[infection percentage, high end of estimate range]]-Table2[[#This Row],[infection percentage, low end of estimate range]]</f>
        <v>7.8277842729749668E-4</v>
      </c>
      <c r="O7" s="26">
        <f>(Table2[[#This Row],[infection percentage, low end of estimate range]]+Table2[[#This Row],[infection percentage, high end of estimate range]])/2</f>
        <v>2.1526406750681159E-3</v>
      </c>
      <c r="P7" s="12">
        <f>$T$6/(Table2[[#This Row],[cases]]*5)</f>
        <v>291.16825396825396</v>
      </c>
      <c r="Q7" s="12">
        <f>$T$6/(Table2[[#This Row],[cases]]*7)</f>
        <v>207.97732426303855</v>
      </c>
      <c r="R7" s="3">
        <f>Table2[[#This Row],[1-in-X odds, estimating 5x cases infected]]-Table2[[#This Row],[1-in-X odds, estimating 7x cases infected]]</f>
        <v>83.19092970521541</v>
      </c>
      <c r="S7" s="3">
        <f>(Table2[[#This Row],[1-in-X odds, estimating 5x cases infected]]+Table2[[#This Row],[1-in-X odds, estimating 7x cases infected]])/2</f>
        <v>249.57278911564626</v>
      </c>
      <c r="V7" s="3"/>
    </row>
    <row r="8" spans="1:24">
      <c r="A8" s="91">
        <v>43916</v>
      </c>
      <c r="B8" s="86">
        <v>76</v>
      </c>
      <c r="C8" s="71">
        <f>Table2[[#This Row],[cases]]/$B$2</f>
        <v>8.2862687803920716E-4</v>
      </c>
      <c r="D8" s="26">
        <f>(Table2[[#This Row],[cases]]-B7)/B7</f>
        <v>0.20634920634920634</v>
      </c>
      <c r="E8" s="38">
        <f t="shared" si="0"/>
        <v>3.6948416950918879</v>
      </c>
      <c r="F8" s="81">
        <f>Table2[[#This Row],[cases]]*100/$T$19</f>
        <v>230.30303030303031</v>
      </c>
      <c r="G8" s="56">
        <f>Table2[[#This Row],[cases]]*100/$T$13</f>
        <v>194.87179487179486</v>
      </c>
      <c r="H8" s="56">
        <f>Table2[[#This Row],[cases]]*100/$T$16</f>
        <v>281.48148148148147</v>
      </c>
      <c r="I8" s="56">
        <f>Table2[[#This Row],[infection count, high end of estimate range]]-Table2[[#This Row],[infection count, low end of estimate range]]</f>
        <v>86.609686609686605</v>
      </c>
      <c r="J8" s="56">
        <f>(Table2[[#This Row],[infection count, low end of estimate range]]+Table2[[#This Row],[infection count, high end of estimate range]])/2</f>
        <v>238.17663817663816</v>
      </c>
      <c r="K8" s="26">
        <f>Table2[[#This Row],[estimated infections]]/$T$6</f>
        <v>2.510990539512749E-3</v>
      </c>
      <c r="L8" s="26">
        <f>Table2[[#This Row],[infection count, low end of estimate range]]/$T$6</f>
        <v>2.1246843026646338E-3</v>
      </c>
      <c r="M8" s="26">
        <f>Table2[[#This Row],[infection count, high end of estimate range]]/$T$6</f>
        <v>3.0689884371822487E-3</v>
      </c>
      <c r="N8" s="14">
        <f>Table2[[#This Row],[infection percentage, high end of estimate range]]-Table2[[#This Row],[infection percentage, low end of estimate range]]</f>
        <v>9.4430413451761491E-4</v>
      </c>
      <c r="O8" s="26">
        <f>(Table2[[#This Row],[infection percentage, low end of estimate range]]+Table2[[#This Row],[infection percentage, high end of estimate range]])/2</f>
        <v>2.5968363699234412E-3</v>
      </c>
      <c r="P8" s="12">
        <f>$T$6/(Table2[[#This Row],[cases]]*5)</f>
        <v>241.36315789473684</v>
      </c>
      <c r="Q8" s="12">
        <f>$T$6/(Table2[[#This Row],[cases]]*7)</f>
        <v>172.40225563909775</v>
      </c>
      <c r="R8" s="3">
        <f>Table2[[#This Row],[1-in-X odds, estimating 5x cases infected]]-Table2[[#This Row],[1-in-X odds, estimating 7x cases infected]]</f>
        <v>68.960902255639098</v>
      </c>
      <c r="S8" s="3">
        <f>(Table2[[#This Row],[1-in-X odds, estimating 5x cases infected]]+Table2[[#This Row],[1-in-X odds, estimating 7x cases infected]])/2</f>
        <v>206.88270676691729</v>
      </c>
      <c r="T8" s="34" t="s">
        <v>33</v>
      </c>
      <c r="U8" s="34" t="s">
        <v>25</v>
      </c>
      <c r="V8" s="3"/>
    </row>
    <row r="9" spans="1:24">
      <c r="A9" s="91">
        <v>43917</v>
      </c>
      <c r="B9" s="86">
        <v>90</v>
      </c>
      <c r="C9" s="71">
        <f>Table2[[#This Row],[cases]]/$B$2</f>
        <v>9.8126867136221906E-4</v>
      </c>
      <c r="D9" s="26">
        <f>(Table2[[#This Row],[cases]]-B8)/B8</f>
        <v>0.18421052631578946</v>
      </c>
      <c r="E9" s="38">
        <f t="shared" si="0"/>
        <v>4.0996109885980694</v>
      </c>
      <c r="F9" s="81">
        <f>Table2[[#This Row],[cases]]*100/$T$19</f>
        <v>272.72727272727275</v>
      </c>
      <c r="G9" s="56">
        <f>Table2[[#This Row],[cases]]*100/$T$13</f>
        <v>230.76923076923077</v>
      </c>
      <c r="H9" s="56">
        <f>Table2[[#This Row],[cases]]*100/$T$16</f>
        <v>333.33333333333331</v>
      </c>
      <c r="I9" s="56">
        <f>Table2[[#This Row],[infection count, high end of estimate range]]-Table2[[#This Row],[infection count, low end of estimate range]]</f>
        <v>102.56410256410254</v>
      </c>
      <c r="J9" s="56">
        <f>(Table2[[#This Row],[infection count, low end of estimate range]]+Table2[[#This Row],[infection count, high end of estimate range]])/2</f>
        <v>282.05128205128204</v>
      </c>
      <c r="K9" s="26">
        <f>Table2[[#This Row],[estimated infections]]/$T$6</f>
        <v>2.9735414283703606E-3</v>
      </c>
      <c r="L9" s="26">
        <f>Table2[[#This Row],[infection count, low end of estimate range]]/$T$6</f>
        <v>2.516073516313382E-3</v>
      </c>
      <c r="M9" s="26">
        <f>Table2[[#This Row],[infection count, high end of estimate range]]/$T$6</f>
        <v>3.6343284124526628E-3</v>
      </c>
      <c r="N9" s="14">
        <f>Table2[[#This Row],[infection percentage, high end of estimate range]]-Table2[[#This Row],[infection percentage, low end of estimate range]]</f>
        <v>1.1182548961392808E-3</v>
      </c>
      <c r="O9" s="26">
        <f>(Table2[[#This Row],[infection percentage, low end of estimate range]]+Table2[[#This Row],[infection percentage, high end of estimate range]])/2</f>
        <v>3.0752009643830224E-3</v>
      </c>
      <c r="P9" s="12">
        <f>$T$6/(Table2[[#This Row],[cases]]*5)</f>
        <v>203.81777777777779</v>
      </c>
      <c r="Q9" s="12">
        <f>$T$6/(Table2[[#This Row],[cases]]*7)</f>
        <v>145.58412698412698</v>
      </c>
      <c r="R9" s="3">
        <f>Table2[[#This Row],[1-in-X odds, estimating 5x cases infected]]-Table2[[#This Row],[1-in-X odds, estimating 7x cases infected]]</f>
        <v>58.23365079365081</v>
      </c>
      <c r="S9" s="3">
        <f>(Table2[[#This Row],[1-in-X odds, estimating 5x cases infected]]+Table2[[#This Row],[1-in-X odds, estimating 7x cases infected]])/2</f>
        <v>174.7009523809524</v>
      </c>
      <c r="T9" s="34" t="str">
        <f>B3</f>
        <v>evening</v>
      </c>
      <c r="U9" s="3">
        <f ca="1">OFFSET(compute!B4,COUNTA(compute!B4:B10045)-1,0)</f>
        <v>861</v>
      </c>
      <c r="V9" s="3"/>
    </row>
    <row r="10" spans="1:24">
      <c r="A10" s="91">
        <v>43918</v>
      </c>
      <c r="B10" s="86">
        <v>118</v>
      </c>
      <c r="C10" s="71">
        <f>Table2[[#This Row],[cases]]/$B$2</f>
        <v>1.2865522580082426E-3</v>
      </c>
      <c r="D10" s="26">
        <f>(Table2[[#This Row],[cases]]-B9)/B9</f>
        <v>0.31111111111111112</v>
      </c>
      <c r="E10" s="38">
        <f t="shared" si="0"/>
        <v>2.55891942011541</v>
      </c>
      <c r="F10" s="81">
        <f>Table2[[#This Row],[cases]]*100/$T$19</f>
        <v>357.57575757575756</v>
      </c>
      <c r="G10" s="56">
        <f>Table2[[#This Row],[cases]]*100/$T$13</f>
        <v>302.56410256410254</v>
      </c>
      <c r="H10" s="56">
        <f>Table2[[#This Row],[cases]]*100/$T$16</f>
        <v>437.03703703703701</v>
      </c>
      <c r="I10" s="56">
        <f>Table2[[#This Row],[infection count, high end of estimate range]]-Table2[[#This Row],[infection count, low end of estimate range]]</f>
        <v>134.47293447293447</v>
      </c>
      <c r="J10" s="56">
        <f>(Table2[[#This Row],[infection count, low end of estimate range]]+Table2[[#This Row],[infection count, high end of estimate range]])/2</f>
        <v>369.80056980056975</v>
      </c>
      <c r="K10" s="26">
        <f>Table2[[#This Row],[estimated infections]]/$T$6</f>
        <v>3.8986432060855837E-3</v>
      </c>
      <c r="L10" s="26">
        <f>Table2[[#This Row],[infection count, low end of estimate range]]/$T$6</f>
        <v>3.2988519436108785E-3</v>
      </c>
      <c r="M10" s="26">
        <f>Table2[[#This Row],[infection count, high end of estimate range]]/$T$6</f>
        <v>4.7650083629934914E-3</v>
      </c>
      <c r="N10" s="14">
        <f>Table2[[#This Row],[infection percentage, high end of estimate range]]-Table2[[#This Row],[infection percentage, low end of estimate range]]</f>
        <v>1.466156419382613E-3</v>
      </c>
      <c r="O10" s="26">
        <f>(Table2[[#This Row],[infection percentage, low end of estimate range]]+Table2[[#This Row],[infection percentage, high end of estimate range]])/2</f>
        <v>4.0319301533021847E-3</v>
      </c>
      <c r="P10" s="12">
        <f>$T$6/(Table2[[#This Row],[cases]]*5)</f>
        <v>155.4542372881356</v>
      </c>
      <c r="Q10" s="12">
        <f>$T$6/(Table2[[#This Row],[cases]]*7)</f>
        <v>111.03874092009686</v>
      </c>
      <c r="R10" s="3">
        <f>Table2[[#This Row],[1-in-X odds, estimating 5x cases infected]]-Table2[[#This Row],[1-in-X odds, estimating 7x cases infected]]</f>
        <v>44.415496368038745</v>
      </c>
      <c r="S10" s="3">
        <f>(Table2[[#This Row],[1-in-X odds, estimating 5x cases infected]]+Table2[[#This Row],[1-in-X odds, estimating 7x cases infected]])/2</f>
        <v>133.24648910411622</v>
      </c>
      <c r="V10" s="3"/>
    </row>
    <row r="11" spans="1:24">
      <c r="A11" s="91">
        <v>43919</v>
      </c>
      <c r="B11" s="86">
        <v>160</v>
      </c>
      <c r="C11" s="71">
        <f>Table2[[#This Row],[cases]]/$B$2</f>
        <v>1.7444776379772781E-3</v>
      </c>
      <c r="D11" s="26">
        <f>(Table2[[#This Row],[cases]]-B10)/B10</f>
        <v>0.3559322033898305</v>
      </c>
      <c r="E11" s="38">
        <f t="shared" si="0"/>
        <v>2.276426229815518</v>
      </c>
      <c r="F11" s="81">
        <f>Table2[[#This Row],[cases]]*100/$T$19</f>
        <v>484.84848484848487</v>
      </c>
      <c r="G11" s="56">
        <f>Table2[[#This Row],[cases]]*100/$T$13</f>
        <v>410.25641025641028</v>
      </c>
      <c r="H11" s="56">
        <f>Table2[[#This Row],[cases]]*100/$T$16</f>
        <v>592.59259259259261</v>
      </c>
      <c r="I11" s="56">
        <f>Table2[[#This Row],[infection count, high end of estimate range]]-Table2[[#This Row],[infection count, low end of estimate range]]</f>
        <v>182.33618233618233</v>
      </c>
      <c r="J11" s="56">
        <f>(Table2[[#This Row],[infection count, low end of estimate range]]+Table2[[#This Row],[infection count, high end of estimate range]])/2</f>
        <v>501.42450142450144</v>
      </c>
      <c r="K11" s="26">
        <f>Table2[[#This Row],[estimated infections]]/$T$6</f>
        <v>5.2862958726584194E-3</v>
      </c>
      <c r="L11" s="26">
        <f>Table2[[#This Row],[infection count, low end of estimate range]]/$T$6</f>
        <v>4.473019584557124E-3</v>
      </c>
      <c r="M11" s="26">
        <f>Table2[[#This Row],[infection count, high end of estimate range]]/$T$6</f>
        <v>6.4610282888047342E-3</v>
      </c>
      <c r="N11" s="14">
        <f>Table2[[#This Row],[infection percentage, high end of estimate range]]-Table2[[#This Row],[infection percentage, low end of estimate range]]</f>
        <v>1.9880087042476102E-3</v>
      </c>
      <c r="O11" s="26">
        <f>(Table2[[#This Row],[infection percentage, low end of estimate range]]+Table2[[#This Row],[infection percentage, high end of estimate range]])/2</f>
        <v>5.4670239366809287E-3</v>
      </c>
      <c r="P11" s="12">
        <f>$T$6/(Table2[[#This Row],[cases]]*5)</f>
        <v>114.64749999999999</v>
      </c>
      <c r="Q11" s="12">
        <f>$T$6/(Table2[[#This Row],[cases]]*7)</f>
        <v>81.891071428571422</v>
      </c>
      <c r="R11" s="3">
        <f>Table2[[#This Row],[1-in-X odds, estimating 5x cases infected]]-Table2[[#This Row],[1-in-X odds, estimating 7x cases infected]]</f>
        <v>32.756428571428572</v>
      </c>
      <c r="S11" s="3">
        <f>(Table2[[#This Row],[1-in-X odds, estimating 5x cases infected]]+Table2[[#This Row],[1-in-X odds, estimating 7x cases infected]])/2</f>
        <v>98.269285714285701</v>
      </c>
      <c r="T11" s="3" t="s">
        <v>36</v>
      </c>
      <c r="U11" s="34" t="s">
        <v>27</v>
      </c>
      <c r="V11" s="3"/>
    </row>
    <row r="12" spans="1:24">
      <c r="A12" s="91">
        <v>43920</v>
      </c>
      <c r="B12" s="86">
        <v>197</v>
      </c>
      <c r="C12" s="71">
        <f>Table2[[#This Row],[cases]]/$B$2</f>
        <v>2.1478880917595237E-3</v>
      </c>
      <c r="D12" s="26">
        <f>(Table2[[#This Row],[cases]]-B11)/B11</f>
        <v>0.23125000000000001</v>
      </c>
      <c r="E12" s="38">
        <f t="shared" si="0"/>
        <v>3.3319591826205279</v>
      </c>
      <c r="F12" s="81">
        <f>Table2[[#This Row],[cases]]*100/$T$19</f>
        <v>596.969696969697</v>
      </c>
      <c r="G12" s="56">
        <f>Table2[[#This Row],[cases]]*100/$T$13</f>
        <v>505.12820512820514</v>
      </c>
      <c r="H12" s="56">
        <f>Table2[[#This Row],[cases]]*100/$T$16</f>
        <v>729.62962962962968</v>
      </c>
      <c r="I12" s="56">
        <f>Table2[[#This Row],[infection count, high end of estimate range]]-Table2[[#This Row],[infection count, low end of estimate range]]</f>
        <v>224.50142450142454</v>
      </c>
      <c r="J12" s="56">
        <f>(Table2[[#This Row],[infection count, low end of estimate range]]+Table2[[#This Row],[infection count, high end of estimate range]])/2</f>
        <v>617.37891737891744</v>
      </c>
      <c r="K12" s="26">
        <f>Table2[[#This Row],[estimated infections]]/$T$6</f>
        <v>6.5087517932106787E-3</v>
      </c>
      <c r="L12" s="26">
        <f>Table2[[#This Row],[infection count, low end of estimate range]]/$T$6</f>
        <v>5.5074053634859583E-3</v>
      </c>
      <c r="M12" s="26">
        <f>Table2[[#This Row],[infection count, high end of estimate range]]/$T$6</f>
        <v>7.9551410805908298E-3</v>
      </c>
      <c r="N12" s="14">
        <f>Table2[[#This Row],[infection percentage, high end of estimate range]]-Table2[[#This Row],[infection percentage, low end of estimate range]]</f>
        <v>2.4477357171048715E-3</v>
      </c>
      <c r="O12" s="26">
        <f>(Table2[[#This Row],[infection percentage, low end of estimate range]]+Table2[[#This Row],[infection percentage, high end of estimate range]])/2</f>
        <v>6.731273222038394E-3</v>
      </c>
      <c r="P12" s="12">
        <f>$T$6/(Table2[[#This Row],[cases]]*5)</f>
        <v>93.114720812182739</v>
      </c>
      <c r="Q12" s="12">
        <f>$T$6/(Table2[[#This Row],[cases]]*7)</f>
        <v>66.510514865844812</v>
      </c>
      <c r="R12" s="3">
        <f>Table2[[#This Row],[1-in-X odds, estimating 5x cases infected]]-Table2[[#This Row],[1-in-X odds, estimating 7x cases infected]]</f>
        <v>26.604205946337927</v>
      </c>
      <c r="S12" s="3">
        <f>(Table2[[#This Row],[1-in-X odds, estimating 5x cases infected]]+Table2[[#This Row],[1-in-X odds, estimating 7x cases infected]])/2</f>
        <v>79.812617839013768</v>
      </c>
      <c r="T12" s="34" t="s">
        <v>37</v>
      </c>
      <c r="U12" s="35">
        <f ca="1">OFFSET(compute!F4,COUNTA(compute!F:F)-1,0)</f>
        <v>2609.090909090909</v>
      </c>
      <c r="V12" s="3"/>
    </row>
    <row r="13" spans="1:24">
      <c r="A13" s="91">
        <v>43921</v>
      </c>
      <c r="B13" s="86">
        <v>238</v>
      </c>
      <c r="C13" s="71">
        <f>Table2[[#This Row],[cases]]/$B$2</f>
        <v>2.5949104864912012E-3</v>
      </c>
      <c r="D13" s="26">
        <f>(Table2[[#This Row],[cases]]-B12)/B12</f>
        <v>0.20812182741116753</v>
      </c>
      <c r="E13" s="38">
        <f t="shared" si="0"/>
        <v>3.6661468285944667</v>
      </c>
      <c r="F13" s="81">
        <f>Table2[[#This Row],[cases]]*100/$T$19</f>
        <v>721.21212121212125</v>
      </c>
      <c r="G13" s="56">
        <f>Table2[[#This Row],[cases]]*100/$T$13</f>
        <v>610.25641025641028</v>
      </c>
      <c r="H13" s="56">
        <f>Table2[[#This Row],[cases]]*100/$T$16</f>
        <v>881.48148148148152</v>
      </c>
      <c r="I13" s="56">
        <f>Table2[[#This Row],[infection count, high end of estimate range]]-Table2[[#This Row],[infection count, low end of estimate range]]</f>
        <v>271.22507122507125</v>
      </c>
      <c r="J13" s="56">
        <f>(Table2[[#This Row],[infection count, low end of estimate range]]+Table2[[#This Row],[infection count, high end of estimate range]])/2</f>
        <v>745.86894586894596</v>
      </c>
      <c r="K13" s="26">
        <f>Table2[[#This Row],[estimated infections]]/$T$6</f>
        <v>7.8633651105793987E-3</v>
      </c>
      <c r="L13" s="26">
        <f>Table2[[#This Row],[infection count, low end of estimate range]]/$T$6</f>
        <v>6.6536166320287212E-3</v>
      </c>
      <c r="M13" s="26">
        <f>Table2[[#This Row],[infection count, high end of estimate range]]/$T$6</f>
        <v>9.6107795795970421E-3</v>
      </c>
      <c r="N13" s="14">
        <f>Table2[[#This Row],[infection percentage, high end of estimate range]]-Table2[[#This Row],[infection percentage, low end of estimate range]]</f>
        <v>2.9571629475683208E-3</v>
      </c>
      <c r="O13" s="26">
        <f>(Table2[[#This Row],[infection percentage, low end of estimate range]]+Table2[[#This Row],[infection percentage, high end of estimate range]])/2</f>
        <v>8.1321981058128812E-3</v>
      </c>
      <c r="P13" s="12">
        <f>$T$6/(Table2[[#This Row],[cases]]*5)</f>
        <v>77.073949579831933</v>
      </c>
      <c r="Q13" s="12">
        <f>$T$6/(Table2[[#This Row],[cases]]*7)</f>
        <v>55.052821128451377</v>
      </c>
      <c r="R13" s="3">
        <f>Table2[[#This Row],[1-in-X odds, estimating 5x cases infected]]-Table2[[#This Row],[1-in-X odds, estimating 7x cases infected]]</f>
        <v>22.021128451380555</v>
      </c>
      <c r="S13" s="3">
        <f>(Table2[[#This Row],[1-in-X odds, estimating 5x cases infected]]+Table2[[#This Row],[1-in-X odds, estimating 7x cases infected]])/2</f>
        <v>66.063385354141658</v>
      </c>
      <c r="T13" s="3">
        <v>39</v>
      </c>
      <c r="V13" s="3"/>
    </row>
    <row r="14" spans="1:24">
      <c r="A14" s="91">
        <v>43922</v>
      </c>
      <c r="B14" s="86">
        <v>266</v>
      </c>
      <c r="C14" s="71">
        <f>Table2[[#This Row],[cases]]/$B$2</f>
        <v>2.900194073137225E-3</v>
      </c>
      <c r="D14" s="26">
        <f>(Table2[[#This Row],[cases]]-B13)/B13</f>
        <v>0.11764705882352941</v>
      </c>
      <c r="E14" s="38">
        <f t="shared" si="0"/>
        <v>6.2319013047040608</v>
      </c>
      <c r="F14" s="81">
        <f>Table2[[#This Row],[cases]]*100/$T$19</f>
        <v>806.06060606060601</v>
      </c>
      <c r="G14" s="56">
        <f>Table2[[#This Row],[cases]]*100/$T$13</f>
        <v>682.0512820512821</v>
      </c>
      <c r="H14" s="56">
        <f>Table2[[#This Row],[cases]]*100/$T$16</f>
        <v>985.18518518518522</v>
      </c>
      <c r="I14" s="56">
        <f>Table2[[#This Row],[infection count, high end of estimate range]]-Table2[[#This Row],[infection count, low end of estimate range]]</f>
        <v>303.13390313390312</v>
      </c>
      <c r="J14" s="56">
        <f>(Table2[[#This Row],[infection count, low end of estimate range]]+Table2[[#This Row],[infection count, high end of estimate range]])/2</f>
        <v>833.61823361823372</v>
      </c>
      <c r="K14" s="26">
        <f>Table2[[#This Row],[estimated infections]]/$T$6</f>
        <v>8.7884668882946201E-3</v>
      </c>
      <c r="L14" s="26">
        <f>Table2[[#This Row],[infection count, low end of estimate range]]/$T$6</f>
        <v>7.4363950593262186E-3</v>
      </c>
      <c r="M14" s="26">
        <f>Table2[[#This Row],[infection count, high end of estimate range]]/$T$6</f>
        <v>1.0741459530137871E-2</v>
      </c>
      <c r="N14" s="14">
        <f>Table2[[#This Row],[infection percentage, high end of estimate range]]-Table2[[#This Row],[infection percentage, low end of estimate range]]</f>
        <v>3.3050644708116526E-3</v>
      </c>
      <c r="O14" s="26">
        <f>(Table2[[#This Row],[infection percentage, low end of estimate range]]+Table2[[#This Row],[infection percentage, high end of estimate range]])/2</f>
        <v>9.0889272947320444E-3</v>
      </c>
      <c r="P14" s="12">
        <f>$T$6/(Table2[[#This Row],[cases]]*5)</f>
        <v>68.960902255639098</v>
      </c>
      <c r="Q14" s="12">
        <f>$T$6/(Table2[[#This Row],[cases]]*7)</f>
        <v>49.257787325456498</v>
      </c>
      <c r="R14" s="3">
        <f>Table2[[#This Row],[1-in-X odds, estimating 5x cases infected]]-Table2[[#This Row],[1-in-X odds, estimating 7x cases infected]]</f>
        <v>19.703114930182601</v>
      </c>
      <c r="S14" s="3">
        <f>(Table2[[#This Row],[1-in-X odds, estimating 5x cases infected]]+Table2[[#This Row],[1-in-X odds, estimating 7x cases infected]])/2</f>
        <v>59.109344790547794</v>
      </c>
      <c r="U14" s="34" t="s">
        <v>28</v>
      </c>
      <c r="V14" s="3"/>
    </row>
    <row r="15" spans="1:24">
      <c r="A15" s="91">
        <v>43923</v>
      </c>
      <c r="B15" s="86">
        <v>294</v>
      </c>
      <c r="C15" s="71">
        <f>Table2[[#This Row],[cases]]/$B$2</f>
        <v>3.2054776597832488E-3</v>
      </c>
      <c r="D15" s="26">
        <f>(Table2[[#This Row],[cases]]-B14)/B14</f>
        <v>0.10526315789473684</v>
      </c>
      <c r="E15" s="38">
        <f t="shared" si="0"/>
        <v>6.9256917232261834</v>
      </c>
      <c r="F15" s="81">
        <f>Table2[[#This Row],[cases]]*100/$T$19</f>
        <v>890.90909090909088</v>
      </c>
      <c r="G15" s="56">
        <f>Table2[[#This Row],[cases]]*100/$T$13</f>
        <v>753.84615384615381</v>
      </c>
      <c r="H15" s="56">
        <f>Table2[[#This Row],[cases]]*100/$T$16</f>
        <v>1088.8888888888889</v>
      </c>
      <c r="I15" s="56">
        <f>Table2[[#This Row],[infection count, high end of estimate range]]-Table2[[#This Row],[infection count, low end of estimate range]]</f>
        <v>335.0427350427351</v>
      </c>
      <c r="J15" s="56">
        <f>(Table2[[#This Row],[infection count, low end of estimate range]]+Table2[[#This Row],[infection count, high end of estimate range]])/2</f>
        <v>921.36752136752136</v>
      </c>
      <c r="K15" s="26">
        <f>Table2[[#This Row],[estimated infections]]/$T$6</f>
        <v>9.7135686660098433E-3</v>
      </c>
      <c r="L15" s="26">
        <f>Table2[[#This Row],[infection count, low end of estimate range]]/$T$6</f>
        <v>8.2191734866237133E-3</v>
      </c>
      <c r="M15" s="26">
        <f>Table2[[#This Row],[infection count, high end of estimate range]]/$T$6</f>
        <v>1.1872139480678699E-2</v>
      </c>
      <c r="N15" s="14">
        <f>Table2[[#This Row],[infection percentage, high end of estimate range]]-Table2[[#This Row],[infection percentage, low end of estimate range]]</f>
        <v>3.6529659940549852E-3</v>
      </c>
      <c r="O15" s="26">
        <f>(Table2[[#This Row],[infection percentage, low end of estimate range]]+Table2[[#This Row],[infection percentage, high end of estimate range]])/2</f>
        <v>1.0045656483651206E-2</v>
      </c>
      <c r="P15" s="12">
        <f>$T$6/(Table2[[#This Row],[cases]]*5)</f>
        <v>62.393197278911565</v>
      </c>
      <c r="Q15" s="12">
        <f>$T$6/(Table2[[#This Row],[cases]]*7)</f>
        <v>44.566569484936835</v>
      </c>
      <c r="R15" s="3">
        <f>Table2[[#This Row],[1-in-X odds, estimating 5x cases infected]]-Table2[[#This Row],[1-in-X odds, estimating 7x cases infected]]</f>
        <v>17.82662779397473</v>
      </c>
      <c r="S15" s="3">
        <f>(Table2[[#This Row],[1-in-X odds, estimating 5x cases infected]]+Table2[[#This Row],[1-in-X odds, estimating 7x cases infected]])/2</f>
        <v>53.479883381924196</v>
      </c>
      <c r="T15" s="34" t="s">
        <v>38</v>
      </c>
      <c r="U15" s="27">
        <f ca="1">OFFSET(compute!K4,COUNTA(compute!K:K)-1,0)</f>
        <v>2.8446879664743116E-2</v>
      </c>
      <c r="V15" s="3"/>
    </row>
    <row r="16" spans="1:24">
      <c r="A16" s="91">
        <v>43924</v>
      </c>
      <c r="B16" s="86">
        <v>310</v>
      </c>
      <c r="C16" s="71">
        <f>Table2[[#This Row],[cases]]/$B$2</f>
        <v>3.3799254235809765E-3</v>
      </c>
      <c r="D16" s="26">
        <f>(Table2[[#This Row],[cases]]-B15)/B15</f>
        <v>5.4421768707482991E-2</v>
      </c>
      <c r="E16" s="38">
        <f t="shared" si="0"/>
        <v>13.080092207751859</v>
      </c>
      <c r="F16" s="81">
        <f>Table2[[#This Row],[cases]]*100/$T$19</f>
        <v>939.39393939393938</v>
      </c>
      <c r="G16" s="56">
        <f>Table2[[#This Row],[cases]]*100/$T$13</f>
        <v>794.87179487179492</v>
      </c>
      <c r="H16" s="56">
        <f>Table2[[#This Row],[cases]]*100/$T$16</f>
        <v>1148.148148148148</v>
      </c>
      <c r="I16" s="56">
        <f>Table2[[#This Row],[infection count, high end of estimate range]]-Table2[[#This Row],[infection count, low end of estimate range]]</f>
        <v>353.27635327635312</v>
      </c>
      <c r="J16" s="56">
        <f>(Table2[[#This Row],[infection count, low end of estimate range]]+Table2[[#This Row],[infection count, high end of estimate range]])/2</f>
        <v>971.50997150997148</v>
      </c>
      <c r="K16" s="26">
        <f>Table2[[#This Row],[estimated infections]]/$T$6</f>
        <v>1.0242198253275686E-2</v>
      </c>
      <c r="L16" s="26">
        <f>Table2[[#This Row],[infection count, low end of estimate range]]/$T$6</f>
        <v>8.666475445079428E-3</v>
      </c>
      <c r="M16" s="26">
        <f>Table2[[#This Row],[infection count, high end of estimate range]]/$T$6</f>
        <v>1.2518242309559171E-2</v>
      </c>
      <c r="N16" s="14">
        <f>Table2[[#This Row],[infection percentage, high end of estimate range]]-Table2[[#This Row],[infection percentage, low end of estimate range]]</f>
        <v>3.8517668644797425E-3</v>
      </c>
      <c r="O16" s="26">
        <f>(Table2[[#This Row],[infection percentage, low end of estimate range]]+Table2[[#This Row],[infection percentage, high end of estimate range]])/2</f>
        <v>1.05923588773193E-2</v>
      </c>
      <c r="P16" s="12">
        <f>$T$6/(Table2[[#This Row],[cases]]*5)</f>
        <v>59.172903225806451</v>
      </c>
      <c r="Q16" s="12">
        <f>$T$6/(Table2[[#This Row],[cases]]*7)</f>
        <v>42.266359447004611</v>
      </c>
      <c r="R16" s="3">
        <f>Table2[[#This Row],[1-in-X odds, estimating 5x cases infected]]-Table2[[#This Row],[1-in-X odds, estimating 7x cases infected]]</f>
        <v>16.90654377880184</v>
      </c>
      <c r="S16" s="3">
        <f>(Table2[[#This Row],[1-in-X odds, estimating 5x cases infected]]+Table2[[#This Row],[1-in-X odds, estimating 7x cases infected]])/2</f>
        <v>50.719631336405527</v>
      </c>
      <c r="T16" s="3">
        <v>27</v>
      </c>
      <c r="V16" s="3"/>
    </row>
    <row r="17" spans="1:22">
      <c r="A17" s="91">
        <v>43925</v>
      </c>
      <c r="B17" s="86">
        <v>347</v>
      </c>
      <c r="C17" s="71">
        <f>Table2[[#This Row],[cases]]/$B$2</f>
        <v>3.7833358773632221E-3</v>
      </c>
      <c r="D17" s="26">
        <f>(Table2[[#This Row],[cases]]-B16)/B16</f>
        <v>0.11935483870967742</v>
      </c>
      <c r="E17" s="38">
        <f t="shared" si="0"/>
        <v>6.1475114816980732</v>
      </c>
      <c r="F17" s="81">
        <f>Table2[[#This Row],[cases]]*100/$T$19</f>
        <v>1051.5151515151515</v>
      </c>
      <c r="G17" s="56">
        <f>Table2[[#This Row],[cases]]*100/$T$13</f>
        <v>889.74358974358972</v>
      </c>
      <c r="H17" s="56">
        <f>Table2[[#This Row],[cases]]*100/$T$16</f>
        <v>1285.1851851851852</v>
      </c>
      <c r="I17" s="56">
        <f>Table2[[#This Row],[infection count, high end of estimate range]]-Table2[[#This Row],[infection count, low end of estimate range]]</f>
        <v>395.4415954415955</v>
      </c>
      <c r="J17" s="56">
        <f>(Table2[[#This Row],[infection count, low end of estimate range]]+Table2[[#This Row],[infection count, high end of estimate range]])/2</f>
        <v>1087.4643874643875</v>
      </c>
      <c r="K17" s="26">
        <f>Table2[[#This Row],[estimated infections]]/$T$6</f>
        <v>1.1464654173827946E-2</v>
      </c>
      <c r="L17" s="26">
        <f>Table2[[#This Row],[infection count, low end of estimate range]]/$T$6</f>
        <v>9.7008612240082615E-3</v>
      </c>
      <c r="M17" s="26">
        <f>Table2[[#This Row],[infection count, high end of estimate range]]/$T$6</f>
        <v>1.4012355101345268E-2</v>
      </c>
      <c r="N17" s="14">
        <f>Table2[[#This Row],[infection percentage, high end of estimate range]]-Table2[[#This Row],[infection percentage, low end of estimate range]]</f>
        <v>4.3114938773370064E-3</v>
      </c>
      <c r="O17" s="26">
        <f>(Table2[[#This Row],[infection percentage, low end of estimate range]]+Table2[[#This Row],[infection percentage, high end of estimate range]])/2</f>
        <v>1.1856608162676766E-2</v>
      </c>
      <c r="P17" s="12">
        <f>$T$6/(Table2[[#This Row],[cases]]*5)</f>
        <v>52.863400576368875</v>
      </c>
      <c r="Q17" s="12">
        <f>$T$6/(Table2[[#This Row],[cases]]*7)</f>
        <v>37.759571840263483</v>
      </c>
      <c r="R17" s="3">
        <f>Table2[[#This Row],[1-in-X odds, estimating 5x cases infected]]-Table2[[#This Row],[1-in-X odds, estimating 7x cases infected]]</f>
        <v>15.103828736105392</v>
      </c>
      <c r="S17" s="3">
        <f>(Table2[[#This Row],[1-in-X odds, estimating 5x cases infected]]+Table2[[#This Row],[1-in-X odds, estimating 7x cases infected]])/2</f>
        <v>45.311486208316182</v>
      </c>
      <c r="U17" s="34" t="s">
        <v>29</v>
      </c>
      <c r="V17" s="3"/>
    </row>
    <row r="18" spans="1:22">
      <c r="A18" s="91">
        <v>43926</v>
      </c>
      <c r="B18" s="86">
        <v>365</v>
      </c>
      <c r="C18" s="71">
        <f>Table2[[#This Row],[cases]]/$B$2</f>
        <v>3.9795896116356661E-3</v>
      </c>
      <c r="D18" s="26">
        <f>(Table2[[#This Row],[cases]]-B17)/B17</f>
        <v>5.1873198847262249E-2</v>
      </c>
      <c r="E18" s="38">
        <f t="shared" si="0"/>
        <v>13.705989842517504</v>
      </c>
      <c r="F18" s="81">
        <f>Table2[[#This Row],[cases]]*100/$T$19</f>
        <v>1106.060606060606</v>
      </c>
      <c r="G18" s="56">
        <f>Table2[[#This Row],[cases]]*100/$T$13</f>
        <v>935.89743589743591</v>
      </c>
      <c r="H18" s="56">
        <f>Table2[[#This Row],[cases]]*100/$T$16</f>
        <v>1351.851851851852</v>
      </c>
      <c r="I18" s="56">
        <f>Table2[[#This Row],[infection count, high end of estimate range]]-Table2[[#This Row],[infection count, low end of estimate range]]</f>
        <v>415.95441595441605</v>
      </c>
      <c r="J18" s="56">
        <f>(Table2[[#This Row],[infection count, low end of estimate range]]+Table2[[#This Row],[infection count, high end of estimate range]])/2</f>
        <v>1143.8746438746439</v>
      </c>
      <c r="K18" s="26">
        <f>Table2[[#This Row],[estimated infections]]/$T$6</f>
        <v>1.2059362459502017E-2</v>
      </c>
      <c r="L18" s="26">
        <f>Table2[[#This Row],[infection count, low end of estimate range]]/$T$6</f>
        <v>1.0204075927270939E-2</v>
      </c>
      <c r="M18" s="26">
        <f>Table2[[#This Row],[infection count, high end of estimate range]]/$T$6</f>
        <v>1.4739220783835801E-2</v>
      </c>
      <c r="N18" s="14">
        <f>Table2[[#This Row],[infection percentage, high end of estimate range]]-Table2[[#This Row],[infection percentage, low end of estimate range]]</f>
        <v>4.5351448565648621E-3</v>
      </c>
      <c r="O18" s="26">
        <f>(Table2[[#This Row],[infection percentage, low end of estimate range]]+Table2[[#This Row],[infection percentage, high end of estimate range]])/2</f>
        <v>1.247164835555337E-2</v>
      </c>
      <c r="P18" s="12">
        <f>$T$6/(Table2[[#This Row],[cases]]*5)</f>
        <v>50.256438356164381</v>
      </c>
      <c r="Q18" s="12">
        <f>$T$6/(Table2[[#This Row],[cases]]*7)</f>
        <v>35.897455968688845</v>
      </c>
      <c r="R18" s="3">
        <f>Table2[[#This Row],[1-in-X odds, estimating 5x cases infected]]-Table2[[#This Row],[1-in-X odds, estimating 7x cases infected]]</f>
        <v>14.358982387475535</v>
      </c>
      <c r="S18" s="3">
        <f>(Table2[[#This Row],[1-in-X odds, estimating 5x cases infected]]+Table2[[#This Row],[1-in-X odds, estimating 7x cases infected]])/2</f>
        <v>43.076947162426613</v>
      </c>
      <c r="T18" s="34" t="s">
        <v>59</v>
      </c>
      <c r="U18" s="3">
        <f ca="1">OFFSET(compute!S4,COUNTA(compute!S:S)-1,0)</f>
        <v>18.261423593827775</v>
      </c>
      <c r="V18" s="3"/>
    </row>
    <row r="19" spans="1:22">
      <c r="A19" s="91">
        <v>43927</v>
      </c>
      <c r="B19" s="86">
        <v>396</v>
      </c>
      <c r="C19" s="71">
        <f>Table2[[#This Row],[cases]]/$B$2</f>
        <v>4.3175821539937634E-3</v>
      </c>
      <c r="D19" s="26">
        <f>(Table2[[#This Row],[cases]]-B18)/B18</f>
        <v>8.4931506849315067E-2</v>
      </c>
      <c r="E19" s="38">
        <f t="shared" si="0"/>
        <v>8.5031145747675918</v>
      </c>
      <c r="F19" s="81">
        <f>Table2[[#This Row],[cases]]*100/$T$19</f>
        <v>1200</v>
      </c>
      <c r="G19" s="35">
        <f>Table2[[#This Row],[cases]]*100/$T$13</f>
        <v>1015.3846153846154</v>
      </c>
      <c r="H19" s="35">
        <f>Table2[[#This Row],[cases]]*100/$T$16</f>
        <v>1466.6666666666667</v>
      </c>
      <c r="I19" s="35">
        <f>Table2[[#This Row],[infection count, high end of estimate range]]-Table2[[#This Row],[infection count, low end of estimate range]]</f>
        <v>451.28205128205138</v>
      </c>
      <c r="J19" s="35">
        <f>(Table2[[#This Row],[infection count, low end of estimate range]]+Table2[[#This Row],[infection count, high end of estimate range]])/2</f>
        <v>1241.0256410256411</v>
      </c>
      <c r="K19" s="26">
        <f>Table2[[#This Row],[estimated infections]]/$T$6</f>
        <v>1.3083582284829587E-2</v>
      </c>
      <c r="L19" s="27">
        <f>Table2[[#This Row],[infection count, low end of estimate range]]/$T$6</f>
        <v>1.1070723471778881E-2</v>
      </c>
      <c r="M19" s="26">
        <f>Table2[[#This Row],[infection count, high end of estimate range]]/$T$6</f>
        <v>1.5991045014791719E-2</v>
      </c>
      <c r="N19" s="15">
        <f>Table2[[#This Row],[infection percentage, high end of estimate range]]-Table2[[#This Row],[infection percentage, low end of estimate range]]</f>
        <v>4.9203215430128379E-3</v>
      </c>
      <c r="O19" s="27">
        <f>(Table2[[#This Row],[infection percentage, low end of estimate range]]+Table2[[#This Row],[infection percentage, high end of estimate range]])/2</f>
        <v>1.35308842432853E-2</v>
      </c>
      <c r="P19" s="3">
        <f>$T$6/(Table2[[#This Row],[cases]]*5)</f>
        <v>46.322222222222223</v>
      </c>
      <c r="Q19" s="3">
        <f>$T$6/(Table2[[#This Row],[cases]]*7)</f>
        <v>33.087301587301589</v>
      </c>
      <c r="R19" s="3">
        <f>Table2[[#This Row],[1-in-X odds, estimating 5x cases infected]]-Table2[[#This Row],[1-in-X odds, estimating 7x cases infected]]</f>
        <v>13.234920634920634</v>
      </c>
      <c r="S19" s="3">
        <f>(Table2[[#This Row],[1-in-X odds, estimating 5x cases infected]]+Table2[[#This Row],[1-in-X odds, estimating 7x cases infected]])/2</f>
        <v>39.704761904761909</v>
      </c>
      <c r="T19" s="3">
        <v>33</v>
      </c>
      <c r="V19" s="32" t="s">
        <v>23</v>
      </c>
    </row>
    <row r="20" spans="1:22">
      <c r="A20" s="91">
        <v>43928</v>
      </c>
      <c r="B20" s="86">
        <v>428</v>
      </c>
      <c r="C20" s="71">
        <f>Table2[[#This Row],[cases]]/$B$2</f>
        <v>4.6664776815892187E-3</v>
      </c>
      <c r="D20" s="26">
        <f>(Table2[[#This Row],[cases]]-B19)/B19</f>
        <v>8.0808080808080815E-2</v>
      </c>
      <c r="E20" s="38">
        <f t="shared" si="0"/>
        <v>8.9197817544539646</v>
      </c>
      <c r="F20" s="81">
        <f>Table2[[#This Row],[cases]]*100/$T$19</f>
        <v>1296.969696969697</v>
      </c>
      <c r="G20" s="35">
        <f>Table2[[#This Row],[cases]]*100/$T$13</f>
        <v>1097.4358974358975</v>
      </c>
      <c r="H20" s="35">
        <f>Table2[[#This Row],[cases]]*100/$T$16</f>
        <v>1585.1851851851852</v>
      </c>
      <c r="I20" s="35">
        <f>Table2[[#This Row],[infection count, high end of estimate range]]-Table2[[#This Row],[infection count, low end of estimate range]]</f>
        <v>487.74928774928776</v>
      </c>
      <c r="J20" s="35">
        <f>(Table2[[#This Row],[infection count, low end of estimate range]]+Table2[[#This Row],[infection count, high end of estimate range]])/2</f>
        <v>1341.3105413105413</v>
      </c>
      <c r="K20" s="26">
        <f>Table2[[#This Row],[estimated infections]]/$T$6</f>
        <v>1.4140841459361271E-2</v>
      </c>
      <c r="L20" s="27">
        <f>Table2[[#This Row],[infection count, low end of estimate range]]/$T$6</f>
        <v>1.1965327388690305E-2</v>
      </c>
      <c r="M20" s="26">
        <f>Table2[[#This Row],[infection count, high end of estimate range]]/$T$6</f>
        <v>1.7283250672552663E-2</v>
      </c>
      <c r="N20" s="15">
        <f>Table2[[#This Row],[infection percentage, high end of estimate range]]-Table2[[#This Row],[infection percentage, low end of estimate range]]</f>
        <v>5.3179232838623577E-3</v>
      </c>
      <c r="O20" s="27">
        <f>(Table2[[#This Row],[infection percentage, low end of estimate range]]+Table2[[#This Row],[infection percentage, high end of estimate range]])/2</f>
        <v>1.4624289030621483E-2</v>
      </c>
      <c r="P20" s="3">
        <f>$T$6/(Table2[[#This Row],[cases]]*5)</f>
        <v>42.858878504672894</v>
      </c>
      <c r="Q20" s="3">
        <f>$T$6/(Table2[[#This Row],[cases]]*7)</f>
        <v>30.613484646194927</v>
      </c>
      <c r="R20" s="3">
        <f>Table2[[#This Row],[1-in-X odds, estimating 5x cases infected]]-Table2[[#This Row],[1-in-X odds, estimating 7x cases infected]]</f>
        <v>12.245393858477968</v>
      </c>
      <c r="S20" s="3">
        <f>(Table2[[#This Row],[1-in-X odds, estimating 5x cases infected]]+Table2[[#This Row],[1-in-X odds, estimating 7x cases infected]])/2</f>
        <v>36.73618157543391</v>
      </c>
      <c r="U20" s="34" t="s">
        <v>30</v>
      </c>
      <c r="V20" s="66" t="s">
        <v>22</v>
      </c>
    </row>
    <row r="21" spans="1:22">
      <c r="A21" s="91">
        <v>43929</v>
      </c>
      <c r="B21" s="86">
        <v>454</v>
      </c>
      <c r="C21" s="71">
        <f>Table2[[#This Row],[cases]]/$B$2</f>
        <v>4.949955297760527E-3</v>
      </c>
      <c r="D21" s="26">
        <f>(Table2[[#This Row],[cases]]-B20)/B20</f>
        <v>6.0747663551401869E-2</v>
      </c>
      <c r="E21" s="38">
        <f t="shared" si="0"/>
        <v>11.753436288055184</v>
      </c>
      <c r="F21" s="81">
        <f>Table2[[#This Row],[cases]]*100/$T$19</f>
        <v>1375.7575757575758</v>
      </c>
      <c r="G21" s="35">
        <f>Table2[[#This Row],[cases]]*100/$T$13</f>
        <v>1164.1025641025642</v>
      </c>
      <c r="H21" s="35">
        <f>Table2[[#This Row],[cases]]*100/$T$16</f>
        <v>1681.4814814814815</v>
      </c>
      <c r="I21" s="35">
        <f>Table2[[#This Row],[infection count, high end of estimate range]]-Table2[[#This Row],[infection count, low end of estimate range]]</f>
        <v>517.37891737891732</v>
      </c>
      <c r="J21" s="35">
        <f>(Table2[[#This Row],[infection count, low end of estimate range]]+Table2[[#This Row],[infection count, high end of estimate range]])/2</f>
        <v>1422.7920227920229</v>
      </c>
      <c r="K21" s="26">
        <f>Table2[[#This Row],[estimated infections]]/$T$6</f>
        <v>1.4999864538668263E-2</v>
      </c>
      <c r="L21" s="27">
        <f>Table2[[#This Row],[infection count, low end of estimate range]]/$T$6</f>
        <v>1.269219307118084E-2</v>
      </c>
      <c r="M21" s="27">
        <f>Table2[[#This Row],[infection count, high end of estimate range]]/$T$6</f>
        <v>1.8333167769483433E-2</v>
      </c>
      <c r="N21" s="15">
        <f>Table2[[#This Row],[infection percentage, high end of estimate range]]-Table2[[#This Row],[infection percentage, low end of estimate range]]</f>
        <v>5.6409746983025928E-3</v>
      </c>
      <c r="O21" s="27">
        <f>(Table2[[#This Row],[infection percentage, low end of estimate range]]+Table2[[#This Row],[infection percentage, high end of estimate range]])/2</f>
        <v>1.5512680420332136E-2</v>
      </c>
      <c r="P21" s="3">
        <f>$T$6/(Table2[[#This Row],[cases]]*5)</f>
        <v>40.404405286343611</v>
      </c>
      <c r="Q21" s="3">
        <f>$T$6/(Table2[[#This Row],[cases]]*7)</f>
        <v>28.860289490245439</v>
      </c>
      <c r="R21" s="3">
        <f>Table2[[#This Row],[1-in-X odds, estimating 5x cases infected]]-Table2[[#This Row],[1-in-X odds, estimating 7x cases infected]]</f>
        <v>11.544115796098172</v>
      </c>
      <c r="S21" s="3">
        <f>(Table2[[#This Row],[1-in-X odds, estimating 5x cases infected]]+Table2[[#This Row],[1-in-X odds, estimating 7x cases infected]])/2</f>
        <v>34.632347388294527</v>
      </c>
      <c r="U21" s="3">
        <f ca="1">OFFSET(compute!E4,COUNTA(compute!E:E)-1,0)</f>
        <v>39.439059398913749</v>
      </c>
      <c r="V21" s="31"/>
    </row>
    <row r="22" spans="1:22">
      <c r="A22" s="91">
        <v>43930</v>
      </c>
      <c r="B22" s="86">
        <v>468</v>
      </c>
      <c r="C22" s="71">
        <f>Table2[[#This Row],[cases]]/$B$2</f>
        <v>5.1025970910835387E-3</v>
      </c>
      <c r="D22" s="26">
        <f>(Table2[[#This Row],[cases]]-B21)/B21</f>
        <v>3.0837004405286344E-2</v>
      </c>
      <c r="E22" s="38">
        <f t="shared" ref="E22" si="1">(LN(2)/LN(B22/B21))</f>
        <v>22.822592169144759</v>
      </c>
      <c r="F22" s="81">
        <f>Table2[[#This Row],[cases]]*100/$T$19</f>
        <v>1418.1818181818182</v>
      </c>
      <c r="G22" s="35">
        <f>Table2[[#This Row],[cases]]*100/$T$13</f>
        <v>1200</v>
      </c>
      <c r="H22" s="35">
        <f>Table2[[#This Row],[cases]]*100/$T$16</f>
        <v>1733.3333333333333</v>
      </c>
      <c r="I22" s="35">
        <f>Table2[[#This Row],[infection count, high end of estimate range]]-Table2[[#This Row],[infection count, low end of estimate range]]</f>
        <v>533.33333333333326</v>
      </c>
      <c r="J22" s="35">
        <f>(Table2[[#This Row],[infection count, low end of estimate range]]+Table2[[#This Row],[infection count, high end of estimate range]])/2</f>
        <v>1466.6666666666665</v>
      </c>
      <c r="K22" s="26">
        <f>Table2[[#This Row],[estimated infections]]/$T$6</f>
        <v>1.5462415427525876E-2</v>
      </c>
      <c r="L22" s="27">
        <f>Table2[[#This Row],[infection count, low end of estimate range]]/$T$6</f>
        <v>1.3083582284829587E-2</v>
      </c>
      <c r="M22" s="27">
        <f>Table2[[#This Row],[infection count, high end of estimate range]]/$T$6</f>
        <v>1.8898507744753847E-2</v>
      </c>
      <c r="N22" s="15">
        <f>Table2[[#This Row],[infection percentage, high end of estimate range]]-Table2[[#This Row],[infection percentage, low end of estimate range]]</f>
        <v>5.8149254599242604E-3</v>
      </c>
      <c r="O22" s="27">
        <f>(Table2[[#This Row],[infection percentage, low end of estimate range]]+Table2[[#This Row],[infection percentage, high end of estimate range]])/2</f>
        <v>1.5991045014791719E-2</v>
      </c>
      <c r="P22" s="3">
        <f>$T$6/(Table2[[#This Row],[cases]]*5)</f>
        <v>39.195726495726497</v>
      </c>
      <c r="Q22" s="3">
        <f>$T$6/(Table2[[#This Row],[cases]]*7)</f>
        <v>27.996947496947495</v>
      </c>
      <c r="R22" s="3">
        <f>Table2[[#This Row],[1-in-X odds, estimating 5x cases infected]]-Table2[[#This Row],[1-in-X odds, estimating 7x cases infected]]</f>
        <v>11.198778998779002</v>
      </c>
      <c r="S22" s="3">
        <f>(Table2[[#This Row],[1-in-X odds, estimating 5x cases infected]]+Table2[[#This Row],[1-in-X odds, estimating 7x cases infected]])/2</f>
        <v>33.596336996336994</v>
      </c>
      <c r="V22" s="31"/>
    </row>
    <row r="23" spans="1:22">
      <c r="A23" s="91">
        <v>43931</v>
      </c>
      <c r="B23" s="86">
        <v>493</v>
      </c>
      <c r="C23" s="71">
        <f>Table2[[#This Row],[cases]]/$B$2</f>
        <v>5.3751717220174881E-3</v>
      </c>
      <c r="D23" s="26">
        <f>(Table2[[#This Row],[cases]]-B22)/B22</f>
        <v>5.3418803418803416E-2</v>
      </c>
      <c r="E23" s="38">
        <f t="shared" ref="E23" si="2">(LN(2)/LN(B23/B22))</f>
        <v>13.319282947041303</v>
      </c>
      <c r="F23" s="81">
        <f>Table2[[#This Row],[cases]]*100/$T$19</f>
        <v>1493.939393939394</v>
      </c>
      <c r="G23" s="35">
        <f>Table2[[#This Row],[cases]]*100/$T$13</f>
        <v>1264.1025641025642</v>
      </c>
      <c r="H23" s="35">
        <f>Table2[[#This Row],[cases]]*100/$T$16</f>
        <v>1825.9259259259259</v>
      </c>
      <c r="I23" s="35">
        <f>Table2[[#This Row],[infection count, high end of estimate range]]-Table2[[#This Row],[infection count, low end of estimate range]]</f>
        <v>561.82336182336167</v>
      </c>
      <c r="J23" s="35">
        <f>(Table2[[#This Row],[infection count, low end of estimate range]]+Table2[[#This Row],[infection count, high end of estimate range]])/2</f>
        <v>1545.014245014245</v>
      </c>
      <c r="K23" s="26">
        <f>Table2[[#This Row],[estimated infections]]/$T$6</f>
        <v>1.6288399157628752E-2</v>
      </c>
      <c r="L23" s="27">
        <f>Table2[[#This Row],[infection count, low end of estimate range]]/$T$6</f>
        <v>1.3782491594916638E-2</v>
      </c>
      <c r="M23" s="27">
        <f>Table2[[#This Row],[infection count, high end of estimate range]]/$T$6</f>
        <v>1.9908043414879586E-2</v>
      </c>
      <c r="N23" s="15">
        <f>Table2[[#This Row],[infection percentage, high end of estimate range]]-Table2[[#This Row],[infection percentage, low end of estimate range]]</f>
        <v>6.1255518199629481E-3</v>
      </c>
      <c r="O23" s="27">
        <f>(Table2[[#This Row],[infection percentage, low end of estimate range]]+Table2[[#This Row],[infection percentage, high end of estimate range]])/2</f>
        <v>1.6845267504898113E-2</v>
      </c>
      <c r="P23" s="3">
        <f>$T$6/(Table2[[#This Row],[cases]]*5)</f>
        <v>37.208113590263693</v>
      </c>
      <c r="Q23" s="3">
        <f>$T$6/(Table2[[#This Row],[cases]]*7)</f>
        <v>26.577223993045493</v>
      </c>
      <c r="R23" s="3">
        <f>Table2[[#This Row],[1-in-X odds, estimating 5x cases infected]]-Table2[[#This Row],[1-in-X odds, estimating 7x cases infected]]</f>
        <v>10.6308895972182</v>
      </c>
      <c r="S23" s="3">
        <f>(Table2[[#This Row],[1-in-X odds, estimating 5x cases infected]]+Table2[[#This Row],[1-in-X odds, estimating 7x cases infected]])/2</f>
        <v>31.892668791654593</v>
      </c>
      <c r="V23" s="31" t="s">
        <v>48</v>
      </c>
    </row>
    <row r="24" spans="1:22">
      <c r="A24" s="91">
        <v>43932</v>
      </c>
      <c r="B24" s="86">
        <v>520</v>
      </c>
      <c r="C24" s="71">
        <f>Table2[[#This Row],[cases]]/$B$2</f>
        <v>5.6695523234261544E-3</v>
      </c>
      <c r="D24" s="26">
        <f>(Table2[[#This Row],[cases]]-B23)/B23</f>
        <v>5.4766734279918863E-2</v>
      </c>
      <c r="E24" s="38">
        <f t="shared" ref="E24" si="3">(LN(2)/LN(B24/B23))</f>
        <v>12.999847947836686</v>
      </c>
      <c r="F24" s="81">
        <f>Table2[[#This Row],[cases]]*100/$T$19</f>
        <v>1575.7575757575758</v>
      </c>
      <c r="G24" s="35">
        <f>Table2[[#This Row],[cases]]*100/$T$13</f>
        <v>1333.3333333333333</v>
      </c>
      <c r="H24" s="35">
        <f>Table2[[#This Row],[cases]]*100/$T$16</f>
        <v>1925.9259259259259</v>
      </c>
      <c r="I24" s="35">
        <f>Table2[[#This Row],[infection count, high end of estimate range]]-Table2[[#This Row],[infection count, low end of estimate range]]</f>
        <v>592.59259259259261</v>
      </c>
      <c r="J24" s="35">
        <f>(Table2[[#This Row],[infection count, low end of estimate range]]+Table2[[#This Row],[infection count, high end of estimate range]])/2</f>
        <v>1629.6296296296296</v>
      </c>
      <c r="K24" s="26">
        <f>Table2[[#This Row],[estimated infections]]/$T$6</f>
        <v>1.718046158613986E-2</v>
      </c>
      <c r="L24" s="27">
        <f>Table2[[#This Row],[infection count, low end of estimate range]]/$T$6</f>
        <v>1.4537313649810651E-2</v>
      </c>
      <c r="M24" s="27">
        <f>Table2[[#This Row],[infection count, high end of estimate range]]/$T$6</f>
        <v>2.0998341938615384E-2</v>
      </c>
      <c r="N24" s="15">
        <f>Table2[[#This Row],[infection percentage, high end of estimate range]]-Table2[[#This Row],[infection percentage, low end of estimate range]]</f>
        <v>6.4610282888047325E-3</v>
      </c>
      <c r="O24" s="27">
        <f>(Table2[[#This Row],[infection percentage, low end of estimate range]]+Table2[[#This Row],[infection percentage, high end of estimate range]])/2</f>
        <v>1.7767827794213018E-2</v>
      </c>
      <c r="P24" s="3">
        <f>$T$6/(Table2[[#This Row],[cases]]*5)</f>
        <v>35.276153846153846</v>
      </c>
      <c r="Q24" s="3">
        <f>$T$6/(Table2[[#This Row],[cases]]*7)</f>
        <v>25.197252747252747</v>
      </c>
      <c r="R24" s="3">
        <f>Table2[[#This Row],[1-in-X odds, estimating 5x cases infected]]-Table2[[#This Row],[1-in-X odds, estimating 7x cases infected]]</f>
        <v>10.078901098901099</v>
      </c>
      <c r="S24" s="3">
        <f>(Table2[[#This Row],[1-in-X odds, estimating 5x cases infected]]+Table2[[#This Row],[1-in-X odds, estimating 7x cases infected]])/2</f>
        <v>30.236703296703297</v>
      </c>
      <c r="V24" s="31"/>
    </row>
    <row r="25" spans="1:22">
      <c r="A25" s="91">
        <v>43933</v>
      </c>
      <c r="B25" s="86">
        <v>535</v>
      </c>
      <c r="C25" s="71">
        <f>Table2[[#This Row],[cases]]/$B$2</f>
        <v>5.833097101986524E-3</v>
      </c>
      <c r="D25" s="26">
        <f>(Table2[[#This Row],[cases]]-B24)/B24</f>
        <v>2.8846153846153848E-2</v>
      </c>
      <c r="E25" s="38">
        <f t="shared" ref="E25" si="4">(LN(2)/LN(B25/B24))</f>
        <v>24.37403323227419</v>
      </c>
      <c r="F25" s="81">
        <f>Table2[[#This Row],[cases]]*100/$T$19</f>
        <v>1621.2121212121212</v>
      </c>
      <c r="G25" s="35">
        <f>Table2[[#This Row],[cases]]*100/$T$13</f>
        <v>1371.7948717948718</v>
      </c>
      <c r="H25" s="35">
        <f>Table2[[#This Row],[cases]]*100/$T$16</f>
        <v>1981.4814814814815</v>
      </c>
      <c r="I25" s="35">
        <f>Table2[[#This Row],[infection count, high end of estimate range]]-Table2[[#This Row],[infection count, low end of estimate range]]</f>
        <v>609.6866096866097</v>
      </c>
      <c r="J25" s="35">
        <f>(Table2[[#This Row],[infection count, low end of estimate range]]+Table2[[#This Row],[infection count, high end of estimate range]])/2</f>
        <v>1676.6381766381767</v>
      </c>
      <c r="K25" s="26">
        <f>Table2[[#This Row],[estimated infections]]/$T$6</f>
        <v>1.7676051824201587E-2</v>
      </c>
      <c r="L25" s="27">
        <f>Table2[[#This Row],[infection count, low end of estimate range]]/$T$6</f>
        <v>1.4956659235862882E-2</v>
      </c>
      <c r="M25" s="27">
        <f>Table2[[#This Row],[infection count, high end of estimate range]]/$T$6</f>
        <v>2.1604063340690829E-2</v>
      </c>
      <c r="N25" s="15">
        <f>Table2[[#This Row],[infection percentage, high end of estimate range]]-Table2[[#This Row],[infection percentage, low end of estimate range]]</f>
        <v>6.6474041048279475E-3</v>
      </c>
      <c r="O25" s="27">
        <f>(Table2[[#This Row],[infection percentage, low end of estimate range]]+Table2[[#This Row],[infection percentage, high end of estimate range]])/2</f>
        <v>1.8280361288276856E-2</v>
      </c>
      <c r="P25" s="3">
        <f>$T$6/(Table2[[#This Row],[cases]]*5)</f>
        <v>34.287102803738321</v>
      </c>
      <c r="Q25" s="3">
        <f>$T$6/(Table2[[#This Row],[cases]]*7)</f>
        <v>24.490787716955943</v>
      </c>
      <c r="R25" s="3">
        <f>Table2[[#This Row],[1-in-X odds, estimating 5x cases infected]]-Table2[[#This Row],[1-in-X odds, estimating 7x cases infected]]</f>
        <v>9.7963150867823785</v>
      </c>
      <c r="S25" s="3">
        <f>(Table2[[#This Row],[1-in-X odds, estimating 5x cases infected]]+Table2[[#This Row],[1-in-X odds, estimating 7x cases infected]])/2</f>
        <v>29.388945260347132</v>
      </c>
      <c r="V25" s="31"/>
    </row>
    <row r="26" spans="1:22">
      <c r="A26" s="91">
        <v>43934</v>
      </c>
      <c r="B26" s="86">
        <v>561</v>
      </c>
      <c r="C26" s="71">
        <f>Table2[[#This Row],[cases]]/$B$2</f>
        <v>6.1165747181578314E-3</v>
      </c>
      <c r="D26" s="26">
        <f>(Table2[[#This Row],[cases]]-B25)/B25</f>
        <v>4.8598130841121495E-2</v>
      </c>
      <c r="E26" s="38">
        <f t="shared" ref="E26" si="5">(LN(2)/LN(B26/B25))</f>
        <v>14.606668848830834</v>
      </c>
      <c r="F26" s="81">
        <f>Table2[[#This Row],[cases]]*100/$T$19</f>
        <v>1700</v>
      </c>
      <c r="G26" s="35">
        <f>Table2[[#This Row],[cases]]*100/$T$13</f>
        <v>1438.4615384615386</v>
      </c>
      <c r="H26" s="35">
        <f>Table2[[#This Row],[cases]]*100/$T$16</f>
        <v>2077.7777777777778</v>
      </c>
      <c r="I26" s="35">
        <f>Table2[[#This Row],[infection count, high end of estimate range]]-Table2[[#This Row],[infection count, low end of estimate range]]</f>
        <v>639.31623931623926</v>
      </c>
      <c r="J26" s="35">
        <f>(Table2[[#This Row],[infection count, low end of estimate range]]+Table2[[#This Row],[infection count, high end of estimate range]])/2</f>
        <v>1758.1196581196582</v>
      </c>
      <c r="K26" s="26">
        <f>Table2[[#This Row],[estimated infections]]/$T$6</f>
        <v>1.8535074903508579E-2</v>
      </c>
      <c r="L26" s="27">
        <f>Table2[[#This Row],[infection count, low end of estimate range]]/$T$6</f>
        <v>1.5683524918353415E-2</v>
      </c>
      <c r="M26" s="27">
        <f>Table2[[#This Row],[infection count, high end of estimate range]]/$T$6</f>
        <v>2.2653980437621599E-2</v>
      </c>
      <c r="N26" s="15">
        <f>Table2[[#This Row],[infection percentage, high end of estimate range]]-Table2[[#This Row],[infection percentage, low end of estimate range]]</f>
        <v>6.9704555192681844E-3</v>
      </c>
      <c r="O26" s="27">
        <f>(Table2[[#This Row],[infection percentage, low end of estimate range]]+Table2[[#This Row],[infection percentage, high end of estimate range]])/2</f>
        <v>1.9168752677987507E-2</v>
      </c>
      <c r="P26" s="3">
        <f>$T$6/(Table2[[#This Row],[cases]]*5)</f>
        <v>32.698039215686272</v>
      </c>
      <c r="Q26" s="3">
        <f>$T$6/(Table2[[#This Row],[cases]]*7)</f>
        <v>23.355742296918766</v>
      </c>
      <c r="R26" s="3">
        <f>Table2[[#This Row],[1-in-X odds, estimating 5x cases infected]]-Table2[[#This Row],[1-in-X odds, estimating 7x cases infected]]</f>
        <v>9.3422969187675058</v>
      </c>
      <c r="S26" s="3">
        <f>(Table2[[#This Row],[1-in-X odds, estimating 5x cases infected]]+Table2[[#This Row],[1-in-X odds, estimating 7x cases infected]])/2</f>
        <v>28.026890756302521</v>
      </c>
      <c r="V26" s="31"/>
    </row>
    <row r="27" spans="1:22">
      <c r="A27" s="91">
        <v>43935</v>
      </c>
      <c r="B27" s="86">
        <v>568</v>
      </c>
      <c r="C27" s="71">
        <f>Table2[[#This Row],[cases]]/$B$2</f>
        <v>6.1928956148193373E-3</v>
      </c>
      <c r="D27" s="26">
        <f>(Table2[[#This Row],[cases]]-B26)/B26</f>
        <v>1.2477718360071301E-2</v>
      </c>
      <c r="E27" s="38">
        <f t="shared" ref="E27" si="6">(LN(2)/LN(B27/B26))</f>
        <v>55.896652780975636</v>
      </c>
      <c r="F27" s="81">
        <f>Table2[[#This Row],[cases]]*100/$T$19</f>
        <v>1721.2121212121212</v>
      </c>
      <c r="G27" s="35">
        <f>Table2[[#This Row],[cases]]*100/$T$13</f>
        <v>1456.4102564102564</v>
      </c>
      <c r="H27" s="35">
        <f>Table2[[#This Row],[cases]]*100/$T$16</f>
        <v>2103.7037037037039</v>
      </c>
      <c r="I27" s="35">
        <f>Table2[[#This Row],[infection count, high end of estimate range]]-Table2[[#This Row],[infection count, low end of estimate range]]</f>
        <v>647.29344729344757</v>
      </c>
      <c r="J27" s="35">
        <f>(Table2[[#This Row],[infection count, low end of estimate range]]+Table2[[#This Row],[infection count, high end of estimate range]])/2</f>
        <v>1780.0569800569801</v>
      </c>
      <c r="K27" s="26">
        <f>Table2[[#This Row],[estimated infections]]/$T$6</f>
        <v>1.8766350347937388E-2</v>
      </c>
      <c r="L27" s="27">
        <f>Table2[[#This Row],[infection count, low end of estimate range]]/$T$6</f>
        <v>1.5879219525177787E-2</v>
      </c>
      <c r="M27" s="27">
        <f>Table2[[#This Row],[infection count, high end of estimate range]]/$T$6</f>
        <v>2.2936650425256808E-2</v>
      </c>
      <c r="N27" s="15">
        <f>Table2[[#This Row],[infection percentage, high end of estimate range]]-Table2[[#This Row],[infection percentage, low end of estimate range]]</f>
        <v>7.0574309000790217E-3</v>
      </c>
      <c r="O27" s="27">
        <f>(Table2[[#This Row],[infection percentage, low end of estimate range]]+Table2[[#This Row],[infection percentage, high end of estimate range]])/2</f>
        <v>1.9407934975217297E-2</v>
      </c>
      <c r="P27" s="3">
        <f>$T$6/(Table2[[#This Row],[cases]]*5)</f>
        <v>32.295070422535211</v>
      </c>
      <c r="Q27" s="3">
        <f>$T$6/(Table2[[#This Row],[cases]]*7)</f>
        <v>23.067907444668009</v>
      </c>
      <c r="R27" s="3">
        <f>Table2[[#This Row],[1-in-X odds, estimating 5x cases infected]]-Table2[[#This Row],[1-in-X odds, estimating 7x cases infected]]</f>
        <v>9.2271629778672022</v>
      </c>
      <c r="S27" s="3">
        <f>(Table2[[#This Row],[1-in-X odds, estimating 5x cases infected]]+Table2[[#This Row],[1-in-X odds, estimating 7x cases infected]])/2</f>
        <v>27.68148893360161</v>
      </c>
      <c r="V27" s="31"/>
    </row>
    <row r="28" spans="1:22">
      <c r="A28" s="91">
        <v>43936</v>
      </c>
      <c r="B28" s="86">
        <v>583</v>
      </c>
      <c r="C28" s="71">
        <f>Table2[[#This Row],[cases]]/$B$2</f>
        <v>6.3564403933797069E-3</v>
      </c>
      <c r="D28" s="26">
        <f>(Table2[[#This Row],[cases]]-B27)/B27</f>
        <v>2.6408450704225352E-2</v>
      </c>
      <c r="E28" s="38">
        <f t="shared" ref="E28" si="7">(LN(2)/LN(B28/B27))</f>
        <v>26.592241226753817</v>
      </c>
      <c r="F28" s="81">
        <f>Table2[[#This Row],[cases]]*100/$T$19</f>
        <v>1766.6666666666667</v>
      </c>
      <c r="G28" s="35">
        <f>Table2[[#This Row],[cases]]*100/$T$13</f>
        <v>1494.8717948717949</v>
      </c>
      <c r="H28" s="35">
        <f>Table2[[#This Row],[cases]]*100/$T$16</f>
        <v>2159.2592592592591</v>
      </c>
      <c r="I28" s="35">
        <f>Table2[[#This Row],[infection count, high end of estimate range]]-Table2[[#This Row],[infection count, low end of estimate range]]</f>
        <v>664.38746438746421</v>
      </c>
      <c r="J28" s="35">
        <f>(Table2[[#This Row],[infection count, low end of estimate range]]+Table2[[#This Row],[infection count, high end of estimate range]])/2</f>
        <v>1827.065527065527</v>
      </c>
      <c r="K28" s="26">
        <f>Table2[[#This Row],[estimated infections]]/$T$6</f>
        <v>1.9261940585999116E-2</v>
      </c>
      <c r="L28" s="27">
        <f>Table2[[#This Row],[infection count, low end of estimate range]]/$T$6</f>
        <v>1.6298565111230019E-2</v>
      </c>
      <c r="M28" s="27">
        <f>Table2[[#This Row],[infection count, high end of estimate range]]/$T$6</f>
        <v>2.3542371827332247E-2</v>
      </c>
      <c r="N28" s="15">
        <f>Table2[[#This Row],[infection percentage, high end of estimate range]]-Table2[[#This Row],[infection percentage, low end of estimate range]]</f>
        <v>7.2438067161022281E-3</v>
      </c>
      <c r="O28" s="27">
        <f>(Table2[[#This Row],[infection percentage, low end of estimate range]]+Table2[[#This Row],[infection percentage, high end of estimate range]])/2</f>
        <v>1.9920468469281132E-2</v>
      </c>
      <c r="P28" s="3">
        <f>$T$6/(Table2[[#This Row],[cases]]*5)</f>
        <v>31.464150943396227</v>
      </c>
      <c r="Q28" s="3">
        <f>$T$6/(Table2[[#This Row],[cases]]*7)</f>
        <v>22.474393530997304</v>
      </c>
      <c r="R28" s="3">
        <f>Table2[[#This Row],[1-in-X odds, estimating 5x cases infected]]-Table2[[#This Row],[1-in-X odds, estimating 7x cases infected]]</f>
        <v>8.989757412398923</v>
      </c>
      <c r="S28" s="3">
        <f>(Table2[[#This Row],[1-in-X odds, estimating 5x cases infected]]+Table2[[#This Row],[1-in-X odds, estimating 7x cases infected]])/2</f>
        <v>26.969272237196765</v>
      </c>
      <c r="V28" s="31"/>
    </row>
    <row r="29" spans="1:22">
      <c r="A29" s="91">
        <v>43937</v>
      </c>
      <c r="B29" s="86">
        <v>587</v>
      </c>
      <c r="C29" s="71">
        <f>Table2[[#This Row],[cases]]/$B$2</f>
        <v>6.4000523343291397E-3</v>
      </c>
      <c r="D29" s="26">
        <f>(Table2[[#This Row],[cases]]-B28)/B28</f>
        <v>6.8610634648370496E-3</v>
      </c>
      <c r="E29" s="38">
        <f t="shared" ref="E29:E30" si="8">(LN(2)/LN(B29/B28))</f>
        <v>101.37238020000403</v>
      </c>
      <c r="F29" s="81">
        <f>Table2[[#This Row],[cases]]*100/$T$19</f>
        <v>1778.7878787878788</v>
      </c>
      <c r="G29" s="35">
        <f>Table2[[#This Row],[cases]]*100/$T$13</f>
        <v>1505.1282051282051</v>
      </c>
      <c r="H29" s="35">
        <f>Table2[[#This Row],[cases]]*100/$T$16</f>
        <v>2174.0740740740739</v>
      </c>
      <c r="I29" s="35">
        <f>Table2[[#This Row],[infection count, high end of estimate range]]-Table2[[#This Row],[infection count, low end of estimate range]]</f>
        <v>668.94586894586882</v>
      </c>
      <c r="J29" s="35">
        <f>(Table2[[#This Row],[infection count, low end of estimate range]]+Table2[[#This Row],[infection count, high end of estimate range]])/2</f>
        <v>1839.6011396011395</v>
      </c>
      <c r="K29" s="26">
        <f>Table2[[#This Row],[estimated infections]]/$T$6</f>
        <v>1.9394097982815574E-2</v>
      </c>
      <c r="L29" s="27">
        <f>Table2[[#This Row],[infection count, low end of estimate range]]/$T$6</f>
        <v>1.6410390600843948E-2</v>
      </c>
      <c r="M29" s="27">
        <f>Table2[[#This Row],[infection count, high end of estimate range]]/$T$6</f>
        <v>2.3703897534552366E-2</v>
      </c>
      <c r="N29" s="15">
        <f>Table2[[#This Row],[infection percentage, high end of estimate range]]-Table2[[#This Row],[infection percentage, low end of estimate range]]</f>
        <v>7.2935069337084178E-3</v>
      </c>
      <c r="O29" s="27">
        <f>(Table2[[#This Row],[infection percentage, low end of estimate range]]+Table2[[#This Row],[infection percentage, high end of estimate range]])/2</f>
        <v>2.0057144067698159E-2</v>
      </c>
      <c r="P29" s="3">
        <f>$T$6/(Table2[[#This Row],[cases]]*5)</f>
        <v>31.249744463373084</v>
      </c>
      <c r="Q29" s="3">
        <f>$T$6/(Table2[[#This Row],[cases]]*7)</f>
        <v>22.321246045266488</v>
      </c>
      <c r="R29" s="3">
        <f>Table2[[#This Row],[1-in-X odds, estimating 5x cases infected]]-Table2[[#This Row],[1-in-X odds, estimating 7x cases infected]]</f>
        <v>8.9284984181065958</v>
      </c>
      <c r="S29" s="3">
        <f>(Table2[[#This Row],[1-in-X odds, estimating 5x cases infected]]+Table2[[#This Row],[1-in-X odds, estimating 7x cases infected]])/2</f>
        <v>26.785495254319784</v>
      </c>
      <c r="V29" s="31"/>
    </row>
    <row r="30" spans="1:22">
      <c r="A30" s="91">
        <v>43938</v>
      </c>
      <c r="B30" s="86">
        <v>607</v>
      </c>
      <c r="C30" s="71">
        <f>Table2[[#This Row],[cases]]/$B$2</f>
        <v>6.6181120390762993E-3</v>
      </c>
      <c r="D30" s="26">
        <f>(Table2[[#This Row],[cases]]-B29)/B29</f>
        <v>3.4071550255536626E-2</v>
      </c>
      <c r="E30" s="38">
        <f t="shared" si="8"/>
        <v>20.688508110653103</v>
      </c>
      <c r="F30" s="81">
        <f>Table2[[#This Row],[cases]]*100/$T$19</f>
        <v>1839.3939393939395</v>
      </c>
      <c r="G30" s="35">
        <f>Table2[[#This Row],[cases]]*100/$T$13</f>
        <v>1556.4102564102564</v>
      </c>
      <c r="H30" s="35">
        <f>Table2[[#This Row],[cases]]*100/$T$16</f>
        <v>2248.1481481481483</v>
      </c>
      <c r="I30" s="35">
        <f>Table2[[#This Row],[infection count, high end of estimate range]]-Table2[[#This Row],[infection count, low end of estimate range]]</f>
        <v>691.73789173789191</v>
      </c>
      <c r="J30" s="35">
        <f>(Table2[[#This Row],[infection count, low end of estimate range]]+Table2[[#This Row],[infection count, high end of estimate range]])/2</f>
        <v>1902.2792022792023</v>
      </c>
      <c r="K30" s="26">
        <f>Table2[[#This Row],[estimated infections]]/$T$6</f>
        <v>2.0054884966897876E-2</v>
      </c>
      <c r="L30" s="27">
        <f>Table2[[#This Row],[infection count, low end of estimate range]]/$T$6</f>
        <v>1.6969518048913588E-2</v>
      </c>
      <c r="M30" s="27">
        <f>Table2[[#This Row],[infection count, high end of estimate range]]/$T$6</f>
        <v>2.4511526070652961E-2</v>
      </c>
      <c r="N30" s="15">
        <f>Table2[[#This Row],[infection percentage, high end of estimate range]]-Table2[[#This Row],[infection percentage, low end of estimate range]]</f>
        <v>7.5420080217393735E-3</v>
      </c>
      <c r="O30" s="27">
        <f>(Table2[[#This Row],[infection percentage, low end of estimate range]]+Table2[[#This Row],[infection percentage, high end of estimate range]])/2</f>
        <v>2.0740522059783273E-2</v>
      </c>
      <c r="P30" s="3">
        <f>$T$6/(Table2[[#This Row],[cases]]*5)</f>
        <v>30.220098846787479</v>
      </c>
      <c r="Q30" s="3">
        <f>$T$6/(Table2[[#This Row],[cases]]*7)</f>
        <v>21.585784890562486</v>
      </c>
      <c r="R30" s="3">
        <f>Table2[[#This Row],[1-in-X odds, estimating 5x cases infected]]-Table2[[#This Row],[1-in-X odds, estimating 7x cases infected]]</f>
        <v>8.6343139562249931</v>
      </c>
      <c r="S30" s="3">
        <f>(Table2[[#This Row],[1-in-X odds, estimating 5x cases infected]]+Table2[[#This Row],[1-in-X odds, estimating 7x cases infected]])/2</f>
        <v>25.902941868674983</v>
      </c>
      <c r="V30" s="31"/>
    </row>
    <row r="31" spans="1:22">
      <c r="A31" s="91">
        <v>43939</v>
      </c>
      <c r="B31" s="86">
        <v>615</v>
      </c>
      <c r="C31" s="71">
        <f>Table2[[#This Row],[cases]]/$B$2</f>
        <v>6.7053359209751631E-3</v>
      </c>
      <c r="D31" s="26">
        <f>(Table2[[#This Row],[cases]]-B30)/B30</f>
        <v>1.3179571663920923E-2</v>
      </c>
      <c r="E31" s="38">
        <f t="shared" ref="E31" si="9">(LN(2)/LN(B31/B30))</f>
        <v>52.938359608552602</v>
      </c>
      <c r="F31" s="81">
        <f>Table2[[#This Row],[cases]]*100/$T$19</f>
        <v>1863.6363636363637</v>
      </c>
      <c r="G31" s="35">
        <f>Table2[[#This Row],[cases]]*100/$T$13</f>
        <v>1576.9230769230769</v>
      </c>
      <c r="H31" s="35">
        <f>Table2[[#This Row],[cases]]*100/$T$16</f>
        <v>2277.7777777777778</v>
      </c>
      <c r="I31" s="35">
        <f>Table2[[#This Row],[infection count, high end of estimate range]]-Table2[[#This Row],[infection count, low end of estimate range]]</f>
        <v>700.85470085470092</v>
      </c>
      <c r="J31" s="35">
        <f>(Table2[[#This Row],[infection count, low end of estimate range]]+Table2[[#This Row],[infection count, high end of estimate range]])/2</f>
        <v>1927.3504273504273</v>
      </c>
      <c r="K31" s="26">
        <f>Table2[[#This Row],[estimated infections]]/$T$6</f>
        <v>2.0319199760530798E-2</v>
      </c>
      <c r="L31" s="27">
        <f>Table2[[#This Row],[infection count, low end of estimate range]]/$T$6</f>
        <v>1.7193169028141442E-2</v>
      </c>
      <c r="M31" s="27">
        <f>Table2[[#This Row],[infection count, high end of estimate range]]/$T$6</f>
        <v>2.4834577485093198E-2</v>
      </c>
      <c r="N31" s="15">
        <f>Table2[[#This Row],[infection percentage, high end of estimate range]]-Table2[[#This Row],[infection percentage, low end of estimate range]]</f>
        <v>7.6414084569517565E-3</v>
      </c>
      <c r="O31" s="27">
        <f>(Table2[[#This Row],[infection percentage, low end of estimate range]]+Table2[[#This Row],[infection percentage, high end of estimate range]])/2</f>
        <v>2.101387325661732E-2</v>
      </c>
      <c r="P31" s="3">
        <f>$T$6/(Table2[[#This Row],[cases]]*5)</f>
        <v>29.8269918699187</v>
      </c>
      <c r="Q31" s="3">
        <f>$T$6/(Table2[[#This Row],[cases]]*7)</f>
        <v>21.304994192799072</v>
      </c>
      <c r="R31" s="3">
        <f>Table2[[#This Row],[1-in-X odds, estimating 5x cases infected]]-Table2[[#This Row],[1-in-X odds, estimating 7x cases infected]]</f>
        <v>8.5219976771196286</v>
      </c>
      <c r="S31" s="3">
        <f>(Table2[[#This Row],[1-in-X odds, estimating 5x cases infected]]+Table2[[#This Row],[1-in-X odds, estimating 7x cases infected]])/2</f>
        <v>25.565993031358886</v>
      </c>
      <c r="V31" s="31"/>
    </row>
    <row r="32" spans="1:22">
      <c r="A32" s="91">
        <v>43940</v>
      </c>
      <c r="B32" s="86">
        <v>636</v>
      </c>
      <c r="C32" s="71">
        <f>Table2[[#This Row],[cases]]/$B$2</f>
        <v>6.9342986109596806E-3</v>
      </c>
      <c r="D32" s="26">
        <f>(Table2[[#This Row],[cases]]-B31)/B31</f>
        <v>3.4146341463414637E-2</v>
      </c>
      <c r="E32" s="38">
        <f t="shared" ref="E32:E34" si="10">(LN(2)/LN(B32/B31))</f>
        <v>20.643944471665133</v>
      </c>
      <c r="F32" s="81">
        <f>Table2[[#This Row],[cases]]*100/$T$19</f>
        <v>1927.2727272727273</v>
      </c>
      <c r="G32" s="35">
        <f>Table2[[#This Row],[cases]]*100/$T$13</f>
        <v>1630.7692307692307</v>
      </c>
      <c r="H32" s="35">
        <f>Table2[[#This Row],[cases]]*100/$T$16</f>
        <v>2355.5555555555557</v>
      </c>
      <c r="I32" s="35">
        <f>Table2[[#This Row],[infection count, high end of estimate range]]-Table2[[#This Row],[infection count, low end of estimate range]]</f>
        <v>724.78632478632494</v>
      </c>
      <c r="J32" s="35">
        <f>(Table2[[#This Row],[infection count, low end of estimate range]]+Table2[[#This Row],[infection count, high end of estimate range]])/2</f>
        <v>1993.1623931623931</v>
      </c>
      <c r="K32" s="26">
        <f>Table2[[#This Row],[estimated infections]]/$T$6</f>
        <v>2.1013026093817215E-2</v>
      </c>
      <c r="L32" s="27">
        <f>Table2[[#This Row],[infection count, low end of estimate range]]/$T$6</f>
        <v>1.7780252848614564E-2</v>
      </c>
      <c r="M32" s="27">
        <f>Table2[[#This Row],[infection count, high end of estimate range]]/$T$6</f>
        <v>2.5682587447998818E-2</v>
      </c>
      <c r="N32" s="15">
        <f>Table2[[#This Row],[infection percentage, high end of estimate range]]-Table2[[#This Row],[infection percentage, low end of estimate range]]</f>
        <v>7.9023345993842545E-3</v>
      </c>
      <c r="O32" s="27">
        <f>(Table2[[#This Row],[infection percentage, low end of estimate range]]+Table2[[#This Row],[infection percentage, high end of estimate range]])/2</f>
        <v>2.1731420148306691E-2</v>
      </c>
      <c r="P32" s="3">
        <f>$T$6/(Table2[[#This Row],[cases]]*5)</f>
        <v>28.842138364779874</v>
      </c>
      <c r="Q32" s="3">
        <f>$T$6/(Table2[[#This Row],[cases]]*7)</f>
        <v>20.601527403414195</v>
      </c>
      <c r="R32" s="3">
        <f>Table2[[#This Row],[1-in-X odds, estimating 5x cases infected]]-Table2[[#This Row],[1-in-X odds, estimating 7x cases infected]]</f>
        <v>8.2406109613656788</v>
      </c>
      <c r="S32" s="3">
        <f>(Table2[[#This Row],[1-in-X odds, estimating 5x cases infected]]+Table2[[#This Row],[1-in-X odds, estimating 7x cases infected]])/2</f>
        <v>24.721832884097033</v>
      </c>
      <c r="V32" s="31"/>
    </row>
    <row r="33" spans="1:22">
      <c r="A33" s="91">
        <v>43941</v>
      </c>
      <c r="B33" s="86">
        <v>641</v>
      </c>
      <c r="C33" s="71">
        <f>Table2[[#This Row],[cases]]/$B$2</f>
        <v>6.9888135371464705E-3</v>
      </c>
      <c r="D33" s="26">
        <f>(Table2[[#This Row],[cases]]-B32)/B32</f>
        <v>7.8616352201257862E-3</v>
      </c>
      <c r="E33" s="38">
        <f t="shared" si="10"/>
        <v>88.514442627817402</v>
      </c>
      <c r="F33" s="81">
        <f>Table2[[#This Row],[cases]]*100/$T$19</f>
        <v>1942.4242424242425</v>
      </c>
      <c r="G33" s="35">
        <f>Table2[[#This Row],[cases]]*100/$T$13</f>
        <v>1643.5897435897436</v>
      </c>
      <c r="H33" s="35">
        <f>Table2[[#This Row],[cases]]*100/$T$16</f>
        <v>2374.0740740740739</v>
      </c>
      <c r="I33" s="35">
        <f>Table2[[#This Row],[infection count, high end of estimate range]]-Table2[[#This Row],[infection count, low end of estimate range]]</f>
        <v>730.48433048433026</v>
      </c>
      <c r="J33" s="35">
        <f>(Table2[[#This Row],[infection count, low end of estimate range]]+Table2[[#This Row],[infection count, high end of estimate range]])/2</f>
        <v>2008.8319088319088</v>
      </c>
      <c r="K33" s="26">
        <f>Table2[[#This Row],[estimated infections]]/$T$6</f>
        <v>2.117822283983779E-2</v>
      </c>
      <c r="L33" s="27">
        <f>Table2[[#This Row],[infection count, low end of estimate range]]/$T$6</f>
        <v>1.7920034710631978E-2</v>
      </c>
      <c r="M33" s="27">
        <f>Table2[[#This Row],[infection count, high end of estimate range]]/$T$6</f>
        <v>2.5884494582023965E-2</v>
      </c>
      <c r="N33" s="15">
        <f>Table2[[#This Row],[infection percentage, high end of estimate range]]-Table2[[#This Row],[infection percentage, low end of estimate range]]</f>
        <v>7.9644598713919865E-3</v>
      </c>
      <c r="O33" s="27">
        <f>(Table2[[#This Row],[infection percentage, low end of estimate range]]+Table2[[#This Row],[infection percentage, high end of estimate range]])/2</f>
        <v>2.1902264646327971E-2</v>
      </c>
      <c r="P33" s="3">
        <f>$T$6/(Table2[[#This Row],[cases]]*5)</f>
        <v>28.617160686427457</v>
      </c>
      <c r="Q33" s="3">
        <f>$T$6/(Table2[[#This Row],[cases]]*7)</f>
        <v>20.440829061733897</v>
      </c>
      <c r="R33" s="3">
        <f>Table2[[#This Row],[1-in-X odds, estimating 5x cases infected]]-Table2[[#This Row],[1-in-X odds, estimating 7x cases infected]]</f>
        <v>8.1763316246935602</v>
      </c>
      <c r="S33" s="3">
        <f>(Table2[[#This Row],[1-in-X odds, estimating 5x cases infected]]+Table2[[#This Row],[1-in-X odds, estimating 7x cases infected]])/2</f>
        <v>24.528994874080677</v>
      </c>
      <c r="V33" s="31"/>
    </row>
    <row r="34" spans="1:22">
      <c r="A34" s="91">
        <v>43942</v>
      </c>
      <c r="B34" s="86">
        <v>651</v>
      </c>
      <c r="C34" s="71">
        <f>Table2[[#This Row],[cases]]/$B$2</f>
        <v>7.0978433895200503E-3</v>
      </c>
      <c r="D34" s="26">
        <f>(Table2[[#This Row],[cases]]-B33)/B33</f>
        <v>1.5600624024960999E-2</v>
      </c>
      <c r="E34" s="38">
        <f t="shared" si="10"/>
        <v>44.776413697177858</v>
      </c>
      <c r="F34" s="81">
        <f>Table2[[#This Row],[cases]]*100/$T$19</f>
        <v>1972.7272727272727</v>
      </c>
      <c r="G34" s="35">
        <f>Table2[[#This Row],[cases]]*100/$T$13</f>
        <v>1669.2307692307693</v>
      </c>
      <c r="H34" s="35">
        <f>Table2[[#This Row],[cases]]*100/$T$16</f>
        <v>2411.1111111111113</v>
      </c>
      <c r="I34" s="35">
        <f>Table2[[#This Row],[infection count, high end of estimate range]]-Table2[[#This Row],[infection count, low end of estimate range]]</f>
        <v>741.88034188034203</v>
      </c>
      <c r="J34" s="35">
        <f>(Table2[[#This Row],[infection count, low end of estimate range]]+Table2[[#This Row],[infection count, high end of estimate range]])/2</f>
        <v>2040.1709401709404</v>
      </c>
      <c r="K34" s="26">
        <f>Table2[[#This Row],[estimated infections]]/$T$6</f>
        <v>2.1508616331878942E-2</v>
      </c>
      <c r="L34" s="27">
        <f>Table2[[#This Row],[infection count, low end of estimate range]]/$T$6</f>
        <v>1.8199598434666796E-2</v>
      </c>
      <c r="M34" s="27">
        <f>Table2[[#This Row],[infection count, high end of estimate range]]/$T$6</f>
        <v>2.6288308850074264E-2</v>
      </c>
      <c r="N34" s="15">
        <f>Table2[[#This Row],[infection percentage, high end of estimate range]]-Table2[[#This Row],[infection percentage, low end of estimate range]]</f>
        <v>8.0887104154074678E-3</v>
      </c>
      <c r="O34" s="27">
        <f>(Table2[[#This Row],[infection percentage, low end of estimate range]]+Table2[[#This Row],[infection percentage, high end of estimate range]])/2</f>
        <v>2.2243953642370529E-2</v>
      </c>
      <c r="P34" s="3">
        <f>$T$6/(Table2[[#This Row],[cases]]*5)</f>
        <v>28.177572964669739</v>
      </c>
      <c r="Q34" s="3">
        <f>$T$6/(Table2[[#This Row],[cases]]*7)</f>
        <v>20.126837831906958</v>
      </c>
      <c r="R34" s="3">
        <f>Table2[[#This Row],[1-in-X odds, estimating 5x cases infected]]-Table2[[#This Row],[1-in-X odds, estimating 7x cases infected]]</f>
        <v>8.0507351327627816</v>
      </c>
      <c r="S34" s="3">
        <f>(Table2[[#This Row],[1-in-X odds, estimating 5x cases infected]]+Table2[[#This Row],[1-in-X odds, estimating 7x cases infected]])/2</f>
        <v>24.152205398288348</v>
      </c>
      <c r="V34" s="31"/>
    </row>
    <row r="35" spans="1:22">
      <c r="A35" s="91">
        <v>43943</v>
      </c>
      <c r="B35" s="86">
        <v>659</v>
      </c>
      <c r="C35" s="71">
        <f>Table2[[#This Row],[cases]]/$B$2</f>
        <v>7.1850672714189141E-3</v>
      </c>
      <c r="D35" s="26">
        <f>(Table2[[#This Row],[cases]]-B34)/B34</f>
        <v>1.2288786482334869E-2</v>
      </c>
      <c r="E35" s="38">
        <f t="shared" ref="E35:E44" si="11">(LN(2)/LN(B35/B34))</f>
        <v>56.75071990801559</v>
      </c>
      <c r="F35" s="81">
        <f>Table2[[#This Row],[cases]]*100/$T$19</f>
        <v>1996.969696969697</v>
      </c>
      <c r="G35" s="35">
        <f>Table2[[#This Row],[cases]]*100/$T$13</f>
        <v>1689.7435897435898</v>
      </c>
      <c r="H35" s="35">
        <f>Table2[[#This Row],[cases]]*100/$T$16</f>
        <v>2440.7407407407409</v>
      </c>
      <c r="I35" s="35">
        <f>Table2[[#This Row],[infection count, high end of estimate range]]-Table2[[#This Row],[infection count, low end of estimate range]]</f>
        <v>750.99715099715104</v>
      </c>
      <c r="J35" s="35">
        <f>(Table2[[#This Row],[infection count, low end of estimate range]]+Table2[[#This Row],[infection count, high end of estimate range]])/2</f>
        <v>2065.2421652421654</v>
      </c>
      <c r="K35" s="26">
        <f>Table2[[#This Row],[estimated infections]]/$T$6</f>
        <v>2.1772931125511864E-2</v>
      </c>
      <c r="L35" s="27">
        <f>Table2[[#This Row],[infection count, low end of estimate range]]/$T$6</f>
        <v>1.8423249413894654E-2</v>
      </c>
      <c r="M35" s="27">
        <f>Table2[[#This Row],[infection count, high end of estimate range]]/$T$6</f>
        <v>2.6611360264514501E-2</v>
      </c>
      <c r="N35" s="15">
        <f>Table2[[#This Row],[infection percentage, high end of estimate range]]-Table2[[#This Row],[infection percentage, low end of estimate range]]</f>
        <v>8.1881108506198473E-3</v>
      </c>
      <c r="O35" s="27">
        <f>(Table2[[#This Row],[infection percentage, low end of estimate range]]+Table2[[#This Row],[infection percentage, high end of estimate range]])/2</f>
        <v>2.2517304839204576E-2</v>
      </c>
      <c r="P35" s="3">
        <f>$T$6/(Table2[[#This Row],[cases]]*5)</f>
        <v>27.835508345978756</v>
      </c>
      <c r="Q35" s="3">
        <f>$T$6/(Table2[[#This Row],[cases]]*7)</f>
        <v>19.882505961413397</v>
      </c>
      <c r="R35" s="3">
        <f>Table2[[#This Row],[1-in-X odds, estimating 5x cases infected]]-Table2[[#This Row],[1-in-X odds, estimating 7x cases infected]]</f>
        <v>7.9530023845653588</v>
      </c>
      <c r="S35" s="3">
        <f>(Table2[[#This Row],[1-in-X odds, estimating 5x cases infected]]+Table2[[#This Row],[1-in-X odds, estimating 7x cases infected]])/2</f>
        <v>23.859007153696076</v>
      </c>
      <c r="V35" s="31"/>
    </row>
    <row r="36" spans="1:22">
      <c r="A36" s="91">
        <v>43944</v>
      </c>
      <c r="B36" s="86">
        <v>661</v>
      </c>
      <c r="C36" s="71">
        <f>Table2[[#This Row],[cases]]/$B$2</f>
        <v>7.2068732418936301E-3</v>
      </c>
      <c r="D36" s="26">
        <f>(Table2[[#This Row],[cases]]-B35)/B35</f>
        <v>3.0349013657056147E-3</v>
      </c>
      <c r="E36" s="38">
        <f t="shared" si="11"/>
        <v>228.73839454750822</v>
      </c>
      <c r="F36" s="81">
        <f>Table2[[#This Row],[cases]]*100/$T$19</f>
        <v>2003.030303030303</v>
      </c>
      <c r="G36" s="35">
        <f>Table2[[#This Row],[cases]]*100/$T$13</f>
        <v>1694.8717948717949</v>
      </c>
      <c r="H36" s="35">
        <f>Table2[[#This Row],[cases]]*100/$T$16</f>
        <v>2448.1481481481483</v>
      </c>
      <c r="I36" s="35">
        <f>Table2[[#This Row],[infection count, high end of estimate range]]-Table2[[#This Row],[infection count, low end of estimate range]]</f>
        <v>753.27635327635335</v>
      </c>
      <c r="J36" s="35">
        <f>(Table2[[#This Row],[infection count, low end of estimate range]]+Table2[[#This Row],[infection count, high end of estimate range]])/2</f>
        <v>2071.5099715099714</v>
      </c>
      <c r="K36" s="26">
        <f>Table2[[#This Row],[estimated infections]]/$T$6</f>
        <v>2.1839009823920091E-2</v>
      </c>
      <c r="L36" s="27">
        <f>Table2[[#This Row],[infection count, low end of estimate range]]/$T$6</f>
        <v>1.8479162158701618E-2</v>
      </c>
      <c r="M36" s="27">
        <f>Table2[[#This Row],[infection count, high end of estimate range]]/$T$6</f>
        <v>2.6692123118124557E-2</v>
      </c>
      <c r="N36" s="15">
        <f>Table2[[#This Row],[infection percentage, high end of estimate range]]-Table2[[#This Row],[infection percentage, low end of estimate range]]</f>
        <v>8.2129609594229387E-3</v>
      </c>
      <c r="O36" s="27">
        <f>(Table2[[#This Row],[infection percentage, low end of estimate range]]+Table2[[#This Row],[infection percentage, high end of estimate range]])/2</f>
        <v>2.2585642638413089E-2</v>
      </c>
      <c r="P36" s="3">
        <f>$T$6/(Table2[[#This Row],[cases]]*5)</f>
        <v>27.751285930408471</v>
      </c>
      <c r="Q36" s="3">
        <f>$T$6/(Table2[[#This Row],[cases]]*7)</f>
        <v>19.82234709314891</v>
      </c>
      <c r="R36" s="3">
        <f>Table2[[#This Row],[1-in-X odds, estimating 5x cases infected]]-Table2[[#This Row],[1-in-X odds, estimating 7x cases infected]]</f>
        <v>7.9289388372595617</v>
      </c>
      <c r="S36" s="3">
        <f>(Table2[[#This Row],[1-in-X odds, estimating 5x cases infected]]+Table2[[#This Row],[1-in-X odds, estimating 7x cases infected]])/2</f>
        <v>23.786816511778689</v>
      </c>
      <c r="V36" s="31"/>
    </row>
    <row r="37" spans="1:22">
      <c r="A37" s="91">
        <v>43945</v>
      </c>
      <c r="B37" s="86">
        <v>671</v>
      </c>
      <c r="C37" s="71">
        <f>Table2[[#This Row],[cases]]/$B$2</f>
        <v>7.3159030942672107E-3</v>
      </c>
      <c r="D37" s="26">
        <f>(Table2[[#This Row],[cases]]-B36)/B36</f>
        <v>1.5128593040847202E-2</v>
      </c>
      <c r="E37" s="38">
        <f t="shared" si="11"/>
        <v>46.162734910979644</v>
      </c>
      <c r="F37" s="81">
        <f>Table2[[#This Row],[cases]]*100/$T$19</f>
        <v>2033.3333333333333</v>
      </c>
      <c r="G37" s="35">
        <f>Table2[[#This Row],[cases]]*100/$T$13</f>
        <v>1720.5128205128206</v>
      </c>
      <c r="H37" s="35">
        <f>Table2[[#This Row],[cases]]*100/$T$16</f>
        <v>2485.1851851851852</v>
      </c>
      <c r="I37" s="35">
        <f>Table2[[#This Row],[infection count, high end of estimate range]]-Table2[[#This Row],[infection count, low end of estimate range]]</f>
        <v>764.67236467236467</v>
      </c>
      <c r="J37" s="35">
        <f>(Table2[[#This Row],[infection count, low end of estimate range]]+Table2[[#This Row],[infection count, high end of estimate range]])/2</f>
        <v>2102.8490028490028</v>
      </c>
      <c r="K37" s="26">
        <f>Table2[[#This Row],[estimated infections]]/$T$6</f>
        <v>2.2169403315961244E-2</v>
      </c>
      <c r="L37" s="27">
        <f>Table2[[#This Row],[infection count, low end of estimate range]]/$T$6</f>
        <v>1.8758725882736436E-2</v>
      </c>
      <c r="M37" s="27">
        <f>Table2[[#This Row],[infection count, high end of estimate range]]/$T$6</f>
        <v>2.7095937386174853E-2</v>
      </c>
      <c r="N37" s="15">
        <f>Table2[[#This Row],[infection percentage, high end of estimate range]]-Table2[[#This Row],[infection percentage, low end of estimate range]]</f>
        <v>8.3372115034384166E-3</v>
      </c>
      <c r="O37" s="27">
        <f>(Table2[[#This Row],[infection percentage, low end of estimate range]]+Table2[[#This Row],[infection percentage, high end of estimate range]])/2</f>
        <v>2.2927331634455643E-2</v>
      </c>
      <c r="P37" s="3">
        <f>$T$6/(Table2[[#This Row],[cases]]*5)</f>
        <v>27.337704918032788</v>
      </c>
      <c r="Q37" s="3">
        <f>$T$6/(Table2[[#This Row],[cases]]*7)</f>
        <v>19.526932084309134</v>
      </c>
      <c r="R37" s="3">
        <f>Table2[[#This Row],[1-in-X odds, estimating 5x cases infected]]-Table2[[#This Row],[1-in-X odds, estimating 7x cases infected]]</f>
        <v>7.8107728337236537</v>
      </c>
      <c r="S37" s="3">
        <f>(Table2[[#This Row],[1-in-X odds, estimating 5x cases infected]]+Table2[[#This Row],[1-in-X odds, estimating 7x cases infected]])/2</f>
        <v>23.432318501170961</v>
      </c>
      <c r="V37" s="31"/>
    </row>
    <row r="38" spans="1:22">
      <c r="A38" s="91">
        <v>43946</v>
      </c>
      <c r="B38" s="86">
        <v>674</v>
      </c>
      <c r="C38" s="71">
        <f>Table2[[#This Row],[cases]]/$B$2</f>
        <v>7.3486120499792846E-3</v>
      </c>
      <c r="D38" s="26">
        <f>(Table2[[#This Row],[cases]]-B37)/B37</f>
        <v>4.4709388971684054E-3</v>
      </c>
      <c r="E38" s="38">
        <f t="shared" si="11"/>
        <v>155.38023529964653</v>
      </c>
      <c r="F38" s="81">
        <f>Table2[[#This Row],[cases]]*100/$T$19</f>
        <v>2042.4242424242425</v>
      </c>
      <c r="G38" s="35">
        <f>Table2[[#This Row],[cases]]*100/$T$13</f>
        <v>1728.2051282051282</v>
      </c>
      <c r="H38" s="35">
        <f>Table2[[#This Row],[cases]]*100/$T$16</f>
        <v>2496.2962962962961</v>
      </c>
      <c r="I38" s="35">
        <f>Table2[[#This Row],[infection count, high end of estimate range]]-Table2[[#This Row],[infection count, low end of estimate range]]</f>
        <v>768.0911680911679</v>
      </c>
      <c r="J38" s="35">
        <f>(Table2[[#This Row],[infection count, low end of estimate range]]+Table2[[#This Row],[infection count, high end of estimate range]])/2</f>
        <v>2112.2507122507122</v>
      </c>
      <c r="K38" s="26">
        <f>Table2[[#This Row],[estimated infections]]/$T$6</f>
        <v>2.2268521363573591E-2</v>
      </c>
      <c r="L38" s="27">
        <f>Table2[[#This Row],[infection count, low end of estimate range]]/$T$6</f>
        <v>1.8842594999946883E-2</v>
      </c>
      <c r="M38" s="27">
        <f>Table2[[#This Row],[infection count, high end of estimate range]]/$T$6</f>
        <v>2.721708166658994E-2</v>
      </c>
      <c r="N38" s="15">
        <f>Table2[[#This Row],[infection percentage, high end of estimate range]]-Table2[[#This Row],[infection percentage, low end of estimate range]]</f>
        <v>8.3744866666430572E-3</v>
      </c>
      <c r="O38" s="27">
        <f>(Table2[[#This Row],[infection percentage, low end of estimate range]]+Table2[[#This Row],[infection percentage, high end of estimate range]])/2</f>
        <v>2.302983833326841E-2</v>
      </c>
      <c r="P38" s="3">
        <f>$T$6/(Table2[[#This Row],[cases]]*5)</f>
        <v>27.216023738872405</v>
      </c>
      <c r="Q38" s="3">
        <f>$T$6/(Table2[[#This Row],[cases]]*7)</f>
        <v>19.440016956337431</v>
      </c>
      <c r="R38" s="3">
        <f>Table2[[#This Row],[1-in-X odds, estimating 5x cases infected]]-Table2[[#This Row],[1-in-X odds, estimating 7x cases infected]]</f>
        <v>7.7760067825349743</v>
      </c>
      <c r="S38" s="3">
        <f>(Table2[[#This Row],[1-in-X odds, estimating 5x cases infected]]+Table2[[#This Row],[1-in-X odds, estimating 7x cases infected]])/2</f>
        <v>23.328020347604919</v>
      </c>
      <c r="V38" s="31"/>
    </row>
    <row r="39" spans="1:22">
      <c r="A39" s="91">
        <v>43947</v>
      </c>
      <c r="B39" s="86">
        <v>678</v>
      </c>
      <c r="C39" s="71">
        <f>Table2[[#This Row],[cases]]/$B$2</f>
        <v>7.3922239909287165E-3</v>
      </c>
      <c r="D39" s="26">
        <f>(Table2[[#This Row],[cases]]-B38)/B38</f>
        <v>5.9347181008902079E-3</v>
      </c>
      <c r="E39" s="38">
        <f t="shared" si="11"/>
        <v>117.14153172528272</v>
      </c>
      <c r="F39" s="81">
        <f>Table2[[#This Row],[cases]]*100/$T$19</f>
        <v>2054.5454545454545</v>
      </c>
      <c r="G39" s="35">
        <f>Table2[[#This Row],[cases]]*100/$T$13</f>
        <v>1738.4615384615386</v>
      </c>
      <c r="H39" s="35">
        <f>Table2[[#This Row],[cases]]*100/$T$16</f>
        <v>2511.1111111111113</v>
      </c>
      <c r="I39" s="35">
        <f>Table2[[#This Row],[infection count, high end of estimate range]]-Table2[[#This Row],[infection count, low end of estimate range]]</f>
        <v>772.64957264957275</v>
      </c>
      <c r="J39" s="35">
        <f>(Table2[[#This Row],[infection count, low end of estimate range]]+Table2[[#This Row],[infection count, high end of estimate range]])/2</f>
        <v>2124.7863247863252</v>
      </c>
      <c r="K39" s="26">
        <f>Table2[[#This Row],[estimated infections]]/$T$6</f>
        <v>2.240067876039005E-2</v>
      </c>
      <c r="L39" s="27">
        <f>Table2[[#This Row],[infection count, low end of estimate range]]/$T$6</f>
        <v>1.8954420489560812E-2</v>
      </c>
      <c r="M39" s="27">
        <f>Table2[[#This Row],[infection count, high end of estimate range]]/$T$6</f>
        <v>2.7378607373810062E-2</v>
      </c>
      <c r="N39" s="15">
        <f>Table2[[#This Row],[infection percentage, high end of estimate range]]-Table2[[#This Row],[infection percentage, low end of estimate range]]</f>
        <v>8.4241868842492504E-3</v>
      </c>
      <c r="O39" s="27">
        <f>(Table2[[#This Row],[infection percentage, low end of estimate range]]+Table2[[#This Row],[infection percentage, high end of estimate range]])/2</f>
        <v>2.3166513931685437E-2</v>
      </c>
      <c r="P39" s="3">
        <f>$T$6/(Table2[[#This Row],[cases]]*5)</f>
        <v>27.055457227138643</v>
      </c>
      <c r="Q39" s="3">
        <f>$T$6/(Table2[[#This Row],[cases]]*7)</f>
        <v>19.325326590813315</v>
      </c>
      <c r="R39" s="3">
        <f>Table2[[#This Row],[1-in-X odds, estimating 5x cases infected]]-Table2[[#This Row],[1-in-X odds, estimating 7x cases infected]]</f>
        <v>7.7301306363253275</v>
      </c>
      <c r="S39" s="3">
        <f>(Table2[[#This Row],[1-in-X odds, estimating 5x cases infected]]+Table2[[#This Row],[1-in-X odds, estimating 7x cases infected]])/2</f>
        <v>23.190391908975979</v>
      </c>
      <c r="V39" s="31"/>
    </row>
    <row r="40" spans="1:22">
      <c r="A40" s="91">
        <v>43948</v>
      </c>
      <c r="B40" s="86">
        <v>681</v>
      </c>
      <c r="C40" s="71">
        <f>Table2[[#This Row],[cases]]/$B$2</f>
        <v>7.4249329466407905E-3</v>
      </c>
      <c r="D40" s="26">
        <f>(Table2[[#This Row],[cases]]-B39)/B39</f>
        <v>4.4247787610619468E-3</v>
      </c>
      <c r="E40" s="38">
        <f t="shared" si="11"/>
        <v>156.99758137546218</v>
      </c>
      <c r="F40" s="81">
        <f>Table2[[#This Row],[cases]]*100/$T$19</f>
        <v>2063.6363636363635</v>
      </c>
      <c r="G40" s="35">
        <f>Table2[[#This Row],[cases]]*100/$T$13</f>
        <v>1746.1538461538462</v>
      </c>
      <c r="H40" s="35">
        <f>Table2[[#This Row],[cases]]*100/$T$16</f>
        <v>2522.2222222222222</v>
      </c>
      <c r="I40" s="35">
        <f>Table2[[#This Row],[infection count, high end of estimate range]]-Table2[[#This Row],[infection count, low end of estimate range]]</f>
        <v>776.06837606837598</v>
      </c>
      <c r="J40" s="35">
        <f>(Table2[[#This Row],[infection count, low end of estimate range]]+Table2[[#This Row],[infection count, high end of estimate range]])/2</f>
        <v>2134.1880341880342</v>
      </c>
      <c r="K40" s="26">
        <f>Table2[[#This Row],[estimated infections]]/$T$6</f>
        <v>2.2499796808002393E-2</v>
      </c>
      <c r="L40" s="27">
        <f>Table2[[#This Row],[infection count, low end of estimate range]]/$T$6</f>
        <v>1.9038289606771258E-2</v>
      </c>
      <c r="M40" s="27">
        <f>Table2[[#This Row],[infection count, high end of estimate range]]/$T$6</f>
        <v>2.7499751654225149E-2</v>
      </c>
      <c r="N40" s="15">
        <f>Table2[[#This Row],[infection percentage, high end of estimate range]]-Table2[[#This Row],[infection percentage, low end of estimate range]]</f>
        <v>8.461462047453891E-3</v>
      </c>
      <c r="O40" s="27">
        <f>(Table2[[#This Row],[infection percentage, low end of estimate range]]+Table2[[#This Row],[infection percentage, high end of estimate range]])/2</f>
        <v>2.3269020630498204E-2</v>
      </c>
      <c r="P40" s="3">
        <f>$T$6/(Table2[[#This Row],[cases]]*5)</f>
        <v>26.93627019089574</v>
      </c>
      <c r="Q40" s="3">
        <f>$T$6/(Table2[[#This Row],[cases]]*7)</f>
        <v>19.240192993496958</v>
      </c>
      <c r="R40" s="3">
        <f>Table2[[#This Row],[1-in-X odds, estimating 5x cases infected]]-Table2[[#This Row],[1-in-X odds, estimating 7x cases infected]]</f>
        <v>7.6960771973987825</v>
      </c>
      <c r="S40" s="3">
        <f>(Table2[[#This Row],[1-in-X odds, estimating 5x cases infected]]+Table2[[#This Row],[1-in-X odds, estimating 7x cases infected]])/2</f>
        <v>23.088231592196351</v>
      </c>
      <c r="V40" s="31"/>
    </row>
    <row r="41" spans="1:22">
      <c r="A41" s="91">
        <v>43949</v>
      </c>
      <c r="B41" s="86">
        <v>690</v>
      </c>
      <c r="C41" s="71">
        <f>Table2[[#This Row],[cases]]/$B$2</f>
        <v>7.5230598137770123E-3</v>
      </c>
      <c r="D41" s="26">
        <f>(Table2[[#This Row],[cases]]-B40)/B40</f>
        <v>1.3215859030837005E-2</v>
      </c>
      <c r="E41" s="38">
        <f t="shared" si="11"/>
        <v>52.793951877215413</v>
      </c>
      <c r="F41" s="81">
        <f>Table2[[#This Row],[cases]]*100/$T$19</f>
        <v>2090.909090909091</v>
      </c>
      <c r="G41" s="35">
        <f>Table2[[#This Row],[cases]]*100/$T$13</f>
        <v>1769.2307692307693</v>
      </c>
      <c r="H41" s="35">
        <f>Table2[[#This Row],[cases]]*100/$T$16</f>
        <v>2555.5555555555557</v>
      </c>
      <c r="I41" s="35">
        <f>Table2[[#This Row],[infection count, high end of estimate range]]-Table2[[#This Row],[infection count, low end of estimate range]]</f>
        <v>786.32478632478637</v>
      </c>
      <c r="J41" s="35">
        <f>(Table2[[#This Row],[infection count, low end of estimate range]]+Table2[[#This Row],[infection count, high end of estimate range]])/2</f>
        <v>2162.3931623931626</v>
      </c>
      <c r="K41" s="26">
        <f>Table2[[#This Row],[estimated infections]]/$T$6</f>
        <v>2.279715095083943E-2</v>
      </c>
      <c r="L41" s="27">
        <f>Table2[[#This Row],[infection count, low end of estimate range]]/$T$6</f>
        <v>1.9289896958402594E-2</v>
      </c>
      <c r="M41" s="27">
        <f>Table2[[#This Row],[infection count, high end of estimate range]]/$T$6</f>
        <v>2.7863184495470417E-2</v>
      </c>
      <c r="N41" s="15">
        <f>Table2[[#This Row],[infection percentage, high end of estimate range]]-Table2[[#This Row],[infection percentage, low end of estimate range]]</f>
        <v>8.5732875370678231E-3</v>
      </c>
      <c r="O41" s="27">
        <f>(Table2[[#This Row],[infection percentage, low end of estimate range]]+Table2[[#This Row],[infection percentage, high end of estimate range]])/2</f>
        <v>2.3576540726936504E-2</v>
      </c>
      <c r="P41" s="3">
        <f>$T$6/(Table2[[#This Row],[cases]]*5)</f>
        <v>26.584927536231884</v>
      </c>
      <c r="Q41" s="3">
        <f>$T$6/(Table2[[#This Row],[cases]]*7)</f>
        <v>18.989233954451347</v>
      </c>
      <c r="R41" s="3">
        <f>Table2[[#This Row],[1-in-X odds, estimating 5x cases infected]]-Table2[[#This Row],[1-in-X odds, estimating 7x cases infected]]</f>
        <v>7.5956935817805373</v>
      </c>
      <c r="S41" s="3">
        <f>(Table2[[#This Row],[1-in-X odds, estimating 5x cases infected]]+Table2[[#This Row],[1-in-X odds, estimating 7x cases infected]])/2</f>
        <v>22.787080745341616</v>
      </c>
      <c r="V41" s="31"/>
    </row>
    <row r="42" spans="1:22">
      <c r="A42" s="91">
        <v>43950</v>
      </c>
      <c r="B42" s="86">
        <v>689</v>
      </c>
      <c r="C42" s="71">
        <f>Table2[[#This Row],[cases]]/$B$2</f>
        <v>7.5121568285396543E-3</v>
      </c>
      <c r="D42" s="26">
        <f>(Table2[[#This Row],[cases]]-B41)/B41</f>
        <v>-1.4492753623188406E-3</v>
      </c>
      <c r="E42" s="38">
        <f t="shared" si="11"/>
        <v>-477.92489722192761</v>
      </c>
      <c r="F42" s="81">
        <f>Table2[[#This Row],[cases]]*100/$T$19</f>
        <v>2087.878787878788</v>
      </c>
      <c r="G42" s="35">
        <f>Table2[[#This Row],[cases]]*100/$T$13</f>
        <v>1766.6666666666667</v>
      </c>
      <c r="H42" s="35">
        <f>Table2[[#This Row],[cases]]*100/$T$16</f>
        <v>2551.8518518518517</v>
      </c>
      <c r="I42" s="35">
        <f>Table2[[#This Row],[infection count, high end of estimate range]]-Table2[[#This Row],[infection count, low end of estimate range]]</f>
        <v>785.18518518518499</v>
      </c>
      <c r="J42" s="35">
        <f>(Table2[[#This Row],[infection count, low end of estimate range]]+Table2[[#This Row],[infection count, high end of estimate range]])/2</f>
        <v>2159.2592592592591</v>
      </c>
      <c r="K42" s="26">
        <f>Table2[[#This Row],[estimated infections]]/$T$6</f>
        <v>2.2764111601635318E-2</v>
      </c>
      <c r="L42" s="27">
        <f>Table2[[#This Row],[infection count, low end of estimate range]]/$T$6</f>
        <v>1.9261940585999116E-2</v>
      </c>
      <c r="M42" s="27">
        <f>Table2[[#This Row],[infection count, high end of estimate range]]/$T$6</f>
        <v>2.7822803068665386E-2</v>
      </c>
      <c r="N42" s="15">
        <f>Table2[[#This Row],[infection percentage, high end of estimate range]]-Table2[[#This Row],[infection percentage, low end of estimate range]]</f>
        <v>8.5608624826662705E-3</v>
      </c>
      <c r="O42" s="27">
        <f>(Table2[[#This Row],[infection percentage, low end of estimate range]]+Table2[[#This Row],[infection percentage, high end of estimate range]])/2</f>
        <v>2.3542371827332251E-2</v>
      </c>
      <c r="P42" s="3">
        <f>$T$6/(Table2[[#This Row],[cases]]*5)</f>
        <v>26.623512336719884</v>
      </c>
      <c r="Q42" s="3">
        <f>$T$6/(Table2[[#This Row],[cases]]*7)</f>
        <v>19.016794526228487</v>
      </c>
      <c r="R42" s="3">
        <f>Table2[[#This Row],[1-in-X odds, estimating 5x cases infected]]-Table2[[#This Row],[1-in-X odds, estimating 7x cases infected]]</f>
        <v>7.6067178104913964</v>
      </c>
      <c r="S42" s="3">
        <f>(Table2[[#This Row],[1-in-X odds, estimating 5x cases infected]]+Table2[[#This Row],[1-in-X odds, estimating 7x cases infected]])/2</f>
        <v>22.820153431474186</v>
      </c>
      <c r="V42" s="31"/>
    </row>
    <row r="43" spans="1:22">
      <c r="A43" s="91">
        <v>43951</v>
      </c>
      <c r="B43" s="86">
        <v>695</v>
      </c>
      <c r="C43" s="71">
        <f>Table2[[#This Row],[cases]]/$B$2</f>
        <v>7.5775747399638022E-3</v>
      </c>
      <c r="D43" s="26">
        <f>(Table2[[#This Row],[cases]]-B42)/B42</f>
        <v>8.708272859216255E-3</v>
      </c>
      <c r="E43" s="38">
        <f t="shared" si="11"/>
        <v>79.942473993182418</v>
      </c>
      <c r="F43" s="81">
        <f>Table2[[#This Row],[cases]]*100/$T$19</f>
        <v>2106.060606060606</v>
      </c>
      <c r="G43" s="35">
        <f>Table2[[#This Row],[cases]]*100/$T$13</f>
        <v>1782.051282051282</v>
      </c>
      <c r="H43" s="35">
        <f>Table2[[#This Row],[cases]]*100/$T$16</f>
        <v>2574.0740740740739</v>
      </c>
      <c r="I43" s="35">
        <f>Table2[[#This Row],[infection count, high end of estimate range]]-Table2[[#This Row],[infection count, low end of estimate range]]</f>
        <v>792.02279202279192</v>
      </c>
      <c r="J43" s="35">
        <f>(Table2[[#This Row],[infection count, low end of estimate range]]+Table2[[#This Row],[infection count, high end of estimate range]])/2</f>
        <v>2178.0626780626781</v>
      </c>
      <c r="K43" s="26">
        <f>Table2[[#This Row],[estimated infections]]/$T$6</f>
        <v>2.2962347696860005E-2</v>
      </c>
      <c r="L43" s="27">
        <f>Table2[[#This Row],[infection count, low end of estimate range]]/$T$6</f>
        <v>1.9429678820420005E-2</v>
      </c>
      <c r="M43" s="27">
        <f>Table2[[#This Row],[infection count, high end of estimate range]]/$T$6</f>
        <v>2.806509162949556E-2</v>
      </c>
      <c r="N43" s="15">
        <f>Table2[[#This Row],[infection percentage, high end of estimate range]]-Table2[[#This Row],[infection percentage, low end of estimate range]]</f>
        <v>8.6354128090755551E-3</v>
      </c>
      <c r="O43" s="27">
        <f>(Table2[[#This Row],[infection percentage, low end of estimate range]]+Table2[[#This Row],[infection percentage, high end of estimate range]])/2</f>
        <v>2.3747385224957784E-2</v>
      </c>
      <c r="P43" s="3">
        <f>$T$6/(Table2[[#This Row],[cases]]*5)</f>
        <v>26.393669064748202</v>
      </c>
      <c r="Q43" s="3">
        <f>$T$6/(Table2[[#This Row],[cases]]*7)</f>
        <v>18.852620760534428</v>
      </c>
      <c r="R43" s="3">
        <f>Table2[[#This Row],[1-in-X odds, estimating 5x cases infected]]-Table2[[#This Row],[1-in-X odds, estimating 7x cases infected]]</f>
        <v>7.5410483042137741</v>
      </c>
      <c r="S43" s="3">
        <f>(Table2[[#This Row],[1-in-X odds, estimating 5x cases infected]]+Table2[[#This Row],[1-in-X odds, estimating 7x cases infected]])/2</f>
        <v>22.623144912641315</v>
      </c>
      <c r="V43" s="31"/>
    </row>
    <row r="44" spans="1:22">
      <c r="A44" s="91">
        <v>43952</v>
      </c>
      <c r="B44" s="86">
        <v>706</v>
      </c>
      <c r="C44" s="71">
        <f>Table2[[#This Row],[cases]]/$B$2</f>
        <v>7.6975075775747399E-3</v>
      </c>
      <c r="D44" s="26">
        <f>(Table2[[#This Row],[cases]]-B43)/B43</f>
        <v>1.5827338129496403E-2</v>
      </c>
      <c r="E44" s="38">
        <f t="shared" si="11"/>
        <v>44.139965665899489</v>
      </c>
      <c r="F44" s="81">
        <f>Table2[[#This Row],[cases]]*100/$T$19</f>
        <v>2139.3939393939395</v>
      </c>
      <c r="G44" s="35">
        <f>Table2[[#This Row],[cases]]*100/$T$13</f>
        <v>1810.2564102564102</v>
      </c>
      <c r="H44" s="35">
        <f>Table2[[#This Row],[cases]]*100/$T$16</f>
        <v>2614.8148148148148</v>
      </c>
      <c r="I44" s="35">
        <f>Table2[[#This Row],[infection count, high end of estimate range]]-Table2[[#This Row],[infection count, low end of estimate range]]</f>
        <v>804.55840455840462</v>
      </c>
      <c r="J44" s="35">
        <f>(Table2[[#This Row],[infection count, low end of estimate range]]+Table2[[#This Row],[infection count, high end of estimate range]])/2</f>
        <v>2212.5356125356125</v>
      </c>
      <c r="K44" s="26">
        <f>Table2[[#This Row],[estimated infections]]/$T$6</f>
        <v>2.3325780538105273E-2</v>
      </c>
      <c r="L44" s="27">
        <f>Table2[[#This Row],[infection count, low end of estimate range]]/$T$6</f>
        <v>1.9737198916858305E-2</v>
      </c>
      <c r="M44" s="27">
        <f>Table2[[#This Row],[infection count, high end of estimate range]]/$T$6</f>
        <v>2.8509287324350888E-2</v>
      </c>
      <c r="N44" s="15">
        <f>Table2[[#This Row],[infection percentage, high end of estimate range]]-Table2[[#This Row],[infection percentage, low end of estimate range]]</f>
        <v>8.7720884074925821E-3</v>
      </c>
      <c r="O44" s="27">
        <f>(Table2[[#This Row],[infection percentage, low end of estimate range]]+Table2[[#This Row],[infection percentage, high end of estimate range]])/2</f>
        <v>2.4123243120604598E-2</v>
      </c>
      <c r="P44" s="3">
        <f>$T$6/(Table2[[#This Row],[cases]]*5)</f>
        <v>25.982436260623228</v>
      </c>
      <c r="Q44" s="3">
        <f>$T$6/(Table2[[#This Row],[cases]]*7)</f>
        <v>18.558883043302306</v>
      </c>
      <c r="R44" s="3">
        <f>Table2[[#This Row],[1-in-X odds, estimating 5x cases infected]]-Table2[[#This Row],[1-in-X odds, estimating 7x cases infected]]</f>
        <v>7.4235532173209222</v>
      </c>
      <c r="S44" s="3">
        <f>(Table2[[#This Row],[1-in-X odds, estimating 5x cases infected]]+Table2[[#This Row],[1-in-X odds, estimating 7x cases infected]])/2</f>
        <v>22.270659651962767</v>
      </c>
      <c r="V44" s="31"/>
    </row>
    <row r="45" spans="1:22">
      <c r="A45" s="91">
        <v>43953</v>
      </c>
      <c r="B45" s="86">
        <v>713</v>
      </c>
      <c r="C45" s="71">
        <f>Table2[[#This Row],[cases]]/$B$2</f>
        <v>7.7738284742362457E-3</v>
      </c>
      <c r="D45" s="26">
        <f>(Table2[[#This Row],[cases]]-B44)/B44</f>
        <v>9.9150141643059488E-3</v>
      </c>
      <c r="E45" s="38">
        <f t="shared" ref="E45:E54" si="12">(LN(2)/LN(B45/B44))</f>
        <v>70.254847908892572</v>
      </c>
      <c r="F45" s="81">
        <f>Table2[[#This Row],[cases]]*100/$T$19</f>
        <v>2160.6060606060605</v>
      </c>
      <c r="G45" s="35">
        <f>Table2[[#This Row],[cases]]*100/$T$13</f>
        <v>1828.2051282051282</v>
      </c>
      <c r="H45" s="35">
        <f>Table2[[#This Row],[cases]]*100/$T$16</f>
        <v>2640.7407407407409</v>
      </c>
      <c r="I45" s="35">
        <f>Table2[[#This Row],[infection count, high end of estimate range]]-Table2[[#This Row],[infection count, low end of estimate range]]</f>
        <v>812.5356125356127</v>
      </c>
      <c r="J45" s="35">
        <f>(Table2[[#This Row],[infection count, low end of estimate range]]+Table2[[#This Row],[infection count, high end of estimate range]])/2</f>
        <v>2234.4729344729344</v>
      </c>
      <c r="K45" s="26">
        <f>Table2[[#This Row],[estimated infections]]/$T$6</f>
        <v>2.3557055982534079E-2</v>
      </c>
      <c r="L45" s="27">
        <f>Table2[[#This Row],[infection count, low end of estimate range]]/$T$6</f>
        <v>1.9932893523682681E-2</v>
      </c>
      <c r="M45" s="27">
        <f>Table2[[#This Row],[infection count, high end of estimate range]]/$T$6</f>
        <v>2.8791957311986097E-2</v>
      </c>
      <c r="N45" s="15">
        <f>Table2[[#This Row],[infection percentage, high end of estimate range]]-Table2[[#This Row],[infection percentage, low end of estimate range]]</f>
        <v>8.859063788303416E-3</v>
      </c>
      <c r="O45" s="27">
        <f>(Table2[[#This Row],[infection percentage, low end of estimate range]]+Table2[[#This Row],[infection percentage, high end of estimate range]])/2</f>
        <v>2.4362425417834389E-2</v>
      </c>
      <c r="P45" s="3">
        <f>$T$6/(Table2[[#This Row],[cases]]*5)</f>
        <v>25.727349228611502</v>
      </c>
      <c r="Q45" s="3">
        <f>$T$6/(Table2[[#This Row],[cases]]*7)</f>
        <v>18.376678020436785</v>
      </c>
      <c r="R45" s="3">
        <f>Table2[[#This Row],[1-in-X odds, estimating 5x cases infected]]-Table2[[#This Row],[1-in-X odds, estimating 7x cases infected]]</f>
        <v>7.3506712081747168</v>
      </c>
      <c r="S45" s="3">
        <f>(Table2[[#This Row],[1-in-X odds, estimating 5x cases infected]]+Table2[[#This Row],[1-in-X odds, estimating 7x cases infected]])/2</f>
        <v>22.052013624524143</v>
      </c>
      <c r="V45" s="31"/>
    </row>
    <row r="46" spans="1:22">
      <c r="A46" s="91">
        <v>43954</v>
      </c>
      <c r="B46" s="86">
        <v>717</v>
      </c>
      <c r="C46" s="71">
        <f>Table2[[#This Row],[cases]]/$B$2</f>
        <v>7.8174404151856777E-3</v>
      </c>
      <c r="D46" s="26">
        <f>(Table2[[#This Row],[cases]]-B45)/B45</f>
        <v>5.6100981767180924E-3</v>
      </c>
      <c r="E46" s="38">
        <f t="shared" si="12"/>
        <v>123.89973537887481</v>
      </c>
      <c r="F46" s="81">
        <f>Table2[[#This Row],[cases]]*100/$T$19</f>
        <v>2172.7272727272725</v>
      </c>
      <c r="G46" s="35">
        <f>Table2[[#This Row],[cases]]*100/$T$13</f>
        <v>1838.4615384615386</v>
      </c>
      <c r="H46" s="35">
        <f>Table2[[#This Row],[cases]]*100/$T$16</f>
        <v>2655.5555555555557</v>
      </c>
      <c r="I46" s="35">
        <f>Table2[[#This Row],[infection count, high end of estimate range]]-Table2[[#This Row],[infection count, low end of estimate range]]</f>
        <v>817.09401709401709</v>
      </c>
      <c r="J46" s="35">
        <f>(Table2[[#This Row],[infection count, low end of estimate range]]+Table2[[#This Row],[infection count, high end of estimate range]])/2</f>
        <v>2247.0085470085469</v>
      </c>
      <c r="K46" s="26">
        <f>Table2[[#This Row],[estimated infections]]/$T$6</f>
        <v>2.3689213379350538E-2</v>
      </c>
      <c r="L46" s="27">
        <f>Table2[[#This Row],[infection count, low end of estimate range]]/$T$6</f>
        <v>2.0044719013296609E-2</v>
      </c>
      <c r="M46" s="27">
        <f>Table2[[#This Row],[infection count, high end of estimate range]]/$T$6</f>
        <v>2.8953483019206215E-2</v>
      </c>
      <c r="N46" s="15">
        <f>Table2[[#This Row],[infection percentage, high end of estimate range]]-Table2[[#This Row],[infection percentage, low end of estimate range]]</f>
        <v>8.9087640059096057E-3</v>
      </c>
      <c r="O46" s="27">
        <f>(Table2[[#This Row],[infection percentage, low end of estimate range]]+Table2[[#This Row],[infection percentage, high end of estimate range]])/2</f>
        <v>2.4499101016251412E-2</v>
      </c>
      <c r="P46" s="3">
        <f>$T$6/(Table2[[#This Row],[cases]]*5)</f>
        <v>25.583821478382148</v>
      </c>
      <c r="Q46" s="3">
        <f>$T$6/(Table2[[#This Row],[cases]]*7)</f>
        <v>18.27415819884439</v>
      </c>
      <c r="R46" s="3">
        <f>Table2[[#This Row],[1-in-X odds, estimating 5x cases infected]]-Table2[[#This Row],[1-in-X odds, estimating 7x cases infected]]</f>
        <v>7.3096632795377587</v>
      </c>
      <c r="S46" s="3">
        <f>(Table2[[#This Row],[1-in-X odds, estimating 5x cases infected]]+Table2[[#This Row],[1-in-X odds, estimating 7x cases infected]])/2</f>
        <v>21.928989838613269</v>
      </c>
      <c r="V46" s="31"/>
    </row>
    <row r="47" spans="1:22">
      <c r="A47" s="91">
        <v>43955</v>
      </c>
      <c r="B47" s="86">
        <v>718</v>
      </c>
      <c r="C47" s="71">
        <f>Table2[[#This Row],[cases]]/$B$2</f>
        <v>7.8283434004230365E-3</v>
      </c>
      <c r="D47" s="26">
        <f>(Table2[[#This Row],[cases]]-B46)/B46</f>
        <v>1.3947001394700139E-3</v>
      </c>
      <c r="E47" s="38">
        <f t="shared" si="12"/>
        <v>497.33302154683025</v>
      </c>
      <c r="F47" s="81">
        <f>Table2[[#This Row],[cases]]*100/$T$19</f>
        <v>2175.757575757576</v>
      </c>
      <c r="G47" s="35">
        <f>Table2[[#This Row],[cases]]*100/$T$13</f>
        <v>1841.0256410256411</v>
      </c>
      <c r="H47" s="35">
        <f>Table2[[#This Row],[cases]]*100/$T$16</f>
        <v>2659.2592592592591</v>
      </c>
      <c r="I47" s="35">
        <f>Table2[[#This Row],[infection count, high end of estimate range]]-Table2[[#This Row],[infection count, low end of estimate range]]</f>
        <v>818.23361823361802</v>
      </c>
      <c r="J47" s="35">
        <f>(Table2[[#This Row],[infection count, low end of estimate range]]+Table2[[#This Row],[infection count, high end of estimate range]])/2</f>
        <v>2250.1424501424499</v>
      </c>
      <c r="K47" s="26">
        <f>Table2[[#This Row],[estimated infections]]/$T$6</f>
        <v>2.3722252728554657E-2</v>
      </c>
      <c r="L47" s="27">
        <f>Table2[[#This Row],[infection count, low end of estimate range]]/$T$6</f>
        <v>2.0072675385700092E-2</v>
      </c>
      <c r="M47" s="27">
        <f>Table2[[#This Row],[infection count, high end of estimate range]]/$T$6</f>
        <v>2.8993864446011243E-2</v>
      </c>
      <c r="N47" s="15">
        <f>Table2[[#This Row],[infection percentage, high end of estimate range]]-Table2[[#This Row],[infection percentage, low end of estimate range]]</f>
        <v>8.9211890603111514E-3</v>
      </c>
      <c r="O47" s="27">
        <f>(Table2[[#This Row],[infection percentage, low end of estimate range]]+Table2[[#This Row],[infection percentage, high end of estimate range]])/2</f>
        <v>2.4533269915855666E-2</v>
      </c>
      <c r="P47" s="3">
        <f>$T$6/(Table2[[#This Row],[cases]]*5)</f>
        <v>25.548189415041783</v>
      </c>
      <c r="Q47" s="3">
        <f>$T$6/(Table2[[#This Row],[cases]]*7)</f>
        <v>18.248706725029844</v>
      </c>
      <c r="R47" s="3">
        <f>Table2[[#This Row],[1-in-X odds, estimating 5x cases infected]]-Table2[[#This Row],[1-in-X odds, estimating 7x cases infected]]</f>
        <v>7.2994826900119385</v>
      </c>
      <c r="S47" s="3">
        <f>(Table2[[#This Row],[1-in-X odds, estimating 5x cases infected]]+Table2[[#This Row],[1-in-X odds, estimating 7x cases infected]])/2</f>
        <v>21.898448070035812</v>
      </c>
      <c r="V47" s="31"/>
    </row>
    <row r="48" spans="1:22">
      <c r="A48" s="91">
        <v>43956</v>
      </c>
      <c r="B48" s="86">
        <v>719</v>
      </c>
      <c r="C48" s="71">
        <f>Table2[[#This Row],[cases]]/$B$2</f>
        <v>7.8392463856603936E-3</v>
      </c>
      <c r="D48" s="26">
        <f>(Table2[[#This Row],[cases]]-B47)/B47</f>
        <v>1.3927576601671309E-3</v>
      </c>
      <c r="E48" s="38">
        <f t="shared" si="12"/>
        <v>498.02616883946456</v>
      </c>
      <c r="F48" s="81">
        <f>Table2[[#This Row],[cases]]*100/$T$19</f>
        <v>2178.787878787879</v>
      </c>
      <c r="G48" s="35">
        <f>Table2[[#This Row],[cases]]*100/$T$13</f>
        <v>1843.5897435897436</v>
      </c>
      <c r="H48" s="35">
        <f>Table2[[#This Row],[cases]]*100/$T$16</f>
        <v>2662.962962962963</v>
      </c>
      <c r="I48" s="35">
        <f>Table2[[#This Row],[infection count, high end of estimate range]]-Table2[[#This Row],[infection count, low end of estimate range]]</f>
        <v>819.3732193732194</v>
      </c>
      <c r="J48" s="35">
        <f>(Table2[[#This Row],[infection count, low end of estimate range]]+Table2[[#This Row],[infection count, high end of estimate range]])/2</f>
        <v>2253.2763532763533</v>
      </c>
      <c r="K48" s="26">
        <f>Table2[[#This Row],[estimated infections]]/$T$6</f>
        <v>2.3755292077758772E-2</v>
      </c>
      <c r="L48" s="27">
        <f>Table2[[#This Row],[infection count, low end of estimate range]]/$T$6</f>
        <v>2.0100631758103574E-2</v>
      </c>
      <c r="M48" s="27">
        <f>Table2[[#This Row],[infection count, high end of estimate range]]/$T$6</f>
        <v>2.9034245872816274E-2</v>
      </c>
      <c r="N48" s="15">
        <f>Table2[[#This Row],[infection percentage, high end of estimate range]]-Table2[[#This Row],[infection percentage, low end of estimate range]]</f>
        <v>8.9336141147127006E-3</v>
      </c>
      <c r="O48" s="27">
        <f>(Table2[[#This Row],[infection percentage, low end of estimate range]]+Table2[[#This Row],[infection percentage, high end of estimate range]])/2</f>
        <v>2.4567438815459926E-2</v>
      </c>
      <c r="P48" s="3">
        <f>$T$6/(Table2[[#This Row],[cases]]*5)</f>
        <v>25.512656467315715</v>
      </c>
      <c r="Q48" s="3">
        <f>$T$6/(Table2[[#This Row],[cases]]*7)</f>
        <v>18.223326048082654</v>
      </c>
      <c r="R48" s="3">
        <f>Table2[[#This Row],[1-in-X odds, estimating 5x cases infected]]-Table2[[#This Row],[1-in-X odds, estimating 7x cases infected]]</f>
        <v>7.2893304192330604</v>
      </c>
      <c r="S48" s="3">
        <f>(Table2[[#This Row],[1-in-X odds, estimating 5x cases infected]]+Table2[[#This Row],[1-in-X odds, estimating 7x cases infected]])/2</f>
        <v>21.867991257699185</v>
      </c>
      <c r="V48" s="31"/>
    </row>
    <row r="49" spans="1:22">
      <c r="A49" s="91">
        <v>43957</v>
      </c>
      <c r="B49" s="86">
        <v>720</v>
      </c>
      <c r="C49" s="71">
        <f>Table2[[#This Row],[cases]]/$B$2</f>
        <v>7.8501493708977525E-3</v>
      </c>
      <c r="D49" s="26">
        <f>(Table2[[#This Row],[cases]]-B48)/B48</f>
        <v>1.3908205841446453E-3</v>
      </c>
      <c r="E49" s="38">
        <f t="shared" si="12"/>
        <v>498.71931613175457</v>
      </c>
      <c r="F49" s="81">
        <f>Table2[[#This Row],[cases]]*100/$T$19</f>
        <v>2181.818181818182</v>
      </c>
      <c r="G49" s="35">
        <f>Table2[[#This Row],[cases]]*100/$T$13</f>
        <v>1846.1538461538462</v>
      </c>
      <c r="H49" s="35">
        <f>Table2[[#This Row],[cases]]*100/$T$16</f>
        <v>2666.6666666666665</v>
      </c>
      <c r="I49" s="35">
        <f>Table2[[#This Row],[infection count, high end of estimate range]]-Table2[[#This Row],[infection count, low end of estimate range]]</f>
        <v>820.51282051282033</v>
      </c>
      <c r="J49" s="35">
        <f>(Table2[[#This Row],[infection count, low end of estimate range]]+Table2[[#This Row],[infection count, high end of estimate range]])/2</f>
        <v>2256.4102564102564</v>
      </c>
      <c r="K49" s="26">
        <f>Table2[[#This Row],[estimated infections]]/$T$6</f>
        <v>2.3788331426962885E-2</v>
      </c>
      <c r="L49" s="27">
        <f>Table2[[#This Row],[infection count, low end of estimate range]]/$T$6</f>
        <v>2.0128588130507056E-2</v>
      </c>
      <c r="M49" s="27">
        <f>Table2[[#This Row],[infection count, high end of estimate range]]/$T$6</f>
        <v>2.9074627299621302E-2</v>
      </c>
      <c r="N49" s="15">
        <f>Table2[[#This Row],[infection percentage, high end of estimate range]]-Table2[[#This Row],[infection percentage, low end of estimate range]]</f>
        <v>8.9460391691142463E-3</v>
      </c>
      <c r="O49" s="27">
        <f>(Table2[[#This Row],[infection percentage, low end of estimate range]]+Table2[[#This Row],[infection percentage, high end of estimate range]])/2</f>
        <v>2.4601607715064179E-2</v>
      </c>
      <c r="P49" s="3">
        <f>$T$6/(Table2[[#This Row],[cases]]*5)</f>
        <v>25.477222222222224</v>
      </c>
      <c r="Q49" s="3">
        <f>$T$6/(Table2[[#This Row],[cases]]*7)</f>
        <v>18.198015873015873</v>
      </c>
      <c r="R49" s="3">
        <f>Table2[[#This Row],[1-in-X odds, estimating 5x cases infected]]-Table2[[#This Row],[1-in-X odds, estimating 7x cases infected]]</f>
        <v>7.2792063492063512</v>
      </c>
      <c r="S49" s="3">
        <f>(Table2[[#This Row],[1-in-X odds, estimating 5x cases infected]]+Table2[[#This Row],[1-in-X odds, estimating 7x cases infected]])/2</f>
        <v>21.83761904761905</v>
      </c>
      <c r="V49" s="31"/>
    </row>
    <row r="50" spans="1:22">
      <c r="A50" s="91">
        <v>43958</v>
      </c>
      <c r="B50" s="86">
        <v>722</v>
      </c>
      <c r="C50" s="71">
        <f>Table2[[#This Row],[cases]]/$B$2</f>
        <v>7.8719553413724684E-3</v>
      </c>
      <c r="D50" s="26">
        <f>(Table2[[#This Row],[cases]]-B49)/B49</f>
        <v>2.7777777777777779E-3</v>
      </c>
      <c r="E50" s="38">
        <f t="shared" si="12"/>
        <v>249.87939836358191</v>
      </c>
      <c r="F50" s="81">
        <f>Table2[[#This Row],[cases]]*100/$T$19</f>
        <v>2187.878787878788</v>
      </c>
      <c r="G50" s="35">
        <f>Table2[[#This Row],[cases]]*100/$T$13</f>
        <v>1851.2820512820513</v>
      </c>
      <c r="H50" s="35">
        <f>Table2[[#This Row],[cases]]*100/$T$16</f>
        <v>2674.0740740740739</v>
      </c>
      <c r="I50" s="35">
        <f>Table2[[#This Row],[infection count, high end of estimate range]]-Table2[[#This Row],[infection count, low end of estimate range]]</f>
        <v>822.79202279202264</v>
      </c>
      <c r="J50" s="35">
        <f>(Table2[[#This Row],[infection count, low end of estimate range]]+Table2[[#This Row],[infection count, high end of estimate range]])/2</f>
        <v>2262.6780626780628</v>
      </c>
      <c r="K50" s="26">
        <f>Table2[[#This Row],[estimated infections]]/$T$6</f>
        <v>2.3854410125371116E-2</v>
      </c>
      <c r="L50" s="27">
        <f>Table2[[#This Row],[infection count, low end of estimate range]]/$T$6</f>
        <v>2.018450087531402E-2</v>
      </c>
      <c r="M50" s="27">
        <f>Table2[[#This Row],[infection count, high end of estimate range]]/$T$6</f>
        <v>2.9155390153231361E-2</v>
      </c>
      <c r="N50" s="15">
        <f>Table2[[#This Row],[infection percentage, high end of estimate range]]-Table2[[#This Row],[infection percentage, low end of estimate range]]</f>
        <v>8.9708892779173412E-3</v>
      </c>
      <c r="O50" s="27">
        <f>(Table2[[#This Row],[infection percentage, low end of estimate range]]+Table2[[#This Row],[infection percentage, high end of estimate range]])/2</f>
        <v>2.4669945514272693E-2</v>
      </c>
      <c r="P50" s="3">
        <f>$T$6/(Table2[[#This Row],[cases]]*5)</f>
        <v>25.406648199445982</v>
      </c>
      <c r="Q50" s="3">
        <f>$T$6/(Table2[[#This Row],[cases]]*7)</f>
        <v>18.147605856747131</v>
      </c>
      <c r="R50" s="3">
        <f>Table2[[#This Row],[1-in-X odds, estimating 5x cases infected]]-Table2[[#This Row],[1-in-X odds, estimating 7x cases infected]]</f>
        <v>7.2590423426988515</v>
      </c>
      <c r="S50" s="3">
        <f>(Table2[[#This Row],[1-in-X odds, estimating 5x cases infected]]+Table2[[#This Row],[1-in-X odds, estimating 7x cases infected]])/2</f>
        <v>21.777127028096558</v>
      </c>
      <c r="V50" s="31"/>
    </row>
    <row r="51" spans="1:22">
      <c r="A51" s="91">
        <v>43959</v>
      </c>
      <c r="B51" s="86">
        <v>723</v>
      </c>
      <c r="C51" s="71">
        <f>Table2[[#This Row],[cases]]/$B$2</f>
        <v>7.8828583266098255E-3</v>
      </c>
      <c r="D51" s="26">
        <f>(Table2[[#This Row],[cases]]-B50)/B50</f>
        <v>1.3850415512465374E-3</v>
      </c>
      <c r="E51" s="38">
        <f t="shared" si="12"/>
        <v>500.79875800674318</v>
      </c>
      <c r="F51" s="81">
        <f>Table2[[#This Row],[cases]]*100/$T$19</f>
        <v>2190.909090909091</v>
      </c>
      <c r="G51" s="35">
        <f>Table2[[#This Row],[cases]]*100/$T$13</f>
        <v>1853.8461538461538</v>
      </c>
      <c r="H51" s="35">
        <f>Table2[[#This Row],[cases]]*100/$T$16</f>
        <v>2677.7777777777778</v>
      </c>
      <c r="I51" s="35">
        <f>Table2[[#This Row],[infection count, high end of estimate range]]-Table2[[#This Row],[infection count, low end of estimate range]]</f>
        <v>823.93162393162402</v>
      </c>
      <c r="J51" s="35">
        <f>(Table2[[#This Row],[infection count, low end of estimate range]]+Table2[[#This Row],[infection count, high end of estimate range]])/2</f>
        <v>2265.8119658119658</v>
      </c>
      <c r="K51" s="26">
        <f>Table2[[#This Row],[estimated infections]]/$T$6</f>
        <v>2.3887449474575231E-2</v>
      </c>
      <c r="L51" s="27">
        <f>Table2[[#This Row],[infection count, low end of estimate range]]/$T$6</f>
        <v>2.0212457247717502E-2</v>
      </c>
      <c r="M51" s="27">
        <f>Table2[[#This Row],[infection count, high end of estimate range]]/$T$6</f>
        <v>2.9195771580036393E-2</v>
      </c>
      <c r="N51" s="15">
        <f>Table2[[#This Row],[infection percentage, high end of estimate range]]-Table2[[#This Row],[infection percentage, low end of estimate range]]</f>
        <v>8.9833143323188903E-3</v>
      </c>
      <c r="O51" s="27">
        <f>(Table2[[#This Row],[infection percentage, low end of estimate range]]+Table2[[#This Row],[infection percentage, high end of estimate range]])/2</f>
        <v>2.4704114413876946E-2</v>
      </c>
      <c r="P51" s="3">
        <f>$T$6/(Table2[[#This Row],[cases]]*5)</f>
        <v>25.371507607192253</v>
      </c>
      <c r="Q51" s="3">
        <f>$T$6/(Table2[[#This Row],[cases]]*7)</f>
        <v>18.122505433708753</v>
      </c>
      <c r="R51" s="3">
        <f>Table2[[#This Row],[1-in-X odds, estimating 5x cases infected]]-Table2[[#This Row],[1-in-X odds, estimating 7x cases infected]]</f>
        <v>7.2490021734835004</v>
      </c>
      <c r="S51" s="3">
        <f>(Table2[[#This Row],[1-in-X odds, estimating 5x cases infected]]+Table2[[#This Row],[1-in-X odds, estimating 7x cases infected]])/2</f>
        <v>21.747006520450505</v>
      </c>
      <c r="V51" s="31"/>
    </row>
    <row r="52" spans="1:22">
      <c r="A52" s="91">
        <v>43960</v>
      </c>
      <c r="B52" s="86">
        <v>725</v>
      </c>
      <c r="C52" s="71">
        <f>Table2[[#This Row],[cases]]/$B$2</f>
        <v>7.9046642970845415E-3</v>
      </c>
      <c r="D52" s="26">
        <f>(Table2[[#This Row],[cases]]-B51)/B51</f>
        <v>2.7662517289073307E-3</v>
      </c>
      <c r="E52" s="38">
        <f t="shared" si="12"/>
        <v>250.91911979835183</v>
      </c>
      <c r="F52" s="81">
        <f>Table2[[#This Row],[cases]]*100/$T$19</f>
        <v>2196.969696969697</v>
      </c>
      <c r="G52" s="35">
        <f>Table2[[#This Row],[cases]]*100/$T$13</f>
        <v>1858.9743589743589</v>
      </c>
      <c r="H52" s="35">
        <f>Table2[[#This Row],[cases]]*100/$T$16</f>
        <v>2685.1851851851852</v>
      </c>
      <c r="I52" s="35">
        <f>Table2[[#This Row],[infection count, high end of estimate range]]-Table2[[#This Row],[infection count, low end of estimate range]]</f>
        <v>826.21082621082633</v>
      </c>
      <c r="J52" s="35">
        <f>(Table2[[#This Row],[infection count, low end of estimate range]]+Table2[[#This Row],[infection count, high end of estimate range]])/2</f>
        <v>2272.0797720797718</v>
      </c>
      <c r="K52" s="26">
        <f>Table2[[#This Row],[estimated infections]]/$T$6</f>
        <v>2.3953528172983459E-2</v>
      </c>
      <c r="L52" s="27">
        <f>Table2[[#This Row],[infection count, low end of estimate range]]/$T$6</f>
        <v>2.0268369992524467E-2</v>
      </c>
      <c r="M52" s="27">
        <f>Table2[[#This Row],[infection count, high end of estimate range]]/$T$6</f>
        <v>2.9276534433646452E-2</v>
      </c>
      <c r="N52" s="15">
        <f>Table2[[#This Row],[infection percentage, high end of estimate range]]-Table2[[#This Row],[infection percentage, low end of estimate range]]</f>
        <v>9.0081644411219852E-3</v>
      </c>
      <c r="O52" s="27">
        <f>(Table2[[#This Row],[infection percentage, low end of estimate range]]+Table2[[#This Row],[infection percentage, high end of estimate range]])/2</f>
        <v>2.4772452213085459E-2</v>
      </c>
      <c r="P52" s="3">
        <f>$T$6/(Table2[[#This Row],[cases]]*5)</f>
        <v>25.301517241379312</v>
      </c>
      <c r="Q52" s="3">
        <f>$T$6/(Table2[[#This Row],[cases]]*7)</f>
        <v>18.072512315270934</v>
      </c>
      <c r="R52" s="3">
        <f>Table2[[#This Row],[1-in-X odds, estimating 5x cases infected]]-Table2[[#This Row],[1-in-X odds, estimating 7x cases infected]]</f>
        <v>7.2290049261083773</v>
      </c>
      <c r="S52" s="3">
        <f>(Table2[[#This Row],[1-in-X odds, estimating 5x cases infected]]+Table2[[#This Row],[1-in-X odds, estimating 7x cases infected]])/2</f>
        <v>21.687014778325121</v>
      </c>
      <c r="V52" s="31"/>
    </row>
    <row r="53" spans="1:22">
      <c r="A53" s="91">
        <v>43961</v>
      </c>
      <c r="B53" s="86">
        <v>745</v>
      </c>
      <c r="C53" s="71">
        <f>Table2[[#This Row],[cases]]/$B$2</f>
        <v>8.122724001831701E-3</v>
      </c>
      <c r="D53" s="26">
        <f>(Table2[[#This Row],[cases]]-B52)/B52</f>
        <v>2.7586206896551724E-2</v>
      </c>
      <c r="E53" s="38">
        <f t="shared" si="12"/>
        <v>25.471587045670656</v>
      </c>
      <c r="F53" s="81">
        <f>Table2[[#This Row],[cases]]*100/$T$19</f>
        <v>2257.5757575757575</v>
      </c>
      <c r="G53" s="35">
        <f>Table2[[#This Row],[cases]]*100/$T$13</f>
        <v>1910.2564102564102</v>
      </c>
      <c r="H53" s="35">
        <f>Table2[[#This Row],[cases]]*100/$T$16</f>
        <v>2759.2592592592591</v>
      </c>
      <c r="I53" s="35">
        <f>Table2[[#This Row],[infection count, high end of estimate range]]-Table2[[#This Row],[infection count, low end of estimate range]]</f>
        <v>849.00284900284896</v>
      </c>
      <c r="J53" s="35">
        <f>(Table2[[#This Row],[infection count, low end of estimate range]]+Table2[[#This Row],[infection count, high end of estimate range]])/2</f>
        <v>2334.7578347578346</v>
      </c>
      <c r="K53" s="26">
        <f>Table2[[#This Row],[estimated infections]]/$T$6</f>
        <v>2.4614315157065761E-2</v>
      </c>
      <c r="L53" s="27">
        <f>Table2[[#This Row],[infection count, low end of estimate range]]/$T$6</f>
        <v>2.0827497440594107E-2</v>
      </c>
      <c r="M53" s="27">
        <f>Table2[[#This Row],[infection count, high end of estimate range]]/$T$6</f>
        <v>3.0084162969747041E-2</v>
      </c>
      <c r="N53" s="15">
        <f>Table2[[#This Row],[infection percentage, high end of estimate range]]-Table2[[#This Row],[infection percentage, low end of estimate range]]</f>
        <v>9.256665529152934E-3</v>
      </c>
      <c r="O53" s="27">
        <f>(Table2[[#This Row],[infection percentage, low end of estimate range]]+Table2[[#This Row],[infection percentage, high end of estimate range]])/2</f>
        <v>2.5455830205170574E-2</v>
      </c>
      <c r="P53" s="3">
        <f>$T$6/(Table2[[#This Row],[cases]]*5)</f>
        <v>24.622281879194631</v>
      </c>
      <c r="Q53" s="3">
        <f>$T$6/(Table2[[#This Row],[cases]]*7)</f>
        <v>17.587344199424738</v>
      </c>
      <c r="R53" s="3">
        <f>Table2[[#This Row],[1-in-X odds, estimating 5x cases infected]]-Table2[[#This Row],[1-in-X odds, estimating 7x cases infected]]</f>
        <v>7.034937679769893</v>
      </c>
      <c r="S53" s="3">
        <f>(Table2[[#This Row],[1-in-X odds, estimating 5x cases infected]]+Table2[[#This Row],[1-in-X odds, estimating 7x cases infected]])/2</f>
        <v>21.104813039309683</v>
      </c>
      <c r="V53" s="31"/>
    </row>
    <row r="54" spans="1:22">
      <c r="A54" s="91">
        <v>43962</v>
      </c>
      <c r="B54" s="86">
        <v>750</v>
      </c>
      <c r="C54" s="71">
        <f>Table2[[#This Row],[cases]]/$B$2</f>
        <v>8.1772389280184918E-3</v>
      </c>
      <c r="D54" s="26">
        <f>(Table2[[#This Row],[cases]]-B53)/B53</f>
        <v>6.7114093959731542E-3</v>
      </c>
      <c r="E54" s="38">
        <f t="shared" si="12"/>
        <v>103.62511712289192</v>
      </c>
      <c r="F54" s="81">
        <f>Table2[[#This Row],[cases]]*100/$T$19</f>
        <v>2272.7272727272725</v>
      </c>
      <c r="G54" s="35">
        <f>Table2[[#This Row],[cases]]*100/$T$13</f>
        <v>1923.0769230769231</v>
      </c>
      <c r="H54" s="35">
        <f>Table2[[#This Row],[cases]]*100/$T$16</f>
        <v>2777.7777777777778</v>
      </c>
      <c r="I54" s="35">
        <f>Table2[[#This Row],[infection count, high end of estimate range]]-Table2[[#This Row],[infection count, low end of estimate range]]</f>
        <v>854.70085470085473</v>
      </c>
      <c r="J54" s="35">
        <f>(Table2[[#This Row],[infection count, low end of estimate range]]+Table2[[#This Row],[infection count, high end of estimate range]])/2</f>
        <v>2350.4273504273506</v>
      </c>
      <c r="K54" s="26">
        <f>Table2[[#This Row],[estimated infections]]/$T$6</f>
        <v>2.4779511903086335E-2</v>
      </c>
      <c r="L54" s="27">
        <f>Table2[[#This Row],[infection count, low end of estimate range]]/$T$6</f>
        <v>2.0967279302611518E-2</v>
      </c>
      <c r="M54" s="27">
        <f>Table2[[#This Row],[infection count, high end of estimate range]]/$T$6</f>
        <v>3.028607010377219E-2</v>
      </c>
      <c r="N54" s="15">
        <f>Table2[[#This Row],[infection percentage, high end of estimate range]]-Table2[[#This Row],[infection percentage, low end of estimate range]]</f>
        <v>9.3187908011606729E-3</v>
      </c>
      <c r="O54" s="27">
        <f>(Table2[[#This Row],[infection percentage, low end of estimate range]]+Table2[[#This Row],[infection percentage, high end of estimate range]])/2</f>
        <v>2.5626674703191854E-2</v>
      </c>
      <c r="P54" s="3">
        <f>$T$6/(Table2[[#This Row],[cases]]*5)</f>
        <v>24.458133333333333</v>
      </c>
      <c r="Q54" s="3">
        <f>$T$6/(Table2[[#This Row],[cases]]*7)</f>
        <v>17.470095238095237</v>
      </c>
      <c r="R54" s="3">
        <f>Table2[[#This Row],[1-in-X odds, estimating 5x cases infected]]-Table2[[#This Row],[1-in-X odds, estimating 7x cases infected]]</f>
        <v>6.988038095238096</v>
      </c>
      <c r="S54" s="3">
        <f>(Table2[[#This Row],[1-in-X odds, estimating 5x cases infected]]+Table2[[#This Row],[1-in-X odds, estimating 7x cases infected]])/2</f>
        <v>20.964114285714285</v>
      </c>
      <c r="V54" s="31"/>
    </row>
    <row r="55" spans="1:22">
      <c r="A55" s="91">
        <v>43963</v>
      </c>
      <c r="B55" s="86">
        <v>757</v>
      </c>
      <c r="C55" s="71">
        <f>Table2[[#This Row],[cases]]/$B$2</f>
        <v>8.2535598246799968E-3</v>
      </c>
      <c r="D55" s="26">
        <f>(Table2[[#This Row],[cases]]-B54)/B54</f>
        <v>9.3333333333333341E-3</v>
      </c>
      <c r="E55" s="38">
        <f t="shared" ref="E55" si="13">(LN(2)/LN(B55/B54))</f>
        <v>74.611806322607862</v>
      </c>
      <c r="F55" s="81">
        <f>Table2[[#This Row],[cases]]*100/$T$19</f>
        <v>2293.939393939394</v>
      </c>
      <c r="G55" s="35">
        <f>Table2[[#This Row],[cases]]*100/$T$13</f>
        <v>1941.0256410256411</v>
      </c>
      <c r="H55" s="35">
        <f>Table2[[#This Row],[cases]]*100/$T$16</f>
        <v>2803.7037037037039</v>
      </c>
      <c r="I55" s="35">
        <f>Table2[[#This Row],[infection count, high end of estimate range]]-Table2[[#This Row],[infection count, low end of estimate range]]</f>
        <v>862.67806267806282</v>
      </c>
      <c r="J55" s="35">
        <f>(Table2[[#This Row],[infection count, low end of estimate range]]+Table2[[#This Row],[infection count, high end of estimate range]])/2</f>
        <v>2372.3646723646725</v>
      </c>
      <c r="K55" s="26">
        <f>Table2[[#This Row],[estimated infections]]/$T$6</f>
        <v>2.5010787347515145E-2</v>
      </c>
      <c r="L55" s="27">
        <f>Table2[[#This Row],[infection count, low end of estimate range]]/$T$6</f>
        <v>2.1162973909435893E-2</v>
      </c>
      <c r="M55" s="27">
        <f>Table2[[#This Row],[infection count, high end of estimate range]]/$T$6</f>
        <v>3.05687400914074E-2</v>
      </c>
      <c r="N55" s="15">
        <f>Table2[[#This Row],[infection percentage, high end of estimate range]]-Table2[[#This Row],[infection percentage, low end of estimate range]]</f>
        <v>9.4057661819715067E-3</v>
      </c>
      <c r="O55" s="27">
        <f>(Table2[[#This Row],[infection percentage, low end of estimate range]]+Table2[[#This Row],[infection percentage, high end of estimate range]])/2</f>
        <v>2.5865857000421648E-2</v>
      </c>
      <c r="P55" s="3">
        <f>$T$6/(Table2[[#This Row],[cases]]*5)</f>
        <v>24.231968295904888</v>
      </c>
      <c r="Q55" s="3">
        <f>$T$6/(Table2[[#This Row],[cases]]*7)</f>
        <v>17.308548782789206</v>
      </c>
      <c r="R55" s="3">
        <f>Table2[[#This Row],[1-in-X odds, estimating 5x cases infected]]-Table2[[#This Row],[1-in-X odds, estimating 7x cases infected]]</f>
        <v>6.9234195131156824</v>
      </c>
      <c r="S55" s="3">
        <f>(Table2[[#This Row],[1-in-X odds, estimating 5x cases infected]]+Table2[[#This Row],[1-in-X odds, estimating 7x cases infected]])/2</f>
        <v>20.770258539347047</v>
      </c>
      <c r="V55" s="31"/>
    </row>
    <row r="56" spans="1:22">
      <c r="A56" s="91">
        <v>43964</v>
      </c>
      <c r="B56" s="86">
        <v>759</v>
      </c>
      <c r="C56" s="71">
        <f>Table2[[#This Row],[cases]]/$B$2</f>
        <v>8.2753657951547127E-3</v>
      </c>
      <c r="D56" s="26">
        <f>(Table2[[#This Row],[cases]]-B55)/B55</f>
        <v>2.6420079260237781E-3</v>
      </c>
      <c r="E56" s="38">
        <f t="shared" ref="E56" si="14">(LN(2)/LN(B56/B55))</f>
        <v>262.70262902510757</v>
      </c>
      <c r="F56" s="81">
        <f>Table2[[#This Row],[cases]]*100/$T$19</f>
        <v>2300</v>
      </c>
      <c r="G56" s="35">
        <f>Table2[[#This Row],[cases]]*100/$T$13</f>
        <v>1946.1538461538462</v>
      </c>
      <c r="H56" s="35">
        <f>Table2[[#This Row],[cases]]*100/$T$16</f>
        <v>2811.1111111111113</v>
      </c>
      <c r="I56" s="35">
        <f>Table2[[#This Row],[infection count, high end of estimate range]]-Table2[[#This Row],[infection count, low end of estimate range]]</f>
        <v>864.95726495726512</v>
      </c>
      <c r="J56" s="35">
        <f>(Table2[[#This Row],[infection count, low end of estimate range]]+Table2[[#This Row],[infection count, high end of estimate range]])/2</f>
        <v>2378.6324786324785</v>
      </c>
      <c r="K56" s="26">
        <f>Table2[[#This Row],[estimated infections]]/$T$6</f>
        <v>2.5076866045923372E-2</v>
      </c>
      <c r="L56" s="27">
        <f>Table2[[#This Row],[infection count, low end of estimate range]]/$T$6</f>
        <v>2.1218886654242854E-2</v>
      </c>
      <c r="M56" s="27">
        <f>Table2[[#This Row],[infection count, high end of estimate range]]/$T$6</f>
        <v>3.0649502945017459E-2</v>
      </c>
      <c r="N56" s="15">
        <f>Table2[[#This Row],[infection percentage, high end of estimate range]]-Table2[[#This Row],[infection percentage, low end of estimate range]]</f>
        <v>9.4306162907746051E-3</v>
      </c>
      <c r="O56" s="27">
        <f>(Table2[[#This Row],[infection percentage, low end of estimate range]]+Table2[[#This Row],[infection percentage, high end of estimate range]])/2</f>
        <v>2.5934194799630154E-2</v>
      </c>
      <c r="P56" s="3">
        <f>$T$6/(Table2[[#This Row],[cases]]*5)</f>
        <v>24.168115942028987</v>
      </c>
      <c r="Q56" s="3">
        <f>$T$6/(Table2[[#This Row],[cases]]*7)</f>
        <v>17.262939958592131</v>
      </c>
      <c r="R56" s="3">
        <f>Table2[[#This Row],[1-in-X odds, estimating 5x cases infected]]-Table2[[#This Row],[1-in-X odds, estimating 7x cases infected]]</f>
        <v>6.9051759834368553</v>
      </c>
      <c r="S56" s="3">
        <f>(Table2[[#This Row],[1-in-X odds, estimating 5x cases infected]]+Table2[[#This Row],[1-in-X odds, estimating 7x cases infected]])/2</f>
        <v>20.715527950310559</v>
      </c>
      <c r="V56" s="31"/>
    </row>
    <row r="57" spans="1:22">
      <c r="A57" s="91">
        <v>43965</v>
      </c>
      <c r="B57" s="86">
        <v>768</v>
      </c>
      <c r="C57" s="71">
        <f>Table2[[#This Row],[cases]]/$B$2</f>
        <v>8.3734926622909354E-3</v>
      </c>
      <c r="D57" s="26">
        <f>(Table2[[#This Row],[cases]]-B56)/B56</f>
        <v>1.1857707509881422E-2</v>
      </c>
      <c r="E57" s="38">
        <f t="shared" ref="E57" si="15">(LN(2)/LN(B57/B56))</f>
        <v>58.801304920054768</v>
      </c>
      <c r="F57" s="81">
        <f>Table2[[#This Row],[cases]]*100/$T$19</f>
        <v>2327.2727272727275</v>
      </c>
      <c r="G57" s="35">
        <f>Table2[[#This Row],[cases]]*100/$T$13</f>
        <v>1969.2307692307693</v>
      </c>
      <c r="H57" s="35">
        <f>Table2[[#This Row],[cases]]*100/$T$16</f>
        <v>2844.4444444444443</v>
      </c>
      <c r="I57" s="35">
        <f>Table2[[#This Row],[infection count, high end of estimate range]]-Table2[[#This Row],[infection count, low end of estimate range]]</f>
        <v>875.21367521367506</v>
      </c>
      <c r="J57" s="35">
        <f>(Table2[[#This Row],[infection count, low end of estimate range]]+Table2[[#This Row],[infection count, high end of estimate range]])/2</f>
        <v>2406.8376068376069</v>
      </c>
      <c r="K57" s="26">
        <f>Table2[[#This Row],[estimated infections]]/$T$6</f>
        <v>2.5374220188760413E-2</v>
      </c>
      <c r="L57" s="27">
        <f>Table2[[#This Row],[infection count, low end of estimate range]]/$T$6</f>
        <v>2.1470494005874193E-2</v>
      </c>
      <c r="M57" s="27">
        <f>Table2[[#This Row],[infection count, high end of estimate range]]/$T$6</f>
        <v>3.1012935786262723E-2</v>
      </c>
      <c r="N57" s="15">
        <f>Table2[[#This Row],[infection percentage, high end of estimate range]]-Table2[[#This Row],[infection percentage, low end of estimate range]]</f>
        <v>9.5424417803885303E-3</v>
      </c>
      <c r="O57" s="27">
        <f>(Table2[[#This Row],[infection percentage, low end of estimate range]]+Table2[[#This Row],[infection percentage, high end of estimate range]])/2</f>
        <v>2.6241714896068458E-2</v>
      </c>
      <c r="P57" s="3">
        <f>$T$6/(Table2[[#This Row],[cases]]*5)</f>
        <v>23.884895833333335</v>
      </c>
      <c r="Q57" s="3">
        <f>$T$6/(Table2[[#This Row],[cases]]*7)</f>
        <v>17.06063988095238</v>
      </c>
      <c r="R57" s="3">
        <f>Table2[[#This Row],[1-in-X odds, estimating 5x cases infected]]-Table2[[#This Row],[1-in-X odds, estimating 7x cases infected]]</f>
        <v>6.8242559523809554</v>
      </c>
      <c r="S57" s="3">
        <f>(Table2[[#This Row],[1-in-X odds, estimating 5x cases infected]]+Table2[[#This Row],[1-in-X odds, estimating 7x cases infected]])/2</f>
        <v>20.472767857142856</v>
      </c>
      <c r="V57" s="31"/>
    </row>
    <row r="58" spans="1:22">
      <c r="A58" s="91">
        <v>43966</v>
      </c>
      <c r="B58" s="86">
        <v>787</v>
      </c>
      <c r="C58" s="71">
        <f>Table2[[#This Row],[cases]]/$B$2</f>
        <v>8.5806493818007378E-3</v>
      </c>
      <c r="D58" s="26">
        <f>(Table2[[#This Row],[cases]]-B57)/B57</f>
        <v>2.4739583333333332E-2</v>
      </c>
      <c r="E58" s="38">
        <f t="shared" ref="E58:E60" si="16">(LN(2)/LN(B58/B57))</f>
        <v>28.362900647178932</v>
      </c>
      <c r="F58" s="81">
        <f>Table2[[#This Row],[cases]]*100/$T$19</f>
        <v>2384.848484848485</v>
      </c>
      <c r="G58" s="35">
        <f>Table2[[#This Row],[cases]]*100/$T$13</f>
        <v>2017.948717948718</v>
      </c>
      <c r="H58" s="35">
        <f>Table2[[#This Row],[cases]]*100/$T$16</f>
        <v>2914.8148148148148</v>
      </c>
      <c r="I58" s="35">
        <f>Table2[[#This Row],[infection count, high end of estimate range]]-Table2[[#This Row],[infection count, low end of estimate range]]</f>
        <v>896.86609686609677</v>
      </c>
      <c r="J58" s="35">
        <f>(Table2[[#This Row],[infection count, low end of estimate range]]+Table2[[#This Row],[infection count, high end of estimate range]])/2</f>
        <v>2466.3817663817663</v>
      </c>
      <c r="K58" s="26">
        <f>Table2[[#This Row],[estimated infections]]/$T$6</f>
        <v>2.6001967823638599E-2</v>
      </c>
      <c r="L58" s="27">
        <f>Table2[[#This Row],[infection count, low end of estimate range]]/$T$6</f>
        <v>2.2001665081540351E-2</v>
      </c>
      <c r="M58" s="27">
        <f>Table2[[#This Row],[infection count, high end of estimate range]]/$T$6</f>
        <v>3.1780182895558284E-2</v>
      </c>
      <c r="N58" s="15">
        <f>Table2[[#This Row],[infection percentage, high end of estimate range]]-Table2[[#This Row],[infection percentage, low end of estimate range]]</f>
        <v>9.7785178140179334E-3</v>
      </c>
      <c r="O58" s="27">
        <f>(Table2[[#This Row],[infection percentage, low end of estimate range]]+Table2[[#This Row],[infection percentage, high end of estimate range]])/2</f>
        <v>2.6890923988549316E-2</v>
      </c>
      <c r="P58" s="3">
        <f>$T$6/(Table2[[#This Row],[cases]]*5)</f>
        <v>23.30825921219822</v>
      </c>
      <c r="Q58" s="3">
        <f>$T$6/(Table2[[#This Row],[cases]]*7)</f>
        <v>16.648756580141587</v>
      </c>
      <c r="R58" s="3">
        <f>Table2[[#This Row],[1-in-X odds, estimating 5x cases infected]]-Table2[[#This Row],[1-in-X odds, estimating 7x cases infected]]</f>
        <v>6.6595026320566326</v>
      </c>
      <c r="S58" s="3">
        <f>(Table2[[#This Row],[1-in-X odds, estimating 5x cases infected]]+Table2[[#This Row],[1-in-X odds, estimating 7x cases infected]])/2</f>
        <v>19.978507896169901</v>
      </c>
      <c r="V58" s="31"/>
    </row>
    <row r="59" spans="1:22">
      <c r="A59" s="91">
        <v>43967</v>
      </c>
      <c r="B59" s="86">
        <v>791</v>
      </c>
      <c r="C59" s="71">
        <f>Table2[[#This Row],[cases]]/$B$2</f>
        <v>8.6242613227501697E-3</v>
      </c>
      <c r="D59" s="26">
        <f>(Table2[[#This Row],[cases]]-B58)/B58</f>
        <v>5.0825921219822112E-3</v>
      </c>
      <c r="E59" s="38">
        <f t="shared" si="16"/>
        <v>136.72298852710364</v>
      </c>
      <c r="F59" s="81">
        <f>Table2[[#This Row],[cases]]*100/$T$19</f>
        <v>2396.969696969697</v>
      </c>
      <c r="G59" s="35">
        <f>Table2[[#This Row],[cases]]*100/$T$13</f>
        <v>2028.2051282051282</v>
      </c>
      <c r="H59" s="35">
        <f>Table2[[#This Row],[cases]]*100/$T$16</f>
        <v>2929.6296296296296</v>
      </c>
      <c r="I59" s="35">
        <f>Table2[[#This Row],[infection count, high end of estimate range]]-Table2[[#This Row],[infection count, low end of estimate range]]</f>
        <v>901.42450142450139</v>
      </c>
      <c r="J59" s="35">
        <f>(Table2[[#This Row],[infection count, low end of estimate range]]+Table2[[#This Row],[infection count, high end of estimate range]])/2</f>
        <v>2478.9173789173788</v>
      </c>
      <c r="K59" s="26">
        <f>Table2[[#This Row],[estimated infections]]/$T$6</f>
        <v>2.6134125220455058E-2</v>
      </c>
      <c r="L59" s="27">
        <f>Table2[[#This Row],[infection count, low end of estimate range]]/$T$6</f>
        <v>2.211349057115428E-2</v>
      </c>
      <c r="M59" s="27">
        <f>Table2[[#This Row],[infection count, high end of estimate range]]/$T$6</f>
        <v>3.1941708602778403E-2</v>
      </c>
      <c r="N59" s="15">
        <f>Table2[[#This Row],[infection percentage, high end of estimate range]]-Table2[[#This Row],[infection percentage, low end of estimate range]]</f>
        <v>9.8282180316241231E-3</v>
      </c>
      <c r="O59" s="27">
        <f>(Table2[[#This Row],[infection percentage, low end of estimate range]]+Table2[[#This Row],[infection percentage, high end of estimate range]])/2</f>
        <v>2.7027599586966343E-2</v>
      </c>
      <c r="P59" s="3">
        <f>$T$6/(Table2[[#This Row],[cases]]*5)</f>
        <v>23.190391908975979</v>
      </c>
      <c r="Q59" s="3">
        <f>$T$6/(Table2[[#This Row],[cases]]*7)</f>
        <v>16.564565649268555</v>
      </c>
      <c r="R59" s="3">
        <f>Table2[[#This Row],[1-in-X odds, estimating 5x cases infected]]-Table2[[#This Row],[1-in-X odds, estimating 7x cases infected]]</f>
        <v>6.6258262597074236</v>
      </c>
      <c r="S59" s="3">
        <f>(Table2[[#This Row],[1-in-X odds, estimating 5x cases infected]]+Table2[[#This Row],[1-in-X odds, estimating 7x cases infected]])/2</f>
        <v>19.877478779122267</v>
      </c>
      <c r="V59" s="31"/>
    </row>
    <row r="60" spans="1:22">
      <c r="A60" s="91">
        <v>43968</v>
      </c>
      <c r="B60" s="86">
        <v>803</v>
      </c>
      <c r="C60" s="71">
        <f>Table2[[#This Row],[cases]]/$B$2</f>
        <v>8.7550971455984655E-3</v>
      </c>
      <c r="D60" s="26">
        <f>(Table2[[#This Row],[cases]]-B59)/B59</f>
        <v>1.5170670037926675E-2</v>
      </c>
      <c r="E60" s="38">
        <f t="shared" si="16"/>
        <v>46.0356555337125</v>
      </c>
      <c r="F60" s="81">
        <f>Table2[[#This Row],[cases]]*100/$T$19</f>
        <v>2433.3333333333335</v>
      </c>
      <c r="G60" s="35">
        <f>Table2[[#This Row],[cases]]*100/$T$13</f>
        <v>2058.9743589743589</v>
      </c>
      <c r="H60" s="35">
        <f>Table2[[#This Row],[cases]]*100/$T$16</f>
        <v>2974.0740740740739</v>
      </c>
      <c r="I60" s="35">
        <f>Table2[[#This Row],[infection count, high end of estimate range]]-Table2[[#This Row],[infection count, low end of estimate range]]</f>
        <v>915.09971509971501</v>
      </c>
      <c r="J60" s="35">
        <f>(Table2[[#This Row],[infection count, low end of estimate range]]+Table2[[#This Row],[infection count, high end of estimate range]])/2</f>
        <v>2516.5242165242162</v>
      </c>
      <c r="K60" s="26">
        <f>Table2[[#This Row],[estimated infections]]/$T$6</f>
        <v>2.6530597410904442E-2</v>
      </c>
      <c r="L60" s="27">
        <f>Table2[[#This Row],[infection count, low end of estimate range]]/$T$6</f>
        <v>2.2448967039996062E-2</v>
      </c>
      <c r="M60" s="27">
        <f>Table2[[#This Row],[infection count, high end of estimate range]]/$T$6</f>
        <v>3.2426285724438758E-2</v>
      </c>
      <c r="N60" s="15">
        <f>Table2[[#This Row],[infection percentage, high end of estimate range]]-Table2[[#This Row],[infection percentage, low end of estimate range]]</f>
        <v>9.9773186844426959E-3</v>
      </c>
      <c r="O60" s="27">
        <f>(Table2[[#This Row],[infection percentage, low end of estimate range]]+Table2[[#This Row],[infection percentage, high end of estimate range]])/2</f>
        <v>2.743762638221741E-2</v>
      </c>
      <c r="P60" s="3">
        <f>$T$6/(Table2[[#This Row],[cases]]*5)</f>
        <v>22.843835616438355</v>
      </c>
      <c r="Q60" s="3">
        <f>$T$6/(Table2[[#This Row],[cases]]*7)</f>
        <v>16.317025440313113</v>
      </c>
      <c r="R60" s="3">
        <f>Table2[[#This Row],[1-in-X odds, estimating 5x cases infected]]-Table2[[#This Row],[1-in-X odds, estimating 7x cases infected]]</f>
        <v>6.5268101761252417</v>
      </c>
      <c r="S60" s="3">
        <f>(Table2[[#This Row],[1-in-X odds, estimating 5x cases infected]]+Table2[[#This Row],[1-in-X odds, estimating 7x cases infected]])/2</f>
        <v>19.580430528375736</v>
      </c>
      <c r="V60" s="31"/>
    </row>
    <row r="61" spans="1:22">
      <c r="A61" s="91">
        <v>43969</v>
      </c>
      <c r="B61" s="86">
        <v>814</v>
      </c>
      <c r="C61" s="71">
        <f>Table2[[#This Row],[cases]]/$B$2</f>
        <v>8.8750299832094023E-3</v>
      </c>
      <c r="D61" s="26">
        <f>(Table2[[#This Row],[cases]]-B60)/B60</f>
        <v>1.3698630136986301E-2</v>
      </c>
      <c r="E61" s="38">
        <f t="shared" ref="E61:E62" si="17">(LN(2)/LN(B61/B60))</f>
        <v>50.945531880300251</v>
      </c>
      <c r="F61" s="81">
        <f>Table2[[#This Row],[cases]]*100/$T$19</f>
        <v>2466.6666666666665</v>
      </c>
      <c r="G61" s="35">
        <f>Table2[[#This Row],[cases]]*100/$T$13</f>
        <v>2087.1794871794873</v>
      </c>
      <c r="H61" s="35">
        <f>Table2[[#This Row],[cases]]*100/$T$16</f>
        <v>3014.8148148148148</v>
      </c>
      <c r="I61" s="35">
        <f>Table2[[#This Row],[infection count, high end of estimate range]]-Table2[[#This Row],[infection count, low end of estimate range]]</f>
        <v>927.63532763532749</v>
      </c>
      <c r="J61" s="35">
        <f>(Table2[[#This Row],[infection count, low end of estimate range]]+Table2[[#This Row],[infection count, high end of estimate range]])/2</f>
        <v>2550.997150997151</v>
      </c>
      <c r="K61" s="26">
        <f>Table2[[#This Row],[estimated infections]]/$T$6</f>
        <v>2.6894030252149703E-2</v>
      </c>
      <c r="L61" s="27">
        <f>Table2[[#This Row],[infection count, low end of estimate range]]/$T$6</f>
        <v>2.2756487136434366E-2</v>
      </c>
      <c r="M61" s="27">
        <f>Table2[[#This Row],[infection count, high end of estimate range]]/$T$6</f>
        <v>3.2870481419294086E-2</v>
      </c>
      <c r="N61" s="15">
        <f>Table2[[#This Row],[infection percentage, high end of estimate range]]-Table2[[#This Row],[infection percentage, low end of estimate range]]</f>
        <v>1.0113994282859719E-2</v>
      </c>
      <c r="O61" s="27">
        <f>(Table2[[#This Row],[infection percentage, low end of estimate range]]+Table2[[#This Row],[infection percentage, high end of estimate range]])/2</f>
        <v>2.7813484277864224E-2</v>
      </c>
      <c r="P61" s="3">
        <f>$T$6/(Table2[[#This Row],[cases]]*5)</f>
        <v>22.535135135135135</v>
      </c>
      <c r="Q61" s="3">
        <f>$T$6/(Table2[[#This Row],[cases]]*7)</f>
        <v>16.096525096525095</v>
      </c>
      <c r="R61" s="3">
        <f>Table2[[#This Row],[1-in-X odds, estimating 5x cases infected]]-Table2[[#This Row],[1-in-X odds, estimating 7x cases infected]]</f>
        <v>6.4386100386100402</v>
      </c>
      <c r="S61" s="3">
        <f>(Table2[[#This Row],[1-in-X odds, estimating 5x cases infected]]+Table2[[#This Row],[1-in-X odds, estimating 7x cases infected]])/2</f>
        <v>19.315830115830117</v>
      </c>
      <c r="V61" s="31"/>
    </row>
    <row r="62" spans="1:22">
      <c r="A62" s="91">
        <v>43970</v>
      </c>
      <c r="B62" s="86">
        <v>816</v>
      </c>
      <c r="C62" s="71">
        <f>Table2[[#This Row],[cases]]/$B$2</f>
        <v>8.8968359536841183E-3</v>
      </c>
      <c r="D62" s="26">
        <f>(Table2[[#This Row],[cases]]-B61)/B61</f>
        <v>2.4570024570024569E-3</v>
      </c>
      <c r="E62" s="38">
        <f t="shared" si="17"/>
        <v>282.45733433022241</v>
      </c>
      <c r="F62" s="81">
        <f>Table2[[#This Row],[cases]]*100/$T$19</f>
        <v>2472.7272727272725</v>
      </c>
      <c r="G62" s="35">
        <f>Table2[[#This Row],[cases]]*100/$T$13</f>
        <v>2092.3076923076924</v>
      </c>
      <c r="H62" s="35">
        <f>Table2[[#This Row],[cases]]*100/$T$16</f>
        <v>3022.2222222222222</v>
      </c>
      <c r="I62" s="35">
        <f>Table2[[#This Row],[infection count, high end of estimate range]]-Table2[[#This Row],[infection count, low end of estimate range]]</f>
        <v>929.91452991452979</v>
      </c>
      <c r="J62" s="35">
        <f>(Table2[[#This Row],[infection count, low end of estimate range]]+Table2[[#This Row],[infection count, high end of estimate range]])/2</f>
        <v>2557.264957264957</v>
      </c>
      <c r="K62" s="26">
        <f>Table2[[#This Row],[estimated infections]]/$T$6</f>
        <v>2.6960108950557934E-2</v>
      </c>
      <c r="L62" s="27">
        <f>Table2[[#This Row],[infection count, low end of estimate range]]/$T$6</f>
        <v>2.281239988124133E-2</v>
      </c>
      <c r="M62" s="27">
        <f>Table2[[#This Row],[infection count, high end of estimate range]]/$T$6</f>
        <v>3.2951244272904141E-2</v>
      </c>
      <c r="N62" s="15">
        <f>Table2[[#This Row],[infection percentage, high end of estimate range]]-Table2[[#This Row],[infection percentage, low end of estimate range]]</f>
        <v>1.0138844391662811E-2</v>
      </c>
      <c r="O62" s="27">
        <f>(Table2[[#This Row],[infection percentage, low end of estimate range]]+Table2[[#This Row],[infection percentage, high end of estimate range]])/2</f>
        <v>2.7881822077072738E-2</v>
      </c>
      <c r="P62" s="3">
        <f>$T$6/(Table2[[#This Row],[cases]]*5)</f>
        <v>22.479901960784314</v>
      </c>
      <c r="Q62" s="3">
        <f>$T$6/(Table2[[#This Row],[cases]]*7)</f>
        <v>16.057072829131652</v>
      </c>
      <c r="R62" s="3">
        <f>Table2[[#This Row],[1-in-X odds, estimating 5x cases infected]]-Table2[[#This Row],[1-in-X odds, estimating 7x cases infected]]</f>
        <v>6.4228291316526622</v>
      </c>
      <c r="S62" s="3">
        <f>(Table2[[#This Row],[1-in-X odds, estimating 5x cases infected]]+Table2[[#This Row],[1-in-X odds, estimating 7x cases infected]])/2</f>
        <v>19.268487394957983</v>
      </c>
      <c r="V62" s="31"/>
    </row>
    <row r="63" spans="1:22">
      <c r="A63" s="91">
        <v>43971</v>
      </c>
      <c r="B63" s="86">
        <v>817</v>
      </c>
      <c r="C63" s="71">
        <f>Table2[[#This Row],[cases]]/$B$2</f>
        <v>8.9077389389214771E-3</v>
      </c>
      <c r="D63" s="26">
        <f>(Table2[[#This Row],[cases]]-B62)/B62</f>
        <v>1.2254901960784314E-3</v>
      </c>
      <c r="E63" s="38">
        <f t="shared" ref="E63:E66" si="18">(LN(2)/LN(B63/B62))</f>
        <v>565.95460218344863</v>
      </c>
      <c r="F63" s="81">
        <f>Table2[[#This Row],[cases]]*100/$T$19</f>
        <v>2475.757575757576</v>
      </c>
      <c r="G63" s="35">
        <f>Table2[[#This Row],[cases]]*100/$T$13</f>
        <v>2094.8717948717949</v>
      </c>
      <c r="H63" s="35">
        <f>Table2[[#This Row],[cases]]*100/$T$16</f>
        <v>3025.9259259259261</v>
      </c>
      <c r="I63" s="35">
        <f>Table2[[#This Row],[infection count, high end of estimate range]]-Table2[[#This Row],[infection count, low end of estimate range]]</f>
        <v>931.05413105413118</v>
      </c>
      <c r="J63" s="35">
        <f>(Table2[[#This Row],[infection count, low end of estimate range]]+Table2[[#This Row],[infection count, high end of estimate range]])/2</f>
        <v>2560.3988603988605</v>
      </c>
      <c r="K63" s="26">
        <f>Table2[[#This Row],[estimated infections]]/$T$6</f>
        <v>2.6993148299762054E-2</v>
      </c>
      <c r="L63" s="27">
        <f>Table2[[#This Row],[infection count, low end of estimate range]]/$T$6</f>
        <v>2.2840356253644813E-2</v>
      </c>
      <c r="M63" s="27">
        <f>Table2[[#This Row],[infection count, high end of estimate range]]/$T$6</f>
        <v>3.2991625699709176E-2</v>
      </c>
      <c r="N63" s="15">
        <f>Table2[[#This Row],[infection percentage, high end of estimate range]]-Table2[[#This Row],[infection percentage, low end of estimate range]]</f>
        <v>1.0151269446064363E-2</v>
      </c>
      <c r="O63" s="27">
        <f>(Table2[[#This Row],[infection percentage, low end of estimate range]]+Table2[[#This Row],[infection percentage, high end of estimate range]])/2</f>
        <v>2.7915990976676994E-2</v>
      </c>
      <c r="P63" s="3">
        <f>$T$6/(Table2[[#This Row],[cases]]*5)</f>
        <v>22.452386780905751</v>
      </c>
      <c r="Q63" s="3">
        <f>$T$6/(Table2[[#This Row],[cases]]*7)</f>
        <v>16.037419129218396</v>
      </c>
      <c r="R63" s="3">
        <f>Table2[[#This Row],[1-in-X odds, estimating 5x cases infected]]-Table2[[#This Row],[1-in-X odds, estimating 7x cases infected]]</f>
        <v>6.4149676516873555</v>
      </c>
      <c r="S63" s="3">
        <f>(Table2[[#This Row],[1-in-X odds, estimating 5x cases infected]]+Table2[[#This Row],[1-in-X odds, estimating 7x cases infected]])/2</f>
        <v>19.244902955062074</v>
      </c>
      <c r="V63" s="31"/>
    </row>
    <row r="64" spans="1:22">
      <c r="A64" s="91">
        <v>43972</v>
      </c>
      <c r="B64" s="86">
        <v>838</v>
      </c>
      <c r="C64" s="71">
        <f>Table2[[#This Row],[cases]]/$B$2</f>
        <v>9.1367016289059938E-3</v>
      </c>
      <c r="D64" s="26">
        <f>(Table2[[#This Row],[cases]]-B63)/B63</f>
        <v>2.5703794369645042E-2</v>
      </c>
      <c r="E64" s="38">
        <f t="shared" si="18"/>
        <v>27.311833681808924</v>
      </c>
      <c r="F64" s="81">
        <f>Table2[[#This Row],[cases]]*100/$T$19</f>
        <v>2539.3939393939395</v>
      </c>
      <c r="G64" s="35">
        <f>Table2[[#This Row],[cases]]*100/$T$13</f>
        <v>2148.7179487179487</v>
      </c>
      <c r="H64" s="35">
        <f>Table2[[#This Row],[cases]]*100/$T$16</f>
        <v>3103.7037037037039</v>
      </c>
      <c r="I64" s="35">
        <f>Table2[[#This Row],[infection count, high end of estimate range]]-Table2[[#This Row],[infection count, low end of estimate range]]</f>
        <v>954.98575498575519</v>
      </c>
      <c r="J64" s="35">
        <f>(Table2[[#This Row],[infection count, low end of estimate range]]+Table2[[#This Row],[infection count, high end of estimate range]])/2</f>
        <v>2626.2108262108263</v>
      </c>
      <c r="K64" s="26">
        <f>Table2[[#This Row],[estimated infections]]/$T$6</f>
        <v>2.7686974633048467E-2</v>
      </c>
      <c r="L64" s="27">
        <f>Table2[[#This Row],[infection count, low end of estimate range]]/$T$6</f>
        <v>2.3427440074117935E-2</v>
      </c>
      <c r="M64" s="27">
        <f>Table2[[#This Row],[infection count, high end of estimate range]]/$T$6</f>
        <v>3.3839635662614796E-2</v>
      </c>
      <c r="N64" s="15">
        <f>Table2[[#This Row],[infection percentage, high end of estimate range]]-Table2[[#This Row],[infection percentage, low end of estimate range]]</f>
        <v>1.0412195588496861E-2</v>
      </c>
      <c r="O64" s="27">
        <f>(Table2[[#This Row],[infection percentage, low end of estimate range]]+Table2[[#This Row],[infection percentage, high end of estimate range]])/2</f>
        <v>2.8633537868366365E-2</v>
      </c>
      <c r="P64" s="3">
        <f>$T$6/(Table2[[#This Row],[cases]]*5)</f>
        <v>21.889737470167063</v>
      </c>
      <c r="Q64" s="3">
        <f>$T$6/(Table2[[#This Row],[cases]]*7)</f>
        <v>15.635526764405046</v>
      </c>
      <c r="R64" s="3">
        <f>Table2[[#This Row],[1-in-X odds, estimating 5x cases infected]]-Table2[[#This Row],[1-in-X odds, estimating 7x cases infected]]</f>
        <v>6.2542107057620164</v>
      </c>
      <c r="S64" s="3">
        <f>(Table2[[#This Row],[1-in-X odds, estimating 5x cases infected]]+Table2[[#This Row],[1-in-X odds, estimating 7x cases infected]])/2</f>
        <v>18.762632117286053</v>
      </c>
      <c r="V64" s="31"/>
    </row>
    <row r="65" spans="1:22">
      <c r="A65" s="91">
        <v>43973</v>
      </c>
      <c r="B65" s="86">
        <v>842</v>
      </c>
      <c r="C65" s="71">
        <f>Table2[[#This Row],[cases]]/$B$2</f>
        <v>9.1803135698554257E-3</v>
      </c>
      <c r="D65" s="26">
        <f>(Table2[[#This Row],[cases]]-B64)/B64</f>
        <v>4.7732696897374704E-3</v>
      </c>
      <c r="E65" s="38">
        <f t="shared" si="18"/>
        <v>145.56063285876471</v>
      </c>
      <c r="F65" s="81">
        <f>Table2[[#This Row],[cases]]*100/$T$19</f>
        <v>2551.5151515151515</v>
      </c>
      <c r="G65" s="35">
        <f>Table2[[#This Row],[cases]]*100/$T$13</f>
        <v>2158.9743589743589</v>
      </c>
      <c r="H65" s="35">
        <f>Table2[[#This Row],[cases]]*100/$T$16</f>
        <v>3118.5185185185187</v>
      </c>
      <c r="I65" s="35">
        <f>Table2[[#This Row],[infection count, high end of estimate range]]-Table2[[#This Row],[infection count, low end of estimate range]]</f>
        <v>959.54415954415981</v>
      </c>
      <c r="J65" s="35">
        <f>(Table2[[#This Row],[infection count, low end of estimate range]]+Table2[[#This Row],[infection count, high end of estimate range]])/2</f>
        <v>2638.7464387464388</v>
      </c>
      <c r="K65" s="26">
        <f>Table2[[#This Row],[estimated infections]]/$T$6</f>
        <v>2.781913202986493E-2</v>
      </c>
      <c r="L65" s="27">
        <f>Table2[[#This Row],[infection count, low end of estimate range]]/$T$6</f>
        <v>2.353926556373186E-2</v>
      </c>
      <c r="M65" s="27">
        <f>Table2[[#This Row],[infection count, high end of estimate range]]/$T$6</f>
        <v>3.4001161369834915E-2</v>
      </c>
      <c r="N65" s="15">
        <f>Table2[[#This Row],[infection percentage, high end of estimate range]]-Table2[[#This Row],[infection percentage, low end of estimate range]]</f>
        <v>1.0461895806103055E-2</v>
      </c>
      <c r="O65" s="27">
        <f>(Table2[[#This Row],[infection percentage, low end of estimate range]]+Table2[[#This Row],[infection percentage, high end of estimate range]])/2</f>
        <v>2.8770213466783386E-2</v>
      </c>
      <c r="P65" s="3">
        <f>$T$6/(Table2[[#This Row],[cases]]*5)</f>
        <v>21.785748218527317</v>
      </c>
      <c r="Q65" s="3">
        <f>$T$6/(Table2[[#This Row],[cases]]*7)</f>
        <v>15.561248727519512</v>
      </c>
      <c r="R65" s="3">
        <f>Table2[[#This Row],[1-in-X odds, estimating 5x cases infected]]-Table2[[#This Row],[1-in-X odds, estimating 7x cases infected]]</f>
        <v>6.2244994910078049</v>
      </c>
      <c r="S65" s="3">
        <f>(Table2[[#This Row],[1-in-X odds, estimating 5x cases infected]]+Table2[[#This Row],[1-in-X odds, estimating 7x cases infected]])/2</f>
        <v>18.673498473023415</v>
      </c>
      <c r="V65" s="31"/>
    </row>
    <row r="66" spans="1:22">
      <c r="A66" s="91">
        <v>43974</v>
      </c>
      <c r="B66" s="86">
        <v>846</v>
      </c>
      <c r="C66" s="71">
        <f>Table2[[#This Row],[cases]]/$B$2</f>
        <v>9.2239255108048576E-3</v>
      </c>
      <c r="D66" s="26">
        <f>(Table2[[#This Row],[cases]]-B65)/B65</f>
        <v>4.7505938242280287E-3</v>
      </c>
      <c r="E66" s="38">
        <f t="shared" si="18"/>
        <v>146.2537813429274</v>
      </c>
      <c r="F66" s="81">
        <f>Table2[[#This Row],[cases]]*100/$T$19</f>
        <v>2563.6363636363635</v>
      </c>
      <c r="G66" s="35">
        <f>Table2[[#This Row],[cases]]*100/$T$13</f>
        <v>2169.2307692307691</v>
      </c>
      <c r="H66" s="35">
        <f>Table2[[#This Row],[cases]]*100/$T$16</f>
        <v>3133.3333333333335</v>
      </c>
      <c r="I66" s="35">
        <f>Table2[[#This Row],[infection count, high end of estimate range]]-Table2[[#This Row],[infection count, low end of estimate range]]</f>
        <v>964.10256410256443</v>
      </c>
      <c r="J66" s="35">
        <f>(Table2[[#This Row],[infection count, low end of estimate range]]+Table2[[#This Row],[infection count, high end of estimate range]])/2</f>
        <v>2651.2820512820513</v>
      </c>
      <c r="K66" s="26">
        <f>Table2[[#This Row],[estimated infections]]/$T$6</f>
        <v>2.7951289426681389E-2</v>
      </c>
      <c r="L66" s="27">
        <f>Table2[[#This Row],[infection count, low end of estimate range]]/$T$6</f>
        <v>2.3651091053345789E-2</v>
      </c>
      <c r="M66" s="27">
        <f>Table2[[#This Row],[infection count, high end of estimate range]]/$T$6</f>
        <v>3.4162687077055033E-2</v>
      </c>
      <c r="N66" s="15">
        <f>Table2[[#This Row],[infection percentage, high end of estimate range]]-Table2[[#This Row],[infection percentage, low end of estimate range]]</f>
        <v>1.0511596023709244E-2</v>
      </c>
      <c r="O66" s="27">
        <f>(Table2[[#This Row],[infection percentage, low end of estimate range]]+Table2[[#This Row],[infection percentage, high end of estimate range]])/2</f>
        <v>2.8906889065200413E-2</v>
      </c>
      <c r="P66" s="3">
        <f>$T$6/(Table2[[#This Row],[cases]]*5)</f>
        <v>21.682742316784871</v>
      </c>
      <c r="Q66" s="3">
        <f>$T$6/(Table2[[#This Row],[cases]]*7)</f>
        <v>15.487673083417764</v>
      </c>
      <c r="R66" s="3">
        <f>Table2[[#This Row],[1-in-X odds, estimating 5x cases infected]]-Table2[[#This Row],[1-in-X odds, estimating 7x cases infected]]</f>
        <v>6.1950692333671071</v>
      </c>
      <c r="S66" s="3">
        <f>(Table2[[#This Row],[1-in-X odds, estimating 5x cases infected]]+Table2[[#This Row],[1-in-X odds, estimating 7x cases infected]])/2</f>
        <v>18.585207700101318</v>
      </c>
      <c r="V66" s="31"/>
    </row>
    <row r="67" spans="1:22">
      <c r="A67" s="91">
        <v>43976</v>
      </c>
      <c r="B67" s="86">
        <v>861</v>
      </c>
      <c r="C67" s="71">
        <f>Table2[[#This Row],[cases]]/$B$2</f>
        <v>9.3874702893652281E-3</v>
      </c>
      <c r="D67" s="26">
        <f>(Table2[[#This Row],[cases]]-B66)/B66</f>
        <v>1.7730496453900711E-2</v>
      </c>
      <c r="E67" s="38">
        <f t="shared" ref="E67" si="19">(LN(2)/LN(B67/B66))</f>
        <v>39.439059398913749</v>
      </c>
      <c r="F67" s="81">
        <f>Table2[[#This Row],[cases]]*100/$T$19</f>
        <v>2609.090909090909</v>
      </c>
      <c r="G67" s="35">
        <f>Table2[[#This Row],[cases]]*100/$T$13</f>
        <v>2207.6923076923076</v>
      </c>
      <c r="H67" s="35">
        <f>Table2[[#This Row],[cases]]*100/$T$16</f>
        <v>3188.8888888888887</v>
      </c>
      <c r="I67" s="35">
        <f>Table2[[#This Row],[infection count, high end of estimate range]]-Table2[[#This Row],[infection count, low end of estimate range]]</f>
        <v>981.19658119658106</v>
      </c>
      <c r="J67" s="35">
        <f>(Table2[[#This Row],[infection count, low end of estimate range]]+Table2[[#This Row],[infection count, high end of estimate range]])/2</f>
        <v>2698.2905982905982</v>
      </c>
      <c r="K67" s="26">
        <f>Table2[[#This Row],[estimated infections]]/$T$6</f>
        <v>2.8446879664743116E-2</v>
      </c>
      <c r="L67" s="27">
        <f>Table2[[#This Row],[infection count, low end of estimate range]]/$T$6</f>
        <v>2.4070436639398021E-2</v>
      </c>
      <c r="M67" s="27">
        <f>Table2[[#This Row],[infection count, high end of estimate range]]/$T$6</f>
        <v>3.4768408479130472E-2</v>
      </c>
      <c r="N67" s="15">
        <f>Table2[[#This Row],[infection percentage, high end of estimate range]]-Table2[[#This Row],[infection percentage, low end of estimate range]]</f>
        <v>1.0697971839732451E-2</v>
      </c>
      <c r="O67" s="27">
        <f>(Table2[[#This Row],[infection percentage, low end of estimate range]]+Table2[[#This Row],[infection percentage, high end of estimate range]])/2</f>
        <v>2.9419422559264247E-2</v>
      </c>
      <c r="P67" s="3">
        <f>$T$6/(Table2[[#This Row],[cases]]*5)</f>
        <v>21.304994192799072</v>
      </c>
      <c r="Q67" s="3">
        <f>$T$6/(Table2[[#This Row],[cases]]*7)</f>
        <v>15.217852994856479</v>
      </c>
      <c r="R67" s="3">
        <f>Table2[[#This Row],[1-in-X odds, estimating 5x cases infected]]-Table2[[#This Row],[1-in-X odds, estimating 7x cases infected]]</f>
        <v>6.0871411979425929</v>
      </c>
      <c r="S67" s="3">
        <f>(Table2[[#This Row],[1-in-X odds, estimating 5x cases infected]]+Table2[[#This Row],[1-in-X odds, estimating 7x cases infected]])/2</f>
        <v>18.261423593827775</v>
      </c>
      <c r="V67" s="31"/>
    </row>
    <row r="68" spans="1:22">
      <c r="V68" s="55" t="str">
        <f ca="1">"updated " &amp; TEXT($U6,"MMMM d, yyyy") &amp; ", " &amp; T9</f>
        <v>updated May 25, 2020, evening</v>
      </c>
    </row>
    <row r="69" spans="1:22">
      <c r="U69" s="34" t="s">
        <v>32</v>
      </c>
      <c r="V69" s="36"/>
    </row>
    <row r="70" spans="1:22">
      <c r="U70" s="27">
        <f ca="1">OFFSET(compute!D4,COUNTA(compute!D:D)-1,0)</f>
        <v>1.7730496453900711E-2</v>
      </c>
    </row>
    <row r="71" spans="1:22">
      <c r="V71" s="33" t="s">
        <v>24</v>
      </c>
    </row>
    <row r="72" spans="1:22">
      <c r="V72" s="1" t="str">
        <f ca="1">"There have been " &amp;TEXT( U9,"0") &amp; " confirmed cases of COVID-19 disease in " &amp; B1 &amp; " since the start of the outbreak."</f>
        <v>There have been 861 confirmed cases of COVID-19 disease in Miami Beach since the start of the outbreak.</v>
      </c>
    </row>
    <row r="74" spans="1:22">
      <c r="V74" s="1" t="str">
        <f ca="1">"Around " &amp;TEXT(ROUND(U12,-3),"#,##0") &amp;" people in " &amp; B1 &amp; " may have already been infected with the SARS-CoV-2 virus."</f>
        <v>Around 3,000 people in Miami Beach may have already been infected with the SARS-CoV-2 virus.</v>
      </c>
    </row>
    <row r="76" spans="1:22">
      <c r="V76" s="1" t="str">
        <f ca="1">"Around " &amp; TEXT(U15,"0.0%") &amp; " of the total population of " &amp; B1 &amp; " may have already been infected with the SARS-CoV-2 virus, based on an estimated population of " &amp; TEXT(T6,"0,000") &amp; "."</f>
        <v>Around 2.8% of the total population of Miami Beach may have already been infected with the SARS-CoV-2 virus, based on an estimated population of 91,718.</v>
      </c>
    </row>
    <row r="78" spans="1:22">
      <c r="V78" s="1" t="str">
        <f ca="1">"The odds of any given person in " &amp; B1 &amp; " having been infected with SARS-CoV-2 is currently estimated to be around one in " &amp; TEXT(U18,"#,##0")  &amp; "."</f>
        <v>The odds of any given person in Miami Beach having been infected with SARS-CoV-2 is currently estimated to be around one in 18.</v>
      </c>
    </row>
    <row r="80" spans="1:22">
      <c r="V80" s="1" t="str">
        <f ca="1">"doubing in " &amp; TEXT(U21,"0.0") &amp; " days"</f>
        <v>doubing in 39.4 days</v>
      </c>
    </row>
    <row r="82" spans="22:22">
      <c r="V82" s="1" t="str">
        <f ca="1">TEXT(U70, "+0.0%;-0.0%") &amp; " per day"</f>
        <v>+1.8% per day</v>
      </c>
    </row>
    <row r="84" spans="22:22">
      <c r="V84" t="str">
        <f ca="1">"The current rate of increase is " &amp; V82</f>
        <v>The current rate of increase is +1.8%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>
      <c r="A1" s="1" t="s">
        <v>40</v>
      </c>
      <c r="B1" s="1" t="s">
        <v>42</v>
      </c>
    </row>
    <row r="2" spans="1:4" ht="17">
      <c r="A2" s="1" t="s">
        <v>41</v>
      </c>
      <c r="B2" s="57">
        <v>91718</v>
      </c>
    </row>
    <row r="3" spans="1:4">
      <c r="A3" s="1" t="s">
        <v>43</v>
      </c>
      <c r="B3" s="54" t="s">
        <v>34</v>
      </c>
    </row>
    <row r="4" spans="1:4" ht="35" customHeight="1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7"/>
  <sheetViews>
    <sheetView topLeftCell="A59" zoomScale="231" workbookViewId="0">
      <selection activeCell="B67" sqref="A1:B67"/>
    </sheetView>
  </sheetViews>
  <sheetFormatPr baseColWidth="10" defaultRowHeight="16"/>
  <cols>
    <col min="1" max="1" width="15.1640625" style="92" customWidth="1"/>
    <col min="2" max="2" width="15" style="33" customWidth="1"/>
  </cols>
  <sheetData>
    <row r="1" spans="1:4">
      <c r="A1" s="89" t="s">
        <v>40</v>
      </c>
      <c r="B1" s="83" t="s">
        <v>42</v>
      </c>
      <c r="C1" s="28"/>
      <c r="D1" s="39"/>
    </row>
    <row r="2" spans="1:4" ht="17">
      <c r="A2" s="89" t="s">
        <v>41</v>
      </c>
      <c r="B2" s="84">
        <v>91718</v>
      </c>
      <c r="C2" s="28"/>
      <c r="D2" s="39"/>
    </row>
    <row r="3" spans="1:4">
      <c r="A3" s="89" t="s">
        <v>43</v>
      </c>
      <c r="B3" s="85" t="s">
        <v>35</v>
      </c>
      <c r="C3" s="28"/>
      <c r="D3" s="39"/>
    </row>
    <row r="4" spans="1:4" ht="52" thickBot="1">
      <c r="A4" s="90" t="s">
        <v>0</v>
      </c>
      <c r="B4" s="5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91">
        <v>43914</v>
      </c>
      <c r="B6" s="86">
        <v>46</v>
      </c>
      <c r="C6" s="26">
        <f>(B6-B5)/B5</f>
        <v>0.39393939393939392</v>
      </c>
      <c r="D6" s="38">
        <f t="shared" si="0"/>
        <v>2.0869514258092652</v>
      </c>
    </row>
    <row r="7" spans="1:4">
      <c r="A7" s="91">
        <v>43915</v>
      </c>
      <c r="B7" s="86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>
      <c r="A8" s="91">
        <v>43916</v>
      </c>
      <c r="B8" s="86">
        <v>76</v>
      </c>
      <c r="C8" s="26">
        <f t="shared" si="1"/>
        <v>0.20634920634920634</v>
      </c>
      <c r="D8" s="38">
        <f t="shared" si="0"/>
        <v>3.6948416950918879</v>
      </c>
    </row>
    <row r="9" spans="1:4">
      <c r="A9" s="91">
        <v>43917</v>
      </c>
      <c r="B9" s="86">
        <v>90</v>
      </c>
      <c r="C9" s="26">
        <f t="shared" si="1"/>
        <v>0.18421052631578946</v>
      </c>
      <c r="D9" s="38">
        <f t="shared" si="0"/>
        <v>4.0996109885980694</v>
      </c>
    </row>
    <row r="10" spans="1:4">
      <c r="A10" s="91">
        <v>43918</v>
      </c>
      <c r="B10" s="86">
        <v>118</v>
      </c>
      <c r="C10" s="26">
        <f t="shared" si="1"/>
        <v>0.31111111111111112</v>
      </c>
      <c r="D10" s="38">
        <f t="shared" si="0"/>
        <v>2.55891942011541</v>
      </c>
    </row>
    <row r="11" spans="1:4">
      <c r="A11" s="91">
        <v>43919</v>
      </c>
      <c r="B11" s="86">
        <v>160</v>
      </c>
      <c r="C11" s="26">
        <f t="shared" si="1"/>
        <v>0.3559322033898305</v>
      </c>
      <c r="D11" s="38">
        <f t="shared" si="0"/>
        <v>2.276426229815518</v>
      </c>
    </row>
    <row r="12" spans="1:4">
      <c r="A12" s="91">
        <v>43920</v>
      </c>
      <c r="B12" s="86">
        <v>197</v>
      </c>
      <c r="C12" s="26">
        <f t="shared" si="1"/>
        <v>0.23125000000000001</v>
      </c>
      <c r="D12" s="38">
        <f t="shared" si="0"/>
        <v>3.3319591826205279</v>
      </c>
    </row>
    <row r="13" spans="1:4">
      <c r="A13" s="91">
        <v>43921</v>
      </c>
      <c r="B13" s="86">
        <v>238</v>
      </c>
      <c r="C13" s="26">
        <f t="shared" si="1"/>
        <v>0.20812182741116753</v>
      </c>
      <c r="D13" s="38">
        <f t="shared" si="0"/>
        <v>3.6661468285944667</v>
      </c>
    </row>
    <row r="14" spans="1:4">
      <c r="A14" s="91">
        <v>43922</v>
      </c>
      <c r="B14" s="86">
        <v>266</v>
      </c>
      <c r="C14" s="26">
        <f t="shared" si="1"/>
        <v>0.11764705882352941</v>
      </c>
      <c r="D14" s="38">
        <f t="shared" si="0"/>
        <v>6.2319013047040608</v>
      </c>
    </row>
    <row r="15" spans="1:4">
      <c r="A15" s="91">
        <v>43923</v>
      </c>
      <c r="B15" s="86">
        <v>294</v>
      </c>
      <c r="C15" s="26">
        <f t="shared" si="1"/>
        <v>0.10526315789473684</v>
      </c>
      <c r="D15" s="38">
        <f t="shared" si="0"/>
        <v>6.9256917232261834</v>
      </c>
    </row>
    <row r="16" spans="1:4">
      <c r="A16" s="91">
        <v>43924</v>
      </c>
      <c r="B16" s="86">
        <v>310</v>
      </c>
      <c r="C16" s="26">
        <f t="shared" si="1"/>
        <v>5.4421768707482991E-2</v>
      </c>
      <c r="D16" s="38">
        <f t="shared" si="0"/>
        <v>13.080092207751859</v>
      </c>
    </row>
    <row r="17" spans="1:4">
      <c r="A17" s="91">
        <v>43925</v>
      </c>
      <c r="B17" s="86">
        <v>347</v>
      </c>
      <c r="C17" s="26">
        <f t="shared" si="1"/>
        <v>0.11935483870967742</v>
      </c>
      <c r="D17" s="38">
        <f t="shared" si="0"/>
        <v>6.1475114816980732</v>
      </c>
    </row>
    <row r="18" spans="1:4">
      <c r="A18" s="91">
        <v>43926</v>
      </c>
      <c r="B18" s="86">
        <v>365</v>
      </c>
      <c r="C18" s="26">
        <f t="shared" si="1"/>
        <v>5.1873198847262249E-2</v>
      </c>
      <c r="D18" s="38">
        <f t="shared" si="0"/>
        <v>13.705989842517504</v>
      </c>
    </row>
    <row r="19" spans="1:4">
      <c r="A19" s="91">
        <v>43927</v>
      </c>
      <c r="B19" s="86">
        <v>396</v>
      </c>
      <c r="C19" s="26">
        <f t="shared" si="1"/>
        <v>8.4931506849315067E-2</v>
      </c>
      <c r="D19" s="38">
        <f t="shared" si="0"/>
        <v>8.5031145747675918</v>
      </c>
    </row>
    <row r="20" spans="1:4">
      <c r="A20" s="91">
        <v>43928</v>
      </c>
      <c r="B20" s="86">
        <v>428</v>
      </c>
      <c r="C20" s="26">
        <f t="shared" si="1"/>
        <v>8.0808080808080815E-2</v>
      </c>
      <c r="D20" s="38">
        <f t="shared" si="0"/>
        <v>8.9197817544539646</v>
      </c>
    </row>
    <row r="21" spans="1:4">
      <c r="A21" s="91">
        <v>43929</v>
      </c>
      <c r="B21" s="86">
        <v>454</v>
      </c>
      <c r="C21" s="26">
        <f t="shared" si="1"/>
        <v>6.0747663551401869E-2</v>
      </c>
      <c r="D21" s="38">
        <f t="shared" si="0"/>
        <v>11.753436288055184</v>
      </c>
    </row>
    <row r="22" spans="1:4">
      <c r="A22" s="91">
        <v>43930</v>
      </c>
      <c r="B22" s="86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>
      <c r="A23" s="91">
        <v>43931</v>
      </c>
      <c r="B23" s="86">
        <v>493</v>
      </c>
      <c r="C23" s="26">
        <f t="shared" si="2"/>
        <v>5.3418803418803416E-2</v>
      </c>
      <c r="D23" s="38">
        <f t="shared" si="3"/>
        <v>13.319282947041303</v>
      </c>
    </row>
    <row r="24" spans="1:4">
      <c r="A24" s="91">
        <v>43932</v>
      </c>
      <c r="B24" s="86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>
      <c r="A25" s="91">
        <v>43933</v>
      </c>
      <c r="B25" s="86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>
      <c r="A26" s="91">
        <v>43934</v>
      </c>
      <c r="B26" s="86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>
      <c r="A27" s="91">
        <v>43935</v>
      </c>
      <c r="B27" s="86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>
      <c r="A28" s="91">
        <v>43936</v>
      </c>
      <c r="B28" s="86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>
      <c r="A29" s="91">
        <v>43937</v>
      </c>
      <c r="B29" s="86">
        <v>587</v>
      </c>
      <c r="C29" s="26">
        <f t="shared" si="12"/>
        <v>6.8610634648370496E-3</v>
      </c>
      <c r="D29" s="38">
        <f t="shared" si="13"/>
        <v>101.37238020000403</v>
      </c>
    </row>
    <row r="30" spans="1:4">
      <c r="A30" s="91">
        <v>43938</v>
      </c>
      <c r="B30" s="86">
        <v>607</v>
      </c>
      <c r="C30" s="26">
        <f t="shared" si="12"/>
        <v>3.4071550255536626E-2</v>
      </c>
      <c r="D30" s="38">
        <f t="shared" si="13"/>
        <v>20.688508110653103</v>
      </c>
    </row>
    <row r="31" spans="1:4">
      <c r="A31" s="91">
        <v>43939</v>
      </c>
      <c r="B31" s="86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>
      <c r="A32" s="91">
        <v>43940</v>
      </c>
      <c r="B32" s="86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>
      <c r="A33" s="91">
        <v>43941</v>
      </c>
      <c r="B33" s="86">
        <v>641</v>
      </c>
      <c r="C33" s="26">
        <f t="shared" si="16"/>
        <v>7.8616352201257862E-3</v>
      </c>
      <c r="D33" s="38">
        <f t="shared" si="17"/>
        <v>88.514442627817402</v>
      </c>
    </row>
    <row r="34" spans="1:4">
      <c r="A34" s="91">
        <v>43942</v>
      </c>
      <c r="B34" s="86">
        <v>651</v>
      </c>
      <c r="C34" s="26">
        <f t="shared" si="16"/>
        <v>1.5600624024960999E-2</v>
      </c>
      <c r="D34" s="38">
        <f t="shared" si="17"/>
        <v>44.776413697177858</v>
      </c>
    </row>
    <row r="35" spans="1:4">
      <c r="A35" s="91">
        <v>43943</v>
      </c>
      <c r="B35" s="86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>
      <c r="A36" s="91">
        <v>43944</v>
      </c>
      <c r="B36" s="86">
        <v>661</v>
      </c>
      <c r="C36" s="26">
        <f t="shared" si="18"/>
        <v>3.0349013657056147E-3</v>
      </c>
      <c r="D36" s="38">
        <f t="shared" si="19"/>
        <v>228.73839454750822</v>
      </c>
    </row>
    <row r="37" spans="1:4">
      <c r="A37" s="91">
        <v>43945</v>
      </c>
      <c r="B37" s="86">
        <v>671</v>
      </c>
      <c r="C37" s="26">
        <f t="shared" si="18"/>
        <v>1.5128593040847202E-2</v>
      </c>
      <c r="D37" s="38">
        <f t="shared" si="19"/>
        <v>46.162734910979644</v>
      </c>
    </row>
    <row r="38" spans="1:4">
      <c r="A38" s="91">
        <v>43946</v>
      </c>
      <c r="B38" s="86">
        <v>674</v>
      </c>
      <c r="C38" s="26">
        <f t="shared" si="18"/>
        <v>4.4709388971684054E-3</v>
      </c>
      <c r="D38" s="38">
        <f t="shared" si="19"/>
        <v>155.38023529964653</v>
      </c>
    </row>
    <row r="39" spans="1:4">
      <c r="A39" s="91">
        <v>43947</v>
      </c>
      <c r="B39" s="86">
        <v>678</v>
      </c>
      <c r="C39" s="26">
        <f t="shared" si="18"/>
        <v>5.9347181008902079E-3</v>
      </c>
      <c r="D39" s="38">
        <f t="shared" si="19"/>
        <v>117.14153172528272</v>
      </c>
    </row>
    <row r="40" spans="1:4">
      <c r="A40" s="91">
        <v>43948</v>
      </c>
      <c r="B40" s="86">
        <v>681</v>
      </c>
      <c r="C40" s="26">
        <f t="shared" si="18"/>
        <v>4.4247787610619468E-3</v>
      </c>
      <c r="D40" s="38">
        <f t="shared" si="19"/>
        <v>156.99758137546218</v>
      </c>
    </row>
    <row r="41" spans="1:4">
      <c r="A41" s="91">
        <v>43949</v>
      </c>
      <c r="B41" s="86">
        <v>690</v>
      </c>
      <c r="C41" s="26">
        <f t="shared" si="18"/>
        <v>1.3215859030837005E-2</v>
      </c>
      <c r="D41" s="38">
        <f t="shared" si="19"/>
        <v>52.793951877215413</v>
      </c>
    </row>
    <row r="42" spans="1:4">
      <c r="A42" s="91">
        <v>43950</v>
      </c>
      <c r="B42" s="86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>
      <c r="A43" s="91">
        <v>43951</v>
      </c>
      <c r="B43" s="86">
        <v>695</v>
      </c>
      <c r="C43" s="26">
        <f t="shared" si="18"/>
        <v>8.708272859216255E-3</v>
      </c>
      <c r="D43" s="38">
        <f t="shared" si="19"/>
        <v>79.942473993182418</v>
      </c>
    </row>
    <row r="44" spans="1:4">
      <c r="A44" s="91">
        <v>43952</v>
      </c>
      <c r="B44" s="86">
        <v>706</v>
      </c>
      <c r="C44" s="26">
        <f t="shared" si="18"/>
        <v>1.5827338129496403E-2</v>
      </c>
      <c r="D44" s="38">
        <f t="shared" si="19"/>
        <v>44.139965665899489</v>
      </c>
    </row>
    <row r="45" spans="1:4">
      <c r="A45" s="91">
        <v>43953</v>
      </c>
      <c r="B45" s="86">
        <v>713</v>
      </c>
      <c r="C45" s="26">
        <f t="shared" si="18"/>
        <v>9.9150141643059488E-3</v>
      </c>
      <c r="D45" s="38">
        <f t="shared" si="19"/>
        <v>70.254847908892572</v>
      </c>
    </row>
    <row r="46" spans="1:4">
      <c r="A46" s="91">
        <v>43954</v>
      </c>
      <c r="B46" s="86">
        <v>717</v>
      </c>
      <c r="C46" s="26">
        <f t="shared" si="18"/>
        <v>5.6100981767180924E-3</v>
      </c>
      <c r="D46" s="38">
        <f t="shared" si="19"/>
        <v>123.89973537887481</v>
      </c>
    </row>
    <row r="47" spans="1:4">
      <c r="A47" s="91">
        <v>43955</v>
      </c>
      <c r="B47" s="86">
        <v>718</v>
      </c>
      <c r="C47" s="26">
        <f t="shared" si="18"/>
        <v>1.3947001394700139E-3</v>
      </c>
      <c r="D47" s="38">
        <f t="shared" si="19"/>
        <v>497.33302154683025</v>
      </c>
    </row>
    <row r="48" spans="1:4">
      <c r="A48" s="91">
        <v>43956</v>
      </c>
      <c r="B48" s="86">
        <v>719</v>
      </c>
      <c r="C48" s="26">
        <f t="shared" si="18"/>
        <v>1.3927576601671309E-3</v>
      </c>
      <c r="D48" s="38">
        <f t="shared" si="19"/>
        <v>498.02616883946456</v>
      </c>
    </row>
    <row r="49" spans="1:4">
      <c r="A49" s="91">
        <v>43957</v>
      </c>
      <c r="B49" s="86">
        <v>720</v>
      </c>
      <c r="C49" s="26">
        <f t="shared" si="18"/>
        <v>1.3908205841446453E-3</v>
      </c>
      <c r="D49" s="38">
        <f t="shared" si="19"/>
        <v>498.71931613175457</v>
      </c>
    </row>
    <row r="50" spans="1:4">
      <c r="A50" s="91">
        <v>43958</v>
      </c>
      <c r="B50" s="86">
        <v>722</v>
      </c>
      <c r="C50" s="26">
        <f t="shared" si="18"/>
        <v>2.7777777777777779E-3</v>
      </c>
      <c r="D50" s="38">
        <f t="shared" si="19"/>
        <v>249.87939836358191</v>
      </c>
    </row>
    <row r="51" spans="1:4">
      <c r="A51" s="91">
        <v>43959</v>
      </c>
      <c r="B51" s="86">
        <v>723</v>
      </c>
      <c r="C51" s="26">
        <f t="shared" si="18"/>
        <v>1.3850415512465374E-3</v>
      </c>
      <c r="D51" s="38">
        <f t="shared" si="19"/>
        <v>500.79875800674318</v>
      </c>
    </row>
    <row r="52" spans="1:4">
      <c r="A52" s="91">
        <v>43960</v>
      </c>
      <c r="B52" s="86">
        <v>725</v>
      </c>
      <c r="C52" s="26">
        <f t="shared" si="18"/>
        <v>2.7662517289073307E-3</v>
      </c>
      <c r="D52" s="38">
        <f t="shared" si="19"/>
        <v>250.91911979835183</v>
      </c>
    </row>
    <row r="53" spans="1:4">
      <c r="A53" s="91">
        <v>43961</v>
      </c>
      <c r="B53" s="86">
        <v>745</v>
      </c>
      <c r="C53" s="26">
        <f t="shared" si="18"/>
        <v>2.7586206896551724E-2</v>
      </c>
      <c r="D53" s="38">
        <f t="shared" si="19"/>
        <v>25.471587045670656</v>
      </c>
    </row>
    <row r="54" spans="1:4">
      <c r="A54" s="91">
        <v>43962</v>
      </c>
      <c r="B54" s="86">
        <v>750</v>
      </c>
      <c r="C54" s="26">
        <f t="shared" si="18"/>
        <v>6.7114093959731542E-3</v>
      </c>
      <c r="D54" s="38">
        <f t="shared" si="19"/>
        <v>103.62511712289192</v>
      </c>
    </row>
    <row r="55" spans="1:4">
      <c r="A55" s="91">
        <v>43963</v>
      </c>
      <c r="B55" s="86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>
      <c r="A56" s="91">
        <v>43964</v>
      </c>
      <c r="B56" s="86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>
      <c r="A57" s="91">
        <v>43965</v>
      </c>
      <c r="B57" s="86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>
      <c r="A58" s="91">
        <v>43966</v>
      </c>
      <c r="B58" s="86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>
      <c r="A59" s="91">
        <v>43967</v>
      </c>
      <c r="B59" s="86">
        <v>791</v>
      </c>
      <c r="C59" s="26">
        <f t="shared" si="26"/>
        <v>5.0825921219822112E-3</v>
      </c>
      <c r="D59" s="38">
        <f t="shared" si="27"/>
        <v>136.72298852710364</v>
      </c>
    </row>
    <row r="60" spans="1:4">
      <c r="A60" s="91">
        <v>43968</v>
      </c>
      <c r="B60" s="86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  <row r="61" spans="1:4">
      <c r="A61" s="91">
        <v>43969</v>
      </c>
      <c r="B61" s="86">
        <v>814</v>
      </c>
      <c r="C61" s="26">
        <f t="shared" ref="C61:C62" si="30">(B61-B60)/B60</f>
        <v>1.3698630136986301E-2</v>
      </c>
      <c r="D61" s="38">
        <f t="shared" ref="D61:D62" si="31">(LN(2)/LN(B61/B60))</f>
        <v>50.945531880300251</v>
      </c>
    </row>
    <row r="62" spans="1:4">
      <c r="A62" s="91">
        <v>43970</v>
      </c>
      <c r="B62" s="86">
        <v>816</v>
      </c>
      <c r="C62" s="26">
        <f t="shared" si="30"/>
        <v>2.4570024570024569E-3</v>
      </c>
      <c r="D62" s="38">
        <f t="shared" si="31"/>
        <v>282.45733433022241</v>
      </c>
    </row>
    <row r="63" spans="1:4">
      <c r="A63" s="91">
        <v>43971</v>
      </c>
      <c r="B63" s="86">
        <v>817</v>
      </c>
      <c r="C63" s="26">
        <f t="shared" ref="C63:C66" si="32">(B63-B62)/B62</f>
        <v>1.2254901960784314E-3</v>
      </c>
      <c r="D63" s="38">
        <f t="shared" ref="D63:D66" si="33">(LN(2)/LN(B63/B62))</f>
        <v>565.95460218344863</v>
      </c>
    </row>
    <row r="64" spans="1:4">
      <c r="A64" s="91">
        <v>43972</v>
      </c>
      <c r="B64" s="86">
        <v>838</v>
      </c>
      <c r="C64" s="26">
        <f t="shared" si="32"/>
        <v>2.5703794369645042E-2</v>
      </c>
      <c r="D64" s="38">
        <f t="shared" si="33"/>
        <v>27.311833681808924</v>
      </c>
    </row>
    <row r="65" spans="1:4">
      <c r="A65" s="91">
        <v>43973</v>
      </c>
      <c r="B65" s="86">
        <v>842</v>
      </c>
      <c r="C65" s="26">
        <f t="shared" si="32"/>
        <v>4.7732696897374704E-3</v>
      </c>
      <c r="D65" s="38">
        <f t="shared" si="33"/>
        <v>145.56063285876471</v>
      </c>
    </row>
    <row r="66" spans="1:4">
      <c r="A66" s="91">
        <v>43974</v>
      </c>
      <c r="B66" s="86">
        <v>846</v>
      </c>
      <c r="C66" s="26">
        <f t="shared" si="32"/>
        <v>4.7505938242280287E-3</v>
      </c>
      <c r="D66" s="38">
        <f t="shared" si="33"/>
        <v>146.2537813429274</v>
      </c>
    </row>
    <row r="67" spans="1:4">
      <c r="A67" s="91">
        <v>43976</v>
      </c>
      <c r="B67" s="86">
        <v>861</v>
      </c>
      <c r="C67" s="26">
        <f t="shared" ref="C67" si="34">(B67-B66)/B66</f>
        <v>1.7730496453900711E-2</v>
      </c>
      <c r="D67" s="38">
        <f t="shared" ref="D67" si="35">(LN(2)/LN(B67/B66))</f>
        <v>39.439059398913749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44</v>
      </c>
      <c r="C1" s="28"/>
      <c r="D1" s="39"/>
    </row>
    <row r="2" spans="1:4" ht="17">
      <c r="A2" s="1" t="s">
        <v>41</v>
      </c>
      <c r="B2" s="57">
        <v>470914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7"/>
  <sheetViews>
    <sheetView topLeftCell="A59" zoomScale="230" zoomScaleNormal="230" workbookViewId="0">
      <selection activeCell="B67" sqref="A1:B67"/>
    </sheetView>
  </sheetViews>
  <sheetFormatPr baseColWidth="10" defaultRowHeight="16"/>
  <cols>
    <col min="1" max="1" width="20.5" style="92" customWidth="1"/>
    <col min="2" max="2" width="10.83203125" style="33"/>
  </cols>
  <sheetData>
    <row r="1" spans="1:4">
      <c r="A1" s="91" t="s">
        <v>40</v>
      </c>
      <c r="B1" s="86" t="s">
        <v>44</v>
      </c>
      <c r="C1" s="28"/>
      <c r="D1" s="39"/>
    </row>
    <row r="2" spans="1:4" ht="17">
      <c r="A2" s="91" t="s">
        <v>41</v>
      </c>
      <c r="B2" s="84">
        <v>470914</v>
      </c>
      <c r="C2" s="28"/>
      <c r="D2" s="39"/>
    </row>
    <row r="3" spans="1:4">
      <c r="A3" s="91" t="s">
        <v>43</v>
      </c>
      <c r="B3" s="87" t="s">
        <v>35</v>
      </c>
      <c r="C3" s="28"/>
      <c r="D3" s="39"/>
    </row>
    <row r="4" spans="1:4" ht="52" thickBot="1">
      <c r="A4" s="93" t="s">
        <v>0</v>
      </c>
      <c r="B4" s="6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152</v>
      </c>
      <c r="C5" s="26" t="e">
        <f>(Table2[[#This Row],[cases]]-B4)/B4</f>
        <v>#VALUE!</v>
      </c>
      <c r="D5" s="38" t="e">
        <f t="shared" ref="D5:D36" si="0">(LN(2)/LN(B5/B4))</f>
        <v>#VALUE!</v>
      </c>
    </row>
    <row r="6" spans="1:4">
      <c r="A6" s="91">
        <v>43914</v>
      </c>
      <c r="B6" s="86">
        <v>196</v>
      </c>
      <c r="C6" s="26">
        <f t="shared" ref="C6:C37" si="1">(B6-B5)/B5</f>
        <v>0.28947368421052633</v>
      </c>
      <c r="D6" s="38">
        <f t="shared" si="0"/>
        <v>2.7264126877891832</v>
      </c>
    </row>
    <row r="7" spans="1:4">
      <c r="A7" s="91">
        <v>43915</v>
      </c>
      <c r="B7" s="86">
        <v>256</v>
      </c>
      <c r="C7" s="26">
        <f t="shared" si="1"/>
        <v>0.30612244897959184</v>
      </c>
      <c r="D7" s="38">
        <f t="shared" si="0"/>
        <v>2.5954465348422167</v>
      </c>
    </row>
    <row r="8" spans="1:4">
      <c r="A8" s="91">
        <v>43916</v>
      </c>
      <c r="B8" s="86">
        <v>345</v>
      </c>
      <c r="C8" s="26">
        <f t="shared" si="1"/>
        <v>0.34765625</v>
      </c>
      <c r="D8" s="38">
        <f t="shared" si="0"/>
        <v>2.3231364203342348</v>
      </c>
    </row>
    <row r="9" spans="1:4">
      <c r="A9" s="91">
        <v>43917</v>
      </c>
      <c r="B9" s="86">
        <v>464</v>
      </c>
      <c r="C9" s="26">
        <f t="shared" si="1"/>
        <v>0.34492753623188405</v>
      </c>
      <c r="D9" s="38">
        <f t="shared" si="0"/>
        <v>2.3390256608477276</v>
      </c>
    </row>
    <row r="10" spans="1:4">
      <c r="A10" s="91">
        <v>43918</v>
      </c>
      <c r="B10" s="86">
        <v>603</v>
      </c>
      <c r="C10" s="26">
        <f t="shared" si="1"/>
        <v>0.29956896551724138</v>
      </c>
      <c r="D10" s="38">
        <f t="shared" si="0"/>
        <v>2.6452703321760542</v>
      </c>
    </row>
    <row r="11" spans="1:4">
      <c r="A11" s="91">
        <v>43919</v>
      </c>
      <c r="B11" s="86">
        <v>812</v>
      </c>
      <c r="C11" s="26">
        <f t="shared" si="1"/>
        <v>0.34660033167495852</v>
      </c>
      <c r="D11" s="38">
        <f t="shared" si="0"/>
        <v>2.329255523549266</v>
      </c>
    </row>
    <row r="12" spans="1:4">
      <c r="A12" s="91">
        <v>43920</v>
      </c>
      <c r="B12" s="86">
        <v>931</v>
      </c>
      <c r="C12" s="26">
        <f t="shared" si="1"/>
        <v>0.14655172413793102</v>
      </c>
      <c r="D12" s="38">
        <f t="shared" si="0"/>
        <v>5.0683867188519347</v>
      </c>
    </row>
    <row r="13" spans="1:4">
      <c r="A13" s="91">
        <v>43921</v>
      </c>
      <c r="B13" s="88">
        <v>1179</v>
      </c>
      <c r="C13" s="26">
        <f t="shared" si="1"/>
        <v>0.26638023630504831</v>
      </c>
      <c r="D13" s="38">
        <f t="shared" si="0"/>
        <v>2.9350418410450274</v>
      </c>
    </row>
    <row r="14" spans="1:4">
      <c r="A14" s="91">
        <v>43922</v>
      </c>
      <c r="B14" s="88">
        <v>1371</v>
      </c>
      <c r="C14" s="26">
        <f t="shared" si="1"/>
        <v>0.16284987277353691</v>
      </c>
      <c r="D14" s="38">
        <f t="shared" si="0"/>
        <v>4.594218989141579</v>
      </c>
    </row>
    <row r="15" spans="1:4">
      <c r="A15" s="91">
        <v>43923</v>
      </c>
      <c r="B15" s="88">
        <v>1677</v>
      </c>
      <c r="C15" s="26">
        <f t="shared" si="1"/>
        <v>0.22319474835886213</v>
      </c>
      <c r="D15" s="38">
        <f t="shared" si="0"/>
        <v>3.4405155090192001</v>
      </c>
    </row>
    <row r="16" spans="1:4">
      <c r="A16" s="91">
        <v>43924</v>
      </c>
      <c r="B16" s="88">
        <v>1959</v>
      </c>
      <c r="C16" s="26">
        <f t="shared" si="1"/>
        <v>0.16815742397137745</v>
      </c>
      <c r="D16" s="38">
        <f t="shared" si="0"/>
        <v>4.4596129019590443</v>
      </c>
    </row>
    <row r="17" spans="1:4">
      <c r="A17" s="91">
        <v>43925</v>
      </c>
      <c r="B17" s="88">
        <v>2291</v>
      </c>
      <c r="C17" s="26">
        <f t="shared" si="1"/>
        <v>0.16947422154160285</v>
      </c>
      <c r="D17" s="38">
        <f t="shared" si="0"/>
        <v>4.4275202769727011</v>
      </c>
    </row>
    <row r="18" spans="1:4">
      <c r="A18" s="91">
        <v>43926</v>
      </c>
      <c r="B18" s="88">
        <v>2461</v>
      </c>
      <c r="C18" s="26">
        <f t="shared" si="1"/>
        <v>7.4203404626800529E-2</v>
      </c>
      <c r="D18" s="38">
        <f t="shared" si="0"/>
        <v>9.6836169490150699</v>
      </c>
    </row>
    <row r="19" spans="1:4">
      <c r="A19" s="91">
        <v>43927</v>
      </c>
      <c r="B19" s="88">
        <v>2802</v>
      </c>
      <c r="C19" s="26">
        <f t="shared" si="1"/>
        <v>0.13856156034132466</v>
      </c>
      <c r="D19" s="38">
        <f t="shared" si="0"/>
        <v>5.3415294338518668</v>
      </c>
    </row>
    <row r="20" spans="1:4">
      <c r="A20" s="91">
        <v>43928</v>
      </c>
      <c r="B20" s="88">
        <v>3100</v>
      </c>
      <c r="C20" s="26">
        <f t="shared" si="1"/>
        <v>0.10635260528194147</v>
      </c>
      <c r="D20" s="38">
        <f t="shared" si="0"/>
        <v>6.8581809240681908</v>
      </c>
    </row>
    <row r="21" spans="1:4">
      <c r="A21" s="91">
        <v>43929</v>
      </c>
      <c r="B21" s="88">
        <v>3317</v>
      </c>
      <c r="C21" s="26">
        <f t="shared" si="1"/>
        <v>7.0000000000000007E-2</v>
      </c>
      <c r="D21" s="38">
        <f t="shared" si="0"/>
        <v>10.244768351058712</v>
      </c>
    </row>
    <row r="22" spans="1:4">
      <c r="A22" s="91">
        <v>43930</v>
      </c>
      <c r="B22" s="88">
        <v>3587</v>
      </c>
      <c r="C22" s="26">
        <f t="shared" si="1"/>
        <v>8.1398854386493816E-2</v>
      </c>
      <c r="D22" s="38">
        <f t="shared" si="0"/>
        <v>8.857495313952132</v>
      </c>
    </row>
    <row r="23" spans="1:4">
      <c r="A23" s="91">
        <v>43931</v>
      </c>
      <c r="B23" s="88">
        <v>3816</v>
      </c>
      <c r="C23" s="26">
        <f t="shared" si="1"/>
        <v>6.3841650404237518E-2</v>
      </c>
      <c r="D23" s="38">
        <f t="shared" si="0"/>
        <v>11.20028704389693</v>
      </c>
    </row>
    <row r="24" spans="1:4">
      <c r="A24" s="91">
        <v>43932</v>
      </c>
      <c r="B24" s="88">
        <v>4091</v>
      </c>
      <c r="C24" s="26">
        <f t="shared" si="1"/>
        <v>7.20649895178197E-2</v>
      </c>
      <c r="D24" s="38">
        <f t="shared" si="0"/>
        <v>9.96091676104197</v>
      </c>
    </row>
    <row r="25" spans="1:4">
      <c r="A25" s="91">
        <v>43933</v>
      </c>
      <c r="B25" s="88">
        <v>4273</v>
      </c>
      <c r="C25" s="26">
        <f t="shared" si="1"/>
        <v>4.4487900268882913E-2</v>
      </c>
      <c r="D25" s="38">
        <f t="shared" si="0"/>
        <v>15.924637026490627</v>
      </c>
    </row>
    <row r="26" spans="1:4">
      <c r="A26" s="91">
        <v>43934</v>
      </c>
      <c r="B26" s="88">
        <v>4487</v>
      </c>
      <c r="C26" s="26">
        <f t="shared" si="1"/>
        <v>5.0081909665340513E-2</v>
      </c>
      <c r="D26" s="38">
        <f t="shared" si="0"/>
        <v>14.184021538998522</v>
      </c>
    </row>
    <row r="27" spans="1:4">
      <c r="A27" s="91">
        <v>43935</v>
      </c>
      <c r="B27" s="88">
        <v>4648</v>
      </c>
      <c r="C27" s="26">
        <f t="shared" si="1"/>
        <v>3.5881435257410298E-2</v>
      </c>
      <c r="D27" s="38">
        <f t="shared" si="0"/>
        <v>19.662247910950395</v>
      </c>
    </row>
    <row r="28" spans="1:4">
      <c r="A28" s="91">
        <v>43936</v>
      </c>
      <c r="B28" s="88">
        <v>4857</v>
      </c>
      <c r="C28" s="26">
        <f t="shared" si="1"/>
        <v>4.4965576592082619E-2</v>
      </c>
      <c r="D28" s="38">
        <f t="shared" si="0"/>
        <v>15.759095716636351</v>
      </c>
    </row>
    <row r="29" spans="1:4">
      <c r="A29" s="91">
        <v>43937</v>
      </c>
      <c r="B29" s="88">
        <v>5018</v>
      </c>
      <c r="C29" s="26">
        <f t="shared" si="1"/>
        <v>3.3148033765698991E-2</v>
      </c>
      <c r="D29" s="38">
        <f t="shared" si="0"/>
        <v>21.255347458768309</v>
      </c>
    </row>
    <row r="30" spans="1:4">
      <c r="A30" s="91">
        <v>43938</v>
      </c>
      <c r="B30" s="88">
        <v>5325</v>
      </c>
      <c r="C30" s="26">
        <f t="shared" si="1"/>
        <v>6.1179752889597448E-2</v>
      </c>
      <c r="D30" s="38">
        <f t="shared" si="0"/>
        <v>11.672826375517154</v>
      </c>
    </row>
    <row r="31" spans="1:4">
      <c r="A31" s="91">
        <v>43939</v>
      </c>
      <c r="B31" s="88">
        <v>5473</v>
      </c>
      <c r="C31" s="26">
        <f t="shared" si="1"/>
        <v>2.7793427230046949E-2</v>
      </c>
      <c r="D31" s="38">
        <f t="shared" si="0"/>
        <v>25.284238323265988</v>
      </c>
    </row>
    <row r="32" spans="1:4">
      <c r="A32" s="91">
        <v>43940</v>
      </c>
      <c r="B32" s="88">
        <v>5645</v>
      </c>
      <c r="C32" s="26">
        <f t="shared" si="1"/>
        <v>3.1427005298739263E-2</v>
      </c>
      <c r="D32" s="38">
        <f t="shared" si="0"/>
        <v>22.400568352945822</v>
      </c>
    </row>
    <row r="33" spans="1:4">
      <c r="A33" s="91">
        <v>43941</v>
      </c>
      <c r="B33" s="88">
        <v>5852</v>
      </c>
      <c r="C33" s="26">
        <f t="shared" si="1"/>
        <v>3.6669619131975202E-2</v>
      </c>
      <c r="D33" s="38">
        <f t="shared" si="0"/>
        <v>19.246985379249875</v>
      </c>
    </row>
    <row r="34" spans="1:4">
      <c r="A34" s="91">
        <v>43942</v>
      </c>
      <c r="B34" s="88">
        <v>6064</v>
      </c>
      <c r="C34" s="26">
        <f t="shared" si="1"/>
        <v>3.6226930963773066E-2</v>
      </c>
      <c r="D34" s="38">
        <f t="shared" si="0"/>
        <v>19.477995929350573</v>
      </c>
    </row>
    <row r="35" spans="1:4">
      <c r="A35" s="91">
        <v>43943</v>
      </c>
      <c r="B35" s="88">
        <v>6227</v>
      </c>
      <c r="C35" s="26">
        <f t="shared" si="1"/>
        <v>2.6879947229551452E-2</v>
      </c>
      <c r="D35" s="38">
        <f t="shared" si="0"/>
        <v>26.131817554080403</v>
      </c>
    </row>
    <row r="36" spans="1:4">
      <c r="A36" s="91">
        <v>43944</v>
      </c>
      <c r="B36" s="88">
        <v>6413</v>
      </c>
      <c r="C36" s="26">
        <f t="shared" si="1"/>
        <v>2.9869921310422355E-2</v>
      </c>
      <c r="D36" s="38">
        <f t="shared" si="0"/>
        <v>23.55039768449053</v>
      </c>
    </row>
    <row r="37" spans="1:4">
      <c r="A37" s="91">
        <v>43945</v>
      </c>
      <c r="B37" s="88">
        <v>6658</v>
      </c>
      <c r="C37" s="26">
        <f t="shared" si="1"/>
        <v>3.8203648838297209E-2</v>
      </c>
      <c r="D37" s="38">
        <f t="shared" ref="D37:D60" si="2">(LN(2)/LN(B37/B36))</f>
        <v>18.487889118218384</v>
      </c>
    </row>
    <row r="38" spans="1:4">
      <c r="A38" s="91">
        <v>43946</v>
      </c>
      <c r="B38" s="88">
        <v>6710</v>
      </c>
      <c r="C38" s="26">
        <f t="shared" ref="C38:C69" si="3">(B38-B37)/B37</f>
        <v>7.8101531991589066E-3</v>
      </c>
      <c r="D38" s="38">
        <f t="shared" si="2"/>
        <v>89.095622829796753</v>
      </c>
    </row>
    <row r="39" spans="1:4">
      <c r="A39" s="91">
        <v>43947</v>
      </c>
      <c r="B39" s="88">
        <v>7001</v>
      </c>
      <c r="C39" s="26">
        <f t="shared" si="3"/>
        <v>4.3368107302533529E-2</v>
      </c>
      <c r="D39" s="38">
        <f t="shared" si="2"/>
        <v>16.326999709277924</v>
      </c>
    </row>
    <row r="40" spans="1:4">
      <c r="A40" s="91">
        <v>43948</v>
      </c>
      <c r="B40" s="88">
        <v>7159</v>
      </c>
      <c r="C40" s="26">
        <f t="shared" si="3"/>
        <v>2.2568204542208255E-2</v>
      </c>
      <c r="D40" s="38">
        <f t="shared" si="2"/>
        <v>31.058723813341835</v>
      </c>
    </row>
    <row r="41" spans="1:4">
      <c r="A41" s="91">
        <v>43949</v>
      </c>
      <c r="B41" s="88">
        <v>7364</v>
      </c>
      <c r="C41" s="26">
        <f t="shared" si="3"/>
        <v>2.8635284257577873E-2</v>
      </c>
      <c r="D41" s="38">
        <f t="shared" si="2"/>
        <v>24.550994839858753</v>
      </c>
    </row>
    <row r="42" spans="1:4">
      <c r="A42" s="91">
        <v>43950</v>
      </c>
      <c r="B42" s="88">
        <v>7418</v>
      </c>
      <c r="C42" s="26">
        <f t="shared" si="3"/>
        <v>7.3329712112982079E-3</v>
      </c>
      <c r="D42" s="38">
        <f t="shared" si="2"/>
        <v>94.870889301226129</v>
      </c>
    </row>
    <row r="43" spans="1:4">
      <c r="A43" s="91">
        <v>43951</v>
      </c>
      <c r="B43" s="88">
        <v>7490</v>
      </c>
      <c r="C43" s="26">
        <f t="shared" si="3"/>
        <v>9.7061202480452947E-3</v>
      </c>
      <c r="D43" s="38">
        <f t="shared" si="2"/>
        <v>71.759429333057724</v>
      </c>
    </row>
    <row r="44" spans="1:4">
      <c r="A44" s="91">
        <v>43952</v>
      </c>
      <c r="B44" s="88">
        <v>7685</v>
      </c>
      <c r="C44" s="26">
        <f t="shared" si="3"/>
        <v>2.6034712950600801E-2</v>
      </c>
      <c r="D44" s="38">
        <f t="shared" si="2"/>
        <v>26.969049960532978</v>
      </c>
    </row>
    <row r="45" spans="1:4">
      <c r="A45" s="91">
        <v>43953</v>
      </c>
      <c r="B45" s="88">
        <v>7836</v>
      </c>
      <c r="C45" s="26">
        <f t="shared" si="3"/>
        <v>1.9648666232921275E-2</v>
      </c>
      <c r="D45" s="38">
        <f t="shared" si="2"/>
        <v>35.622509801798749</v>
      </c>
    </row>
    <row r="46" spans="1:4">
      <c r="A46" s="91">
        <v>43954</v>
      </c>
      <c r="B46" s="88">
        <v>7928</v>
      </c>
      <c r="C46" s="26">
        <f t="shared" si="3"/>
        <v>1.1740684022460439E-2</v>
      </c>
      <c r="D46" s="38">
        <f t="shared" si="2"/>
        <v>59.383957056845482</v>
      </c>
    </row>
    <row r="47" spans="1:4">
      <c r="A47" s="91">
        <v>43955</v>
      </c>
      <c r="B47" s="88">
        <v>8166</v>
      </c>
      <c r="C47" s="26">
        <f t="shared" si="3"/>
        <v>3.0020181634712411E-2</v>
      </c>
      <c r="D47" s="38">
        <f t="shared" si="2"/>
        <v>23.434238408786449</v>
      </c>
    </row>
    <row r="48" spans="1:4">
      <c r="A48" s="91">
        <v>43956</v>
      </c>
      <c r="B48" s="88">
        <v>8275</v>
      </c>
      <c r="C48" s="26">
        <f t="shared" si="3"/>
        <v>1.3348028410482488E-2</v>
      </c>
      <c r="D48" s="38">
        <f t="shared" si="2"/>
        <v>52.274613886566158</v>
      </c>
    </row>
    <row r="49" spans="1:4">
      <c r="A49" s="91">
        <v>43957</v>
      </c>
      <c r="B49" s="88">
        <v>8386</v>
      </c>
      <c r="C49" s="26">
        <f t="shared" si="3"/>
        <v>1.3413897280966768E-2</v>
      </c>
      <c r="D49" s="38">
        <f t="shared" si="2"/>
        <v>52.019614008401071</v>
      </c>
    </row>
    <row r="50" spans="1:4">
      <c r="A50" s="91">
        <v>43958</v>
      </c>
      <c r="B50" s="88">
        <v>8532</v>
      </c>
      <c r="C50" s="26">
        <f t="shared" si="3"/>
        <v>1.7409968995945622E-2</v>
      </c>
      <c r="D50" s="38">
        <f t="shared" si="2"/>
        <v>40.158811241103884</v>
      </c>
    </row>
    <row r="51" spans="1:4">
      <c r="A51" s="91">
        <v>43959</v>
      </c>
      <c r="B51" s="88">
        <v>8594</v>
      </c>
      <c r="C51" s="26">
        <f t="shared" si="3"/>
        <v>7.266760431317393E-3</v>
      </c>
      <c r="D51" s="38">
        <f t="shared" si="2"/>
        <v>95.732151243481965</v>
      </c>
    </row>
    <row r="52" spans="1:4">
      <c r="A52" s="91">
        <v>43960</v>
      </c>
      <c r="B52" s="88">
        <v>8715</v>
      </c>
      <c r="C52" s="26">
        <f t="shared" si="3"/>
        <v>1.407959041191529E-2</v>
      </c>
      <c r="D52" s="38">
        <f t="shared" si="2"/>
        <v>49.576401282989799</v>
      </c>
    </row>
    <row r="53" spans="1:4">
      <c r="A53" s="91">
        <v>43961</v>
      </c>
      <c r="B53" s="88">
        <v>8823</v>
      </c>
      <c r="C53" s="26">
        <f t="shared" si="3"/>
        <v>1.2392426850258176E-2</v>
      </c>
      <c r="D53" s="38">
        <f t="shared" si="2"/>
        <v>56.278988829986361</v>
      </c>
    </row>
    <row r="54" spans="1:4">
      <c r="A54" s="91">
        <v>43962</v>
      </c>
      <c r="B54" s="88">
        <v>8873</v>
      </c>
      <c r="C54" s="26">
        <f t="shared" si="3"/>
        <v>5.6670066870678909E-3</v>
      </c>
      <c r="D54" s="38">
        <f t="shared" si="2"/>
        <v>122.65899865694688</v>
      </c>
    </row>
    <row r="55" spans="1:4">
      <c r="A55" s="91">
        <v>43963</v>
      </c>
      <c r="B55" s="88">
        <v>9015</v>
      </c>
      <c r="C55" s="26">
        <f t="shared" si="3"/>
        <v>1.6003606446523159E-2</v>
      </c>
      <c r="D55" s="38">
        <f t="shared" si="2"/>
        <v>43.657592657146672</v>
      </c>
    </row>
    <row r="56" spans="1:4">
      <c r="A56" s="91">
        <v>43964</v>
      </c>
      <c r="B56" s="88">
        <v>9071</v>
      </c>
      <c r="C56" s="26">
        <f t="shared" si="3"/>
        <v>6.2118691070438157E-3</v>
      </c>
      <c r="D56" s="38">
        <f t="shared" si="2"/>
        <v>111.93053433065666</v>
      </c>
    </row>
    <row r="57" spans="1:4">
      <c r="A57" s="91">
        <v>43965</v>
      </c>
      <c r="B57" s="88">
        <v>9151</v>
      </c>
      <c r="C57" s="26">
        <f t="shared" si="3"/>
        <v>8.8193142983133063E-3</v>
      </c>
      <c r="D57" s="38">
        <f t="shared" si="2"/>
        <v>78.94029233636499</v>
      </c>
    </row>
    <row r="58" spans="1:4">
      <c r="A58" s="91">
        <v>43966</v>
      </c>
      <c r="B58" s="88">
        <v>9277</v>
      </c>
      <c r="C58" s="26">
        <f t="shared" si="3"/>
        <v>1.3768986995956725E-2</v>
      </c>
      <c r="D58" s="38">
        <f t="shared" si="2"/>
        <v>50.686972970738736</v>
      </c>
    </row>
    <row r="59" spans="1:4">
      <c r="A59" s="91">
        <v>43967</v>
      </c>
      <c r="B59" s="88">
        <v>9444</v>
      </c>
      <c r="C59" s="26">
        <f t="shared" si="3"/>
        <v>1.8001509108548024E-2</v>
      </c>
      <c r="D59" s="38">
        <f t="shared" si="2"/>
        <v>38.850491503432927</v>
      </c>
    </row>
    <row r="60" spans="1:4">
      <c r="A60" s="91">
        <v>43968</v>
      </c>
      <c r="B60" s="88">
        <v>9589</v>
      </c>
      <c r="C60" s="26">
        <f t="shared" si="3"/>
        <v>1.5353663701821263E-2</v>
      </c>
      <c r="D60" s="38">
        <f t="shared" si="2"/>
        <v>45.491086389368192</v>
      </c>
    </row>
    <row r="61" spans="1:4">
      <c r="A61" s="91">
        <v>43969</v>
      </c>
      <c r="B61" s="88">
        <v>9708</v>
      </c>
      <c r="C61" s="26">
        <f t="shared" ref="C61:C62" si="4">(B61-B60)/B60</f>
        <v>1.2410053185942226E-2</v>
      </c>
      <c r="D61" s="38">
        <f t="shared" ref="D61:D62" si="5">(LN(2)/LN(B61/B60))</f>
        <v>56.199544485007138</v>
      </c>
    </row>
    <row r="62" spans="1:4">
      <c r="A62" s="91">
        <v>43970</v>
      </c>
      <c r="B62" s="88">
        <v>9752</v>
      </c>
      <c r="C62" s="26">
        <f t="shared" si="4"/>
        <v>4.5323444581788219E-3</v>
      </c>
      <c r="D62" s="38">
        <f t="shared" si="5"/>
        <v>153.27978576692436</v>
      </c>
    </row>
    <row r="63" spans="1:4">
      <c r="A63" s="91">
        <v>43971</v>
      </c>
      <c r="B63" s="88">
        <v>9801</v>
      </c>
      <c r="C63" s="26">
        <f t="shared" ref="C63:C66" si="6">(B63-B62)/B62</f>
        <v>5.0246103363412635E-3</v>
      </c>
      <c r="D63" s="38">
        <f t="shared" ref="D63:D66" si="7">(LN(2)/LN(B63/B62))</f>
        <v>138.29671887650707</v>
      </c>
    </row>
    <row r="64" spans="1:4">
      <c r="A64" s="91">
        <v>43972</v>
      </c>
      <c r="B64" s="88">
        <v>9979</v>
      </c>
      <c r="C64" s="26">
        <f t="shared" si="6"/>
        <v>1.8161412100806039E-2</v>
      </c>
      <c r="D64" s="38">
        <f t="shared" si="7"/>
        <v>38.511463832788742</v>
      </c>
    </row>
    <row r="65" spans="1:4">
      <c r="A65" s="91">
        <v>43973</v>
      </c>
      <c r="B65" s="88">
        <v>10066</v>
      </c>
      <c r="C65" s="26">
        <f t="shared" si="6"/>
        <v>8.7183084477402539E-3</v>
      </c>
      <c r="D65" s="38">
        <f t="shared" si="7"/>
        <v>79.850850515336333</v>
      </c>
    </row>
    <row r="66" spans="1:4">
      <c r="A66" s="91">
        <v>43974</v>
      </c>
      <c r="B66" s="88">
        <v>10154</v>
      </c>
      <c r="C66" s="26">
        <f t="shared" si="6"/>
        <v>8.7423008146234847E-3</v>
      </c>
      <c r="D66" s="38">
        <f t="shared" si="7"/>
        <v>79.632656259409558</v>
      </c>
    </row>
    <row r="67" spans="1:4">
      <c r="A67" s="91">
        <v>43975</v>
      </c>
      <c r="B67" s="88">
        <v>10355</v>
      </c>
      <c r="C67" s="26">
        <f t="shared" ref="C67" si="8">(B67-B66)/B66</f>
        <v>1.9795154618869409E-2</v>
      </c>
      <c r="D67" s="38">
        <f t="shared" ref="D67" si="9">(LN(2)/LN(B67/B66))</f>
        <v>35.361443699717519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/>
  <cols>
    <col min="4" max="4" width="12.1640625" customWidth="1"/>
  </cols>
  <sheetData>
    <row r="1" spans="1:4">
      <c r="A1" s="9" t="s">
        <v>40</v>
      </c>
      <c r="B1" s="9" t="s">
        <v>45</v>
      </c>
      <c r="C1" s="28"/>
      <c r="D1" s="39"/>
    </row>
    <row r="2" spans="1:4" ht="17">
      <c r="A2" s="9" t="s">
        <v>41</v>
      </c>
      <c r="B2" s="58">
        <v>82826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/>
  <sheetData>
    <row r="1" spans="1:8">
      <c r="A1" s="9" t="s">
        <v>40</v>
      </c>
      <c r="B1" s="9" t="s">
        <v>45</v>
      </c>
      <c r="C1" s="28"/>
      <c r="D1" s="39"/>
    </row>
    <row r="2" spans="1:8" ht="17">
      <c r="A2" s="9" t="s">
        <v>41</v>
      </c>
      <c r="B2" s="58">
        <v>82826</v>
      </c>
      <c r="C2" s="28"/>
      <c r="D2" s="39"/>
    </row>
    <row r="3" spans="1:8">
      <c r="A3" s="9" t="s">
        <v>43</v>
      </c>
      <c r="B3" s="12" t="s">
        <v>35</v>
      </c>
      <c r="C3" s="28"/>
      <c r="D3" s="39"/>
    </row>
    <row r="4" spans="1:8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8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35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35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67" t="s">
        <v>49</v>
      </c>
      <c r="C1" s="28"/>
      <c r="D1" s="39"/>
    </row>
    <row r="2" spans="1:4">
      <c r="A2" s="1" t="s">
        <v>41</v>
      </c>
      <c r="B2" s="69">
        <v>2231647</v>
      </c>
      <c r="C2" s="28"/>
      <c r="D2" s="39"/>
    </row>
    <row r="3" spans="1:4">
      <c r="A3" s="1" t="s">
        <v>43</v>
      </c>
      <c r="B3" s="68" t="s">
        <v>50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56"/>
    </row>
    <row r="23" spans="2:2">
      <c r="B23" s="56"/>
    </row>
    <row r="24" spans="2:2">
      <c r="B24" s="56"/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35"/>
    </row>
    <row r="30" spans="2:2">
      <c r="B30" s="56"/>
    </row>
    <row r="31" spans="2: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2020-05-26T04:16:01Z</dcterms:modified>
</cp:coreProperties>
</file>