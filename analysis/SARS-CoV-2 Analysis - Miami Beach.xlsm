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ml.chartshapes+xml"/>
  <Override PartName="/xl/drawings/drawing5.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6.xml" ContentType="application/vnd.openxmlformats-officedocument.drawingml.chartshapes+xml"/>
  <Override PartName="/xl/drawings/drawing7.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8.xml" ContentType="application/vnd.openxmlformats-officedocument.drawingml.chartshapes+xml"/>
  <Override PartName="/xl/drawings/drawing9.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0.xml" ContentType="application/vnd.openxmlformats-officedocument.drawingml.chartshapes+xml"/>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12.xml" ContentType="application/vnd.openxmlformats-officedocument.drawingml.chartshapes+xml"/>
  <Override PartName="/xl/drawings/drawing13.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4.xml" ContentType="application/vnd.openxmlformats-officedocument.drawingml.chartshapes+xml"/>
  <Override PartName="/xl/drawings/drawing15.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6.xml" ContentType="application/vnd.openxmlformats-officedocument.drawingml.chartshapes+xml"/>
  <Override PartName="/xl/drawings/drawing17.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13" codeName="{A5273A89-FDBA-A9CC-58D2-03FBE188E8EF}"/>
  <workbookPr codeName="ThisWorkbook"/>
  <mc:AlternateContent xmlns:mc="http://schemas.openxmlformats.org/markup-compatibility/2006">
    <mc:Choice Requires="x15">
      <x15ac:absPath xmlns:x15ac="http://schemas.microsoft.com/office/spreadsheetml/2010/11/ac" url="/Users/work/projects/BeachAnalytics/analysis/"/>
    </mc:Choice>
  </mc:AlternateContent>
  <xr:revisionPtr revIDLastSave="0" documentId="13_ncr:1_{1E24DE49-2811-0C42-92C0-360E653507BE}" xr6:coauthVersionLast="45" xr6:coauthVersionMax="45" xr10:uidLastSave="{00000000-0000-0000-0000-000000000000}"/>
  <bookViews>
    <workbookView xWindow="0" yWindow="460" windowWidth="28800" windowHeight="17540" firstSheet="5" activeTab="9" xr2:uid="{5746141D-E7E8-714E-A98D-1CE69C8603B7}"/>
  </bookViews>
  <sheets>
    <sheet name="Cases" sheetId="5" r:id="rId1"/>
    <sheet name="% Increase" sheetId="17" r:id="rId2"/>
    <sheet name="Doubling Time" sheetId="8" r:id="rId3"/>
    <sheet name="Number of Infections" sheetId="3" r:id="rId4"/>
    <sheet name="Case Percentage" sheetId="23" r:id="rId5"/>
    <sheet name="Infection Percentage" sheetId="24" r:id="rId6"/>
    <sheet name="Infection Projection" sheetId="4" r:id="rId7"/>
    <sheet name="Infection Odds" sheetId="2" r:id="rId8"/>
    <sheet name="dashboard" sheetId="6" r:id="rId9"/>
    <sheet name="compute" sheetId="1" r:id="rId10"/>
    <sheet name="Miami Beach morning" sheetId="9" r:id="rId11"/>
    <sheet name="Miami Beach evening" sheetId="10" r:id="rId12"/>
    <sheet name="Miami morning" sheetId="11" r:id="rId13"/>
    <sheet name="Miami evening" sheetId="12" r:id="rId14"/>
    <sheet name="Melbourne morning" sheetId="13" r:id="rId15"/>
    <sheet name="Melbourne evening" sheetId="14" r:id="rId16"/>
    <sheet name="Dade morning" sheetId="18" r:id="rId17"/>
    <sheet name="Dade evening" sheetId="19" r:id="rId18"/>
    <sheet name="Florida morning" sheetId="15" r:id="rId19"/>
    <sheet name="Florida evening" sheetId="16" r:id="rId20"/>
    <sheet name="Clark (NV) daily" sheetId="20" r:id="rId2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2" i="10" l="1"/>
  <c r="D32" i="10"/>
  <c r="C33" i="10"/>
  <c r="D33" i="10"/>
  <c r="C34" i="10"/>
  <c r="D34" i="10"/>
  <c r="C32" i="1"/>
  <c r="D32" i="1"/>
  <c r="E32" i="1"/>
  <c r="F32" i="1"/>
  <c r="G32" i="1"/>
  <c r="J32" i="1" s="1"/>
  <c r="H32" i="1"/>
  <c r="I32" i="1" s="1"/>
  <c r="C33" i="1"/>
  <c r="D33" i="1"/>
  <c r="E33" i="1"/>
  <c r="F33" i="1"/>
  <c r="G33" i="1"/>
  <c r="H33" i="1"/>
  <c r="I33" i="1"/>
  <c r="J33" i="1"/>
  <c r="C34" i="1"/>
  <c r="D34" i="1"/>
  <c r="E34" i="1"/>
  <c r="F34" i="1"/>
  <c r="G34" i="1"/>
  <c r="H34" i="1"/>
  <c r="I34" i="1"/>
  <c r="J34" i="1"/>
  <c r="C28" i="9"/>
  <c r="D28" i="9"/>
  <c r="C29" i="9"/>
  <c r="D29" i="9"/>
  <c r="C30" i="9"/>
  <c r="D30" i="9"/>
  <c r="C31" i="9"/>
  <c r="D31" i="9"/>
  <c r="C32" i="9"/>
  <c r="D32" i="9"/>
  <c r="C33" i="9"/>
  <c r="D33" i="9"/>
  <c r="C34" i="9"/>
  <c r="D34" i="9"/>
  <c r="C31" i="1" l="1"/>
  <c r="D31" i="1"/>
  <c r="E31" i="1"/>
  <c r="F31" i="1"/>
  <c r="G31" i="1"/>
  <c r="H31" i="1"/>
  <c r="C31" i="10"/>
  <c r="D31" i="10"/>
  <c r="C5" i="1"/>
  <c r="C6" i="1"/>
  <c r="C7" i="1"/>
  <c r="C8" i="1"/>
  <c r="C9" i="1"/>
  <c r="C10" i="1"/>
  <c r="C11" i="1"/>
  <c r="C12" i="1"/>
  <c r="C13" i="1"/>
  <c r="C14" i="1"/>
  <c r="C15" i="1"/>
  <c r="C16" i="1"/>
  <c r="C17" i="1"/>
  <c r="C18" i="1"/>
  <c r="C19" i="1"/>
  <c r="C20" i="1"/>
  <c r="C21" i="1"/>
  <c r="C22" i="1"/>
  <c r="C23" i="1"/>
  <c r="C24" i="1"/>
  <c r="C25" i="1"/>
  <c r="C26" i="1"/>
  <c r="C27" i="1"/>
  <c r="C28" i="1"/>
  <c r="C29" i="1"/>
  <c r="C30" i="1"/>
  <c r="C29" i="16"/>
  <c r="D29" i="16"/>
  <c r="C30" i="16"/>
  <c r="D30" i="16"/>
  <c r="C28" i="10"/>
  <c r="D28" i="10"/>
  <c r="C29" i="10"/>
  <c r="D29" i="10"/>
  <c r="C30" i="10"/>
  <c r="D30" i="10"/>
  <c r="D29" i="1"/>
  <c r="E29" i="1"/>
  <c r="F29" i="1"/>
  <c r="G29" i="1"/>
  <c r="H29" i="1"/>
  <c r="D30" i="1"/>
  <c r="E30" i="1"/>
  <c r="F30" i="1"/>
  <c r="G30" i="1"/>
  <c r="H30" i="1"/>
  <c r="C29" i="12"/>
  <c r="D29" i="12"/>
  <c r="C30" i="12"/>
  <c r="D30" i="12"/>
  <c r="I31" i="1" l="1"/>
  <c r="J31" i="1"/>
  <c r="I29" i="1"/>
  <c r="I30" i="1"/>
  <c r="J29" i="1"/>
  <c r="J30" i="1"/>
  <c r="D28" i="1"/>
  <c r="E28" i="1"/>
  <c r="F28" i="1"/>
  <c r="G28" i="1"/>
  <c r="H28" i="1"/>
  <c r="C28" i="12"/>
  <c r="D28" i="12"/>
  <c r="C28" i="16"/>
  <c r="D28" i="16"/>
  <c r="C27" i="10"/>
  <c r="D27" i="10"/>
  <c r="C27" i="12"/>
  <c r="D27" i="12"/>
  <c r="C27" i="16"/>
  <c r="D27" i="16"/>
  <c r="D27" i="1"/>
  <c r="E27" i="1"/>
  <c r="F27" i="1"/>
  <c r="G27" i="1"/>
  <c r="H27" i="1"/>
  <c r="C27" i="9"/>
  <c r="D27" i="9"/>
  <c r="C26" i="9"/>
  <c r="D26" i="9"/>
  <c r="C26" i="11"/>
  <c r="D26" i="11"/>
  <c r="C27" i="11"/>
  <c r="D27" i="11"/>
  <c r="C27" i="15"/>
  <c r="D27" i="15"/>
  <c r="C26" i="15"/>
  <c r="D26" i="15"/>
  <c r="C26" i="10"/>
  <c r="D26" i="10"/>
  <c r="D26" i="1"/>
  <c r="E26" i="1"/>
  <c r="F26" i="1"/>
  <c r="G26" i="1"/>
  <c r="H26" i="1"/>
  <c r="C26" i="12"/>
  <c r="D26" i="12"/>
  <c r="C26" i="16"/>
  <c r="D26" i="16"/>
  <c r="F5" i="1"/>
  <c r="F6" i="1"/>
  <c r="F7" i="1"/>
  <c r="F8" i="1"/>
  <c r="F9" i="1"/>
  <c r="F10" i="1"/>
  <c r="F11" i="1"/>
  <c r="F12" i="1"/>
  <c r="F13" i="1"/>
  <c r="F14" i="1"/>
  <c r="F15" i="1"/>
  <c r="F16" i="1"/>
  <c r="F17" i="1"/>
  <c r="F18" i="1"/>
  <c r="F19" i="1"/>
  <c r="F20" i="1"/>
  <c r="F21" i="1"/>
  <c r="F22" i="1"/>
  <c r="F23" i="1"/>
  <c r="F24" i="1"/>
  <c r="F25" i="1"/>
  <c r="I28" i="1" l="1"/>
  <c r="J28" i="1"/>
  <c r="I26" i="1"/>
  <c r="I27" i="1"/>
  <c r="J27" i="1"/>
  <c r="J26" i="1"/>
  <c r="U12" i="1"/>
  <c r="V41" i="1" s="1"/>
  <c r="D25" i="1"/>
  <c r="E25" i="1"/>
  <c r="G25" i="1"/>
  <c r="H25" i="1"/>
  <c r="C25" i="10"/>
  <c r="D25" i="10"/>
  <c r="C25" i="12"/>
  <c r="D25" i="12"/>
  <c r="C25" i="16"/>
  <c r="D25" i="16"/>
  <c r="C25" i="9"/>
  <c r="D25" i="9"/>
  <c r="C25" i="11"/>
  <c r="D25" i="11"/>
  <c r="C25" i="15"/>
  <c r="D25" i="15"/>
  <c r="C24" i="10"/>
  <c r="D24" i="10"/>
  <c r="C24" i="12"/>
  <c r="D24" i="12"/>
  <c r="C24" i="16"/>
  <c r="D24" i="16"/>
  <c r="I25" i="1" l="1"/>
  <c r="J25" i="1"/>
  <c r="D24" i="1"/>
  <c r="E24" i="1"/>
  <c r="G24" i="1"/>
  <c r="H24" i="1"/>
  <c r="C24" i="9"/>
  <c r="D24" i="9"/>
  <c r="C24" i="11"/>
  <c r="D24" i="11"/>
  <c r="C24" i="15"/>
  <c r="D24" i="15"/>
  <c r="I24" i="1" l="1"/>
  <c r="J24" i="1"/>
  <c r="C22" i="10"/>
  <c r="D22" i="10"/>
  <c r="C23" i="10"/>
  <c r="D23" i="10"/>
  <c r="C22" i="12"/>
  <c r="D22" i="12"/>
  <c r="C23" i="12"/>
  <c r="D23" i="12"/>
  <c r="C23" i="16"/>
  <c r="D23" i="16"/>
  <c r="C22" i="16"/>
  <c r="D22" i="16"/>
  <c r="C23" i="11"/>
  <c r="D23" i="11"/>
  <c r="C23" i="15"/>
  <c r="D23" i="15"/>
  <c r="D23" i="1" l="1"/>
  <c r="E23" i="1"/>
  <c r="G23" i="1"/>
  <c r="H23" i="1"/>
  <c r="C23" i="9"/>
  <c r="D23" i="9"/>
  <c r="I23" i="1" l="1"/>
  <c r="J23" i="1"/>
  <c r="D16" i="1"/>
  <c r="E16" i="1"/>
  <c r="G16" i="1"/>
  <c r="H16" i="1"/>
  <c r="D17" i="1"/>
  <c r="E17" i="1"/>
  <c r="G17" i="1"/>
  <c r="H17" i="1"/>
  <c r="D18" i="1"/>
  <c r="E18" i="1"/>
  <c r="G18" i="1"/>
  <c r="H18" i="1"/>
  <c r="D19" i="1"/>
  <c r="E19" i="1"/>
  <c r="G19" i="1"/>
  <c r="H19" i="1"/>
  <c r="D20" i="1"/>
  <c r="E20" i="1"/>
  <c r="G20" i="1"/>
  <c r="H20" i="1"/>
  <c r="D21" i="1"/>
  <c r="E21" i="1"/>
  <c r="G21" i="1"/>
  <c r="H21" i="1"/>
  <c r="D22" i="1"/>
  <c r="E22" i="1"/>
  <c r="G22" i="1"/>
  <c r="H22" i="1"/>
  <c r="D15" i="20"/>
  <c r="C15" i="20"/>
  <c r="D14" i="20"/>
  <c r="C14" i="20"/>
  <c r="D13" i="20"/>
  <c r="C13" i="20"/>
  <c r="D12" i="20"/>
  <c r="C12" i="20"/>
  <c r="D11" i="20"/>
  <c r="C11" i="20"/>
  <c r="D10" i="20"/>
  <c r="C10" i="20"/>
  <c r="D9" i="20"/>
  <c r="C9" i="20"/>
  <c r="D8" i="20"/>
  <c r="C8" i="20"/>
  <c r="D7" i="20"/>
  <c r="C7" i="20"/>
  <c r="D6" i="20"/>
  <c r="C6" i="20"/>
  <c r="D5" i="20"/>
  <c r="C5" i="20"/>
  <c r="D22" i="19"/>
  <c r="C22" i="19"/>
  <c r="D21" i="19"/>
  <c r="C21" i="19"/>
  <c r="D20" i="19"/>
  <c r="C20" i="19"/>
  <c r="D19" i="19"/>
  <c r="C19" i="19"/>
  <c r="D18" i="19"/>
  <c r="C18" i="19"/>
  <c r="D17" i="19"/>
  <c r="C17" i="19"/>
  <c r="D16" i="19"/>
  <c r="C16" i="19"/>
  <c r="D15" i="19"/>
  <c r="C15" i="19"/>
  <c r="D14" i="19"/>
  <c r="C14" i="19"/>
  <c r="D13" i="19"/>
  <c r="C13" i="19"/>
  <c r="D12" i="19"/>
  <c r="C12" i="19"/>
  <c r="D11" i="19"/>
  <c r="C11" i="19"/>
  <c r="D10" i="19"/>
  <c r="C10" i="19"/>
  <c r="D9" i="19"/>
  <c r="C9" i="19"/>
  <c r="D8" i="19"/>
  <c r="C8" i="19"/>
  <c r="D7" i="19"/>
  <c r="C7" i="19"/>
  <c r="D6" i="19"/>
  <c r="C6" i="19"/>
  <c r="D5" i="19"/>
  <c r="C5" i="19"/>
  <c r="D22" i="18"/>
  <c r="C22" i="18"/>
  <c r="D21" i="18"/>
  <c r="C21" i="18"/>
  <c r="D20" i="18"/>
  <c r="C20" i="18"/>
  <c r="D19" i="18"/>
  <c r="C19" i="18"/>
  <c r="D18" i="18"/>
  <c r="C18" i="18"/>
  <c r="D17" i="18"/>
  <c r="C17" i="18"/>
  <c r="D16" i="18"/>
  <c r="C16" i="18"/>
  <c r="D15" i="18"/>
  <c r="C15" i="18"/>
  <c r="D14" i="18"/>
  <c r="C14" i="18"/>
  <c r="D13" i="18"/>
  <c r="C13" i="18"/>
  <c r="D12" i="18"/>
  <c r="C12" i="18"/>
  <c r="D11" i="18"/>
  <c r="C11" i="18"/>
  <c r="D10" i="18"/>
  <c r="C10" i="18"/>
  <c r="D9" i="18"/>
  <c r="C9" i="18"/>
  <c r="D8" i="18"/>
  <c r="C8" i="18"/>
  <c r="D7" i="18"/>
  <c r="C7" i="18"/>
  <c r="D6" i="18"/>
  <c r="C6" i="18"/>
  <c r="D5" i="18"/>
  <c r="C5" i="18"/>
  <c r="C22" i="11"/>
  <c r="D22" i="11"/>
  <c r="C22" i="15"/>
  <c r="D22" i="15"/>
  <c r="J21" i="1" l="1"/>
  <c r="J19" i="1"/>
  <c r="I16" i="1"/>
  <c r="J17" i="1"/>
  <c r="J16" i="1"/>
  <c r="I22" i="1"/>
  <c r="J20" i="1"/>
  <c r="I19" i="1"/>
  <c r="I17" i="1"/>
  <c r="J18" i="1"/>
  <c r="J22" i="1"/>
  <c r="I21" i="1"/>
  <c r="I20" i="1"/>
  <c r="I18" i="1"/>
  <c r="H5" i="1"/>
  <c r="H6" i="1"/>
  <c r="H7" i="1"/>
  <c r="H8" i="1"/>
  <c r="H9" i="1"/>
  <c r="H10" i="1"/>
  <c r="H11" i="1"/>
  <c r="H12" i="1"/>
  <c r="H13" i="1"/>
  <c r="H14" i="1"/>
  <c r="H15" i="1"/>
  <c r="G5" i="1"/>
  <c r="G6" i="1"/>
  <c r="G7" i="1"/>
  <c r="G8" i="1"/>
  <c r="G9" i="1"/>
  <c r="G10" i="1"/>
  <c r="G11" i="1"/>
  <c r="G12" i="1"/>
  <c r="G13" i="1"/>
  <c r="G14" i="1"/>
  <c r="G15" i="1"/>
  <c r="C22" i="9"/>
  <c r="D22" i="9"/>
  <c r="D21" i="16"/>
  <c r="C21" i="16"/>
  <c r="D20" i="16"/>
  <c r="C20" i="16"/>
  <c r="D19" i="16"/>
  <c r="C19" i="16"/>
  <c r="D18" i="16"/>
  <c r="C18" i="16"/>
  <c r="D17" i="16"/>
  <c r="C17" i="16"/>
  <c r="D16" i="16"/>
  <c r="C16" i="16"/>
  <c r="D15" i="16"/>
  <c r="C15" i="16"/>
  <c r="D14" i="16"/>
  <c r="C14" i="16"/>
  <c r="D13" i="16"/>
  <c r="C13" i="16"/>
  <c r="D12" i="16"/>
  <c r="C12" i="16"/>
  <c r="D11" i="16"/>
  <c r="C11" i="16"/>
  <c r="D10" i="16"/>
  <c r="C10" i="16"/>
  <c r="D9" i="16"/>
  <c r="C9" i="16"/>
  <c r="D8" i="16"/>
  <c r="C8" i="16"/>
  <c r="D7" i="16"/>
  <c r="C7" i="16"/>
  <c r="D6" i="16"/>
  <c r="C6" i="16"/>
  <c r="D5" i="16"/>
  <c r="C5" i="16"/>
  <c r="D21" i="15"/>
  <c r="C21" i="15"/>
  <c r="D20" i="15"/>
  <c r="C20" i="15"/>
  <c r="D19" i="15"/>
  <c r="C19" i="15"/>
  <c r="D18" i="15"/>
  <c r="C18" i="15"/>
  <c r="D17" i="15"/>
  <c r="C17" i="15"/>
  <c r="D16" i="15"/>
  <c r="C16" i="15"/>
  <c r="D15" i="15"/>
  <c r="C15" i="15"/>
  <c r="D14" i="15"/>
  <c r="C14" i="15"/>
  <c r="D13" i="15"/>
  <c r="C13" i="15"/>
  <c r="D12" i="15"/>
  <c r="C12" i="15"/>
  <c r="D11" i="15"/>
  <c r="C11" i="15"/>
  <c r="D10" i="15"/>
  <c r="C10" i="15"/>
  <c r="D9" i="15"/>
  <c r="C9" i="15"/>
  <c r="D8" i="15"/>
  <c r="C8" i="15"/>
  <c r="D7" i="15"/>
  <c r="C7" i="15"/>
  <c r="D6" i="15"/>
  <c r="C6" i="15"/>
  <c r="D5" i="15"/>
  <c r="C5" i="15"/>
  <c r="D21" i="14"/>
  <c r="C21" i="14"/>
  <c r="D20" i="14"/>
  <c r="C20" i="14"/>
  <c r="D19" i="14"/>
  <c r="C19" i="14"/>
  <c r="D18" i="14"/>
  <c r="C18" i="14"/>
  <c r="D17" i="14"/>
  <c r="C17" i="14"/>
  <c r="D16" i="14"/>
  <c r="C16" i="14"/>
  <c r="D15" i="14"/>
  <c r="C15" i="14"/>
  <c r="D14" i="14"/>
  <c r="C14" i="14"/>
  <c r="D13" i="14"/>
  <c r="C13" i="14"/>
  <c r="D12" i="14"/>
  <c r="C12" i="14"/>
  <c r="D11" i="14"/>
  <c r="C11" i="14"/>
  <c r="D10" i="14"/>
  <c r="C10" i="14"/>
  <c r="D9" i="14"/>
  <c r="C9" i="14"/>
  <c r="D8" i="14"/>
  <c r="C8" i="14"/>
  <c r="D7" i="14"/>
  <c r="C7" i="14"/>
  <c r="D6" i="14"/>
  <c r="C6" i="14"/>
  <c r="D5" i="14"/>
  <c r="C5" i="14"/>
  <c r="D21" i="13"/>
  <c r="C21" i="13"/>
  <c r="D20" i="13"/>
  <c r="C20" i="13"/>
  <c r="D19" i="13"/>
  <c r="C19" i="13"/>
  <c r="D18" i="13"/>
  <c r="C18" i="13"/>
  <c r="D17" i="13"/>
  <c r="C17" i="13"/>
  <c r="D16" i="13"/>
  <c r="C16" i="13"/>
  <c r="D15" i="13"/>
  <c r="C15" i="13"/>
  <c r="D14" i="13"/>
  <c r="C14" i="13"/>
  <c r="D13" i="13"/>
  <c r="C13" i="13"/>
  <c r="D12" i="13"/>
  <c r="C12" i="13"/>
  <c r="D11" i="13"/>
  <c r="C11" i="13"/>
  <c r="D10" i="13"/>
  <c r="C10" i="13"/>
  <c r="D9" i="13"/>
  <c r="C9" i="13"/>
  <c r="D8" i="13"/>
  <c r="C8" i="13"/>
  <c r="D7" i="13"/>
  <c r="C7" i="13"/>
  <c r="D6" i="13"/>
  <c r="C6" i="13"/>
  <c r="D5" i="13"/>
  <c r="C5" i="13"/>
  <c r="D21" i="12"/>
  <c r="C21" i="12"/>
  <c r="D20" i="12"/>
  <c r="C20" i="12"/>
  <c r="D19" i="12"/>
  <c r="C19" i="12"/>
  <c r="D18" i="12"/>
  <c r="C18" i="12"/>
  <c r="D17" i="12"/>
  <c r="C17" i="12"/>
  <c r="D16" i="12"/>
  <c r="C16" i="12"/>
  <c r="D15" i="12"/>
  <c r="C15" i="12"/>
  <c r="D14" i="12"/>
  <c r="C14" i="12"/>
  <c r="D13" i="12"/>
  <c r="C13" i="12"/>
  <c r="D12" i="12"/>
  <c r="C12" i="12"/>
  <c r="D11" i="12"/>
  <c r="C11" i="12"/>
  <c r="D10" i="12"/>
  <c r="C10" i="12"/>
  <c r="D9" i="12"/>
  <c r="C9" i="12"/>
  <c r="D8" i="12"/>
  <c r="C8" i="12"/>
  <c r="D7" i="12"/>
  <c r="C7" i="12"/>
  <c r="D6" i="12"/>
  <c r="C6" i="12"/>
  <c r="D5" i="12"/>
  <c r="C5" i="12"/>
  <c r="D21" i="11"/>
  <c r="C21" i="11"/>
  <c r="D20" i="11"/>
  <c r="C20" i="11"/>
  <c r="D19" i="11"/>
  <c r="C19" i="11"/>
  <c r="D18" i="11"/>
  <c r="C18" i="11"/>
  <c r="D17" i="11"/>
  <c r="C17" i="11"/>
  <c r="D16" i="11"/>
  <c r="C16" i="11"/>
  <c r="D15" i="11"/>
  <c r="C15" i="11"/>
  <c r="D14" i="11"/>
  <c r="C14" i="11"/>
  <c r="D13" i="11"/>
  <c r="C13" i="11"/>
  <c r="D12" i="11"/>
  <c r="C12" i="11"/>
  <c r="D11" i="11"/>
  <c r="C11" i="11"/>
  <c r="D10" i="11"/>
  <c r="C10" i="11"/>
  <c r="D9" i="11"/>
  <c r="C9" i="11"/>
  <c r="D8" i="11"/>
  <c r="C8" i="11"/>
  <c r="D7" i="11"/>
  <c r="C7" i="11"/>
  <c r="D6" i="11"/>
  <c r="C6" i="11"/>
  <c r="D5" i="11"/>
  <c r="C5" i="11"/>
  <c r="D21" i="10"/>
  <c r="C21" i="10"/>
  <c r="D20" i="10"/>
  <c r="C20" i="10"/>
  <c r="D19" i="10"/>
  <c r="C19" i="10"/>
  <c r="D18" i="10"/>
  <c r="C18" i="10"/>
  <c r="D17" i="10"/>
  <c r="C17" i="10"/>
  <c r="D16" i="10"/>
  <c r="C16" i="10"/>
  <c r="D15" i="10"/>
  <c r="C15" i="10"/>
  <c r="D14" i="10"/>
  <c r="C14" i="10"/>
  <c r="D13" i="10"/>
  <c r="C13" i="10"/>
  <c r="D12" i="10"/>
  <c r="C12" i="10"/>
  <c r="D11" i="10"/>
  <c r="C11" i="10"/>
  <c r="D10" i="10"/>
  <c r="C10" i="10"/>
  <c r="D9" i="10"/>
  <c r="C9" i="10"/>
  <c r="D8" i="10"/>
  <c r="C8" i="10"/>
  <c r="D7" i="10"/>
  <c r="C7" i="10"/>
  <c r="D6" i="10"/>
  <c r="C6" i="10"/>
  <c r="D5" i="10"/>
  <c r="C5" i="10"/>
  <c r="C7" i="9"/>
  <c r="C8" i="9"/>
  <c r="C9" i="9"/>
  <c r="C10" i="9"/>
  <c r="C11" i="9"/>
  <c r="C12" i="9"/>
  <c r="C13" i="9"/>
  <c r="C14" i="9"/>
  <c r="C15" i="9"/>
  <c r="C16" i="9"/>
  <c r="C17" i="9"/>
  <c r="C18" i="9"/>
  <c r="C19" i="9"/>
  <c r="C20" i="9"/>
  <c r="C21" i="9"/>
  <c r="C6" i="9"/>
  <c r="D21" i="9"/>
  <c r="D20" i="9"/>
  <c r="D19" i="9"/>
  <c r="D18" i="9"/>
  <c r="D17" i="9"/>
  <c r="D16" i="9"/>
  <c r="D15" i="9"/>
  <c r="D14" i="9"/>
  <c r="D13" i="9"/>
  <c r="D12" i="9"/>
  <c r="D11" i="9"/>
  <c r="D10" i="9"/>
  <c r="D9" i="9"/>
  <c r="D8" i="9"/>
  <c r="D7" i="9"/>
  <c r="D6" i="9"/>
  <c r="D5" i="9"/>
  <c r="C5" i="9"/>
  <c r="U6" i="1"/>
  <c r="V35" i="1" s="1"/>
  <c r="U9" i="1"/>
  <c r="C6" i="6" s="1"/>
  <c r="X6" i="1"/>
  <c r="T9" i="1"/>
  <c r="T6" i="1"/>
  <c r="L32" i="1" l="1"/>
  <c r="P32" i="1"/>
  <c r="K33" i="1"/>
  <c r="Q33" i="1"/>
  <c r="L34" i="1"/>
  <c r="K32" i="1"/>
  <c r="M34" i="1"/>
  <c r="N34" i="1" s="1"/>
  <c r="Q34" i="1"/>
  <c r="M32" i="1"/>
  <c r="N32" i="1" s="1"/>
  <c r="Q32" i="1"/>
  <c r="L33" i="1"/>
  <c r="P33" i="1"/>
  <c r="K34" i="1"/>
  <c r="P34" i="1"/>
  <c r="M33" i="1"/>
  <c r="N33" i="1" s="1"/>
  <c r="K31" i="1"/>
  <c r="P31" i="1"/>
  <c r="L31" i="1"/>
  <c r="M31" i="1"/>
  <c r="N31" i="1" s="1"/>
  <c r="Q31" i="1"/>
  <c r="K29" i="1"/>
  <c r="L29" i="1"/>
  <c r="P29" i="1"/>
  <c r="K30" i="1"/>
  <c r="Q29" i="1"/>
  <c r="L30" i="1"/>
  <c r="P30" i="1"/>
  <c r="M30" i="1"/>
  <c r="M29" i="1"/>
  <c r="Q30" i="1"/>
  <c r="K16" i="1"/>
  <c r="K19" i="1"/>
  <c r="K15" i="1"/>
  <c r="K12" i="1"/>
  <c r="K14" i="1"/>
  <c r="K27" i="1"/>
  <c r="K21" i="1"/>
  <c r="K5" i="1"/>
  <c r="K24" i="1"/>
  <c r="K11" i="1"/>
  <c r="K23" i="1"/>
  <c r="K10" i="1"/>
  <c r="K20" i="1"/>
  <c r="K17" i="1"/>
  <c r="K28" i="1"/>
  <c r="K7" i="1"/>
  <c r="K22" i="1"/>
  <c r="K6" i="1"/>
  <c r="K8" i="1"/>
  <c r="K13" i="1"/>
  <c r="K18" i="1"/>
  <c r="K26" i="1"/>
  <c r="K25" i="1"/>
  <c r="K9" i="1"/>
  <c r="L8" i="1"/>
  <c r="L28" i="1"/>
  <c r="M28" i="1"/>
  <c r="P28" i="1"/>
  <c r="Q28" i="1"/>
  <c r="L27" i="1"/>
  <c r="M27" i="1"/>
  <c r="Q27" i="1"/>
  <c r="P27" i="1"/>
  <c r="L26" i="1"/>
  <c r="P26" i="1"/>
  <c r="M26" i="1"/>
  <c r="Q26" i="1"/>
  <c r="M25" i="1"/>
  <c r="L25" i="1"/>
  <c r="Q25" i="1"/>
  <c r="P25" i="1"/>
  <c r="M24" i="1"/>
  <c r="Q24" i="1"/>
  <c r="L24" i="1"/>
  <c r="P24" i="1"/>
  <c r="L23" i="1"/>
  <c r="Q23" i="1"/>
  <c r="M23" i="1"/>
  <c r="P23" i="1"/>
  <c r="L16" i="1"/>
  <c r="P16" i="1"/>
  <c r="L17" i="1"/>
  <c r="P18" i="1"/>
  <c r="M19" i="1"/>
  <c r="L20" i="1"/>
  <c r="Q20" i="1"/>
  <c r="P21" i="1"/>
  <c r="M22" i="1"/>
  <c r="M18" i="1"/>
  <c r="Q19" i="1"/>
  <c r="L21" i="1"/>
  <c r="P20" i="1"/>
  <c r="L22" i="1"/>
  <c r="M16" i="1"/>
  <c r="Q16" i="1"/>
  <c r="M17" i="1"/>
  <c r="L18" i="1"/>
  <c r="Q18" i="1"/>
  <c r="P19" i="1"/>
  <c r="M20" i="1"/>
  <c r="Q21" i="1"/>
  <c r="P17" i="1"/>
  <c r="P22" i="1"/>
  <c r="Q17" i="1"/>
  <c r="L19" i="1"/>
  <c r="M21" i="1"/>
  <c r="Q22" i="1"/>
  <c r="V39" i="1"/>
  <c r="D5" i="1"/>
  <c r="D6" i="1"/>
  <c r="D7" i="1"/>
  <c r="D8" i="1"/>
  <c r="D9" i="1"/>
  <c r="D10" i="1"/>
  <c r="D11" i="1"/>
  <c r="D12" i="1"/>
  <c r="D13" i="1"/>
  <c r="D14" i="1"/>
  <c r="D15" i="1"/>
  <c r="E5" i="1"/>
  <c r="E6" i="1"/>
  <c r="E7" i="1"/>
  <c r="E8" i="1"/>
  <c r="E9" i="1"/>
  <c r="E10" i="1"/>
  <c r="E11" i="1"/>
  <c r="E12" i="1"/>
  <c r="E13" i="1"/>
  <c r="E14" i="1"/>
  <c r="E15" i="1"/>
  <c r="R33" i="1" l="1"/>
  <c r="S33" i="1"/>
  <c r="O33" i="1"/>
  <c r="R34" i="1"/>
  <c r="S34" i="1"/>
  <c r="R32" i="1"/>
  <c r="S32" i="1"/>
  <c r="O34" i="1"/>
  <c r="O32" i="1"/>
  <c r="O31" i="1"/>
  <c r="R31" i="1"/>
  <c r="S31" i="1"/>
  <c r="N30" i="1"/>
  <c r="S22" i="1"/>
  <c r="U15" i="1"/>
  <c r="N29" i="1"/>
  <c r="R30" i="1"/>
  <c r="S30" i="1"/>
  <c r="R29" i="1"/>
  <c r="S29" i="1"/>
  <c r="O30" i="1"/>
  <c r="O29" i="1"/>
  <c r="N28" i="1"/>
  <c r="R28" i="1"/>
  <c r="S28" i="1"/>
  <c r="O28" i="1"/>
  <c r="O27" i="1"/>
  <c r="R27" i="1"/>
  <c r="S27" i="1"/>
  <c r="N27" i="1"/>
  <c r="N26" i="1"/>
  <c r="R26" i="1"/>
  <c r="S26" i="1"/>
  <c r="O26" i="1"/>
  <c r="N25" i="1"/>
  <c r="R25" i="1"/>
  <c r="S25" i="1"/>
  <c r="O24" i="1"/>
  <c r="O25" i="1"/>
  <c r="R24" i="1"/>
  <c r="S24" i="1"/>
  <c r="N24" i="1"/>
  <c r="O21" i="1"/>
  <c r="S23" i="1"/>
  <c r="R22" i="1"/>
  <c r="R18" i="1"/>
  <c r="O23" i="1"/>
  <c r="N16" i="1"/>
  <c r="N23" i="1"/>
  <c r="O19" i="1"/>
  <c r="R23" i="1"/>
  <c r="S20" i="1"/>
  <c r="O17" i="1"/>
  <c r="S19" i="1"/>
  <c r="R19" i="1"/>
  <c r="N21" i="1"/>
  <c r="R17" i="1"/>
  <c r="S17" i="1"/>
  <c r="S18" i="1"/>
  <c r="O18" i="1"/>
  <c r="N18" i="1"/>
  <c r="R16" i="1"/>
  <c r="S16" i="1"/>
  <c r="S21" i="1"/>
  <c r="R21" i="1"/>
  <c r="O20" i="1"/>
  <c r="N20" i="1"/>
  <c r="N17" i="1"/>
  <c r="R20" i="1"/>
  <c r="O22" i="1"/>
  <c r="N22" i="1"/>
  <c r="N19" i="1"/>
  <c r="O16" i="1"/>
  <c r="U21" i="1"/>
  <c r="V47" i="1" s="1"/>
  <c r="C8" i="6" s="1"/>
  <c r="U37" i="1"/>
  <c r="V49" i="1" s="1"/>
  <c r="Q15" i="1"/>
  <c r="P15" i="1"/>
  <c r="Q14" i="1"/>
  <c r="P14" i="1"/>
  <c r="Q13" i="1"/>
  <c r="P13" i="1"/>
  <c r="Q12" i="1"/>
  <c r="P12" i="1"/>
  <c r="Q11" i="1"/>
  <c r="P11" i="1"/>
  <c r="Q10" i="1"/>
  <c r="P10" i="1"/>
  <c r="Q9" i="1"/>
  <c r="P9" i="1"/>
  <c r="Q8" i="1"/>
  <c r="P8" i="1"/>
  <c r="Q7" i="1"/>
  <c r="P7" i="1"/>
  <c r="Q6" i="1"/>
  <c r="P6" i="1"/>
  <c r="Q5" i="1"/>
  <c r="P5" i="1"/>
  <c r="M5" i="1"/>
  <c r="M6" i="1"/>
  <c r="M7" i="1"/>
  <c r="M8" i="1"/>
  <c r="M9" i="1"/>
  <c r="M10" i="1"/>
  <c r="M11" i="1"/>
  <c r="M12" i="1"/>
  <c r="M13" i="1"/>
  <c r="M14" i="1"/>
  <c r="M15" i="1"/>
  <c r="L5" i="1"/>
  <c r="L6" i="1"/>
  <c r="L7" i="1"/>
  <c r="L9" i="1"/>
  <c r="L10" i="1"/>
  <c r="J11" i="1"/>
  <c r="L12" i="1"/>
  <c r="L13" i="1"/>
  <c r="L14" i="1"/>
  <c r="J15" i="1"/>
  <c r="O12" i="1" l="1"/>
  <c r="O8" i="1"/>
  <c r="O7" i="1"/>
  <c r="G8" i="6"/>
  <c r="V51" i="1"/>
  <c r="O9" i="1"/>
  <c r="R10" i="1"/>
  <c r="S12" i="1"/>
  <c r="R9" i="1"/>
  <c r="S11" i="1"/>
  <c r="R5" i="1"/>
  <c r="S7" i="1"/>
  <c r="S9" i="1"/>
  <c r="R11" i="1"/>
  <c r="S13" i="1"/>
  <c r="S15" i="1"/>
  <c r="R15" i="1"/>
  <c r="S5" i="1"/>
  <c r="R7" i="1"/>
  <c r="R13" i="1"/>
  <c r="S10" i="1"/>
  <c r="R12" i="1"/>
  <c r="S14" i="1"/>
  <c r="O5" i="1"/>
  <c r="R14" i="1"/>
  <c r="N13" i="1"/>
  <c r="O13" i="1"/>
  <c r="N9" i="1"/>
  <c r="N12" i="1"/>
  <c r="N8" i="1"/>
  <c r="O14" i="1"/>
  <c r="O10" i="1"/>
  <c r="O6" i="1"/>
  <c r="N7" i="1"/>
  <c r="L15" i="1"/>
  <c r="O15" i="1" s="1"/>
  <c r="L11" i="1"/>
  <c r="O11" i="1" s="1"/>
  <c r="N14" i="1"/>
  <c r="N10" i="1"/>
  <c r="N6" i="1"/>
  <c r="N5" i="1"/>
  <c r="S6" i="1"/>
  <c r="J14" i="1"/>
  <c r="J10" i="1"/>
  <c r="J6" i="1"/>
  <c r="I13" i="1"/>
  <c r="I9" i="1"/>
  <c r="J5" i="1"/>
  <c r="R6" i="1"/>
  <c r="S8" i="1"/>
  <c r="R8" i="1"/>
  <c r="I12" i="1"/>
  <c r="I8" i="1"/>
  <c r="I15" i="1"/>
  <c r="I11" i="1"/>
  <c r="I7" i="1"/>
  <c r="I14" i="1"/>
  <c r="I10" i="1"/>
  <c r="I6" i="1"/>
  <c r="I5" i="1"/>
  <c r="J13" i="1"/>
  <c r="J9" i="1"/>
  <c r="J7" i="1"/>
  <c r="J12" i="1"/>
  <c r="J8" i="1"/>
  <c r="V43" i="1" l="1"/>
  <c r="U18" i="1"/>
  <c r="V45" i="1" s="1"/>
  <c r="N11" i="1"/>
  <c r="N15" i="1"/>
  <c r="C14" i="6" l="1"/>
  <c r="G6" i="6"/>
  <c r="G14" i="6"/>
</calcChain>
</file>

<file path=xl/sharedStrings.xml><?xml version="1.0" encoding="utf-8"?>
<sst xmlns="http://schemas.openxmlformats.org/spreadsheetml/2006/main" count="163" uniqueCount="63">
  <si>
    <t>date</t>
  </si>
  <si>
    <t>cases</t>
  </si>
  <si>
    <t>1-in-X odds, estimating 5x cases infected</t>
  </si>
  <si>
    <t>1-in-X odds, estimating 7x cases infected</t>
  </si>
  <si>
    <t>average infection count</t>
  </si>
  <si>
    <t>average 1-in-X odds</t>
  </si>
  <si>
    <t>infection count difference</t>
  </si>
  <si>
    <t>1-in-X odds difference</t>
  </si>
  <si>
    <t>infection percentage difference</t>
  </si>
  <si>
    <t>average infection percentage</t>
  </si>
  <si>
    <t>constants</t>
  </si>
  <si>
    <t>total population:</t>
  </si>
  <si>
    <t>COVID-19 cases</t>
  </si>
  <si>
    <t>SARS-CoV-2 infections</t>
  </si>
  <si>
    <t>estimated</t>
  </si>
  <si>
    <t>confirmed</t>
  </si>
  <si>
    <t>one in</t>
  </si>
  <si>
    <t>of total population</t>
  </si>
  <si>
    <t>people have had</t>
  </si>
  <si>
    <t>a SARS-CoV-2 infection</t>
  </si>
  <si>
    <t>Column1</t>
  </si>
  <si>
    <t>computed</t>
  </si>
  <si>
    <t>source: https://www.floridadisaster.org/news-media/news/</t>
  </si>
  <si>
    <t>labels</t>
  </si>
  <si>
    <t>insights</t>
  </si>
  <si>
    <t>cases:</t>
  </si>
  <si>
    <t>current date:</t>
  </si>
  <si>
    <t>infected:</t>
  </si>
  <si>
    <t>percentage:</t>
  </si>
  <si>
    <t>odds:</t>
  </si>
  <si>
    <t>doubling time:</t>
  </si>
  <si>
    <t>% increase</t>
  </si>
  <si>
    <t>% increase:</t>
  </si>
  <si>
    <t>data timing:</t>
  </si>
  <si>
    <t>morning</t>
  </si>
  <si>
    <t>evening</t>
  </si>
  <si>
    <t>reported cases</t>
  </si>
  <si>
    <t>low estimate:</t>
  </si>
  <si>
    <t>high estimate:</t>
  </si>
  <si>
    <t>doubling time (days)</t>
  </si>
  <si>
    <t>name:</t>
  </si>
  <si>
    <t>population:</t>
  </si>
  <si>
    <t>Miami Beach</t>
  </si>
  <si>
    <t>timing:</t>
  </si>
  <si>
    <t>Miami</t>
  </si>
  <si>
    <t>Melbourne</t>
  </si>
  <si>
    <t>chart titles</t>
  </si>
  <si>
    <t>Florida</t>
  </si>
  <si>
    <t>info: https://endymion.github.io/BeachCov2/</t>
  </si>
  <si>
    <t>Clark County</t>
  </si>
  <si>
    <t>daily</t>
  </si>
  <si>
    <t>Dade County</t>
  </si>
  <si>
    <t>case percentage</t>
  </si>
  <si>
    <t>data for bands in charts</t>
  </si>
  <si>
    <t>green</t>
  </si>
  <si>
    <t>red</t>
  </si>
  <si>
    <t>infection percentage, low end of estimate range</t>
  </si>
  <si>
    <t>infection percentage, high end of estimate range</t>
  </si>
  <si>
    <t>estimated infections</t>
  </si>
  <si>
    <t>estimate:</t>
  </si>
  <si>
    <t>infection count, low end of estimate range</t>
  </si>
  <si>
    <t>infection count, high end of estimate range</t>
  </si>
  <si>
    <t>estimated infections as percentage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</si>
</sst>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409]mmmm\ d\,\ yyyy;@"/>
    <numFmt numFmtId="166" formatCode="0.0"/>
  </numFmts>
  <fonts count="20" x14ac:knownFonts="1">
    <font>
      <sz val="12"/>
      <color theme="1"/>
      <name val="Calibri"/>
      <family val="2"/>
      <scheme val="minor"/>
    </font>
    <font>
      <b/>
      <sz val="11"/>
      <color theme="3"/>
      <name val="Calibri"/>
      <family val="2"/>
      <scheme val="minor"/>
    </font>
    <font>
      <sz val="12"/>
      <color theme="1"/>
      <name val="Helvetica"/>
      <family val="2"/>
    </font>
    <font>
      <sz val="8"/>
      <name val="Calibri"/>
      <family val="2"/>
      <scheme val="minor"/>
    </font>
    <font>
      <b/>
      <sz val="11"/>
      <color theme="3"/>
      <name val="Helvetica"/>
      <family val="2"/>
    </font>
    <font>
      <b/>
      <sz val="12"/>
      <color rgb="FF000000"/>
      <name val="Helvetica"/>
      <family val="2"/>
    </font>
    <font>
      <sz val="12"/>
      <color rgb="FF000000"/>
      <name val="Helvetica"/>
      <family val="2"/>
    </font>
    <font>
      <b/>
      <sz val="12"/>
      <color theme="1"/>
      <name val="Calibri"/>
      <family val="2"/>
      <scheme val="minor"/>
    </font>
    <font>
      <b/>
      <sz val="69"/>
      <color theme="0"/>
      <name val="Helvetica"/>
      <family val="2"/>
    </font>
    <font>
      <b/>
      <sz val="12"/>
      <color theme="1"/>
      <name val="Helvetica"/>
      <family val="2"/>
    </font>
    <font>
      <b/>
      <sz val="36"/>
      <color rgb="FFFFFFFF"/>
      <name val="Helvetica"/>
      <family val="2"/>
    </font>
    <font>
      <b/>
      <sz val="36"/>
      <color theme="0"/>
      <name val="Helvetica"/>
      <family val="2"/>
    </font>
    <font>
      <b/>
      <sz val="22"/>
      <color theme="0"/>
      <name val="Helvetica"/>
      <family val="2"/>
    </font>
    <font>
      <b/>
      <sz val="12"/>
      <color theme="3"/>
      <name val="Helvetica"/>
      <family val="2"/>
    </font>
    <font>
      <sz val="13"/>
      <color rgb="FF000000"/>
      <name val="Arial"/>
      <family val="2"/>
    </font>
    <font>
      <sz val="13"/>
      <color rgb="FF222222"/>
      <name val="Arial"/>
      <family val="2"/>
    </font>
    <font>
      <sz val="12"/>
      <color rgb="FF000000"/>
      <name val="Calibri"/>
      <family val="2"/>
      <scheme val="minor"/>
    </font>
    <font>
      <b/>
      <sz val="12"/>
      <color rgb="FF242852"/>
      <name val="Helvetica"/>
      <family val="2"/>
    </font>
    <font>
      <sz val="12"/>
      <color theme="1"/>
      <name val="Calibri"/>
      <family val="2"/>
      <scheme val="minor"/>
    </font>
    <font>
      <b/>
      <sz val="60"/>
      <color theme="0"/>
      <name val="Helvetica"/>
      <family val="2"/>
    </font>
  </fonts>
  <fills count="9">
    <fill>
      <patternFill patternType="none"/>
    </fill>
    <fill>
      <patternFill patternType="gray125"/>
    </fill>
    <fill>
      <patternFill patternType="solid">
        <fgColor theme="0"/>
        <bgColor indexed="64"/>
      </patternFill>
    </fill>
    <fill>
      <patternFill patternType="solid">
        <fgColor theme="5"/>
        <bgColor indexed="64"/>
      </patternFill>
    </fill>
    <fill>
      <patternFill patternType="solid">
        <fgColor theme="4"/>
        <bgColor indexed="64"/>
      </patternFill>
    </fill>
    <fill>
      <patternFill patternType="solid">
        <fgColor theme="4"/>
        <bgColor rgb="FF000000"/>
      </patternFill>
    </fill>
    <fill>
      <patternFill patternType="solid">
        <fgColor theme="5"/>
        <bgColor theme="5"/>
      </patternFill>
    </fill>
    <fill>
      <patternFill patternType="solid">
        <fgColor rgb="FF629DD1"/>
        <bgColor rgb="FF629DD1"/>
      </patternFill>
    </fill>
    <fill>
      <patternFill patternType="solid">
        <fgColor rgb="FF337CBD"/>
        <bgColor indexed="64"/>
      </patternFill>
    </fill>
  </fills>
  <borders count="7">
    <border>
      <left/>
      <right/>
      <top/>
      <bottom/>
      <diagonal/>
    </border>
    <border>
      <left/>
      <right/>
      <top/>
      <bottom style="medium">
        <color theme="4" tint="0.39997558519241921"/>
      </bottom>
      <diagonal/>
    </border>
    <border>
      <left style="thin">
        <color theme="5"/>
      </left>
      <right/>
      <top style="thin">
        <color theme="5"/>
      </top>
      <bottom style="medium">
        <color theme="4" tint="0.39997558519241921"/>
      </bottom>
      <diagonal/>
    </border>
    <border>
      <left/>
      <right/>
      <top style="thin">
        <color theme="5"/>
      </top>
      <bottom style="medium">
        <color theme="4" tint="0.39997558519241921"/>
      </bottom>
      <diagonal/>
    </border>
    <border>
      <left/>
      <right/>
      <top style="thin">
        <color rgb="FF629DD1"/>
      </top>
      <bottom/>
      <diagonal/>
    </border>
    <border>
      <left style="thin">
        <color rgb="FF629DD1"/>
      </left>
      <right/>
      <top style="thin">
        <color rgb="FF629DD1"/>
      </top>
      <bottom style="medium">
        <color rgb="FF8FA2CF"/>
      </bottom>
      <diagonal/>
    </border>
    <border>
      <left/>
      <right/>
      <top style="thin">
        <color rgb="FF629DD1"/>
      </top>
      <bottom style="medium">
        <color rgb="FF8FA2CF"/>
      </bottom>
      <diagonal/>
    </border>
  </borders>
  <cellStyleXfs count="3">
    <xf numFmtId="0" fontId="0" fillId="0" borderId="0"/>
    <xf numFmtId="0" fontId="1" fillId="0" borderId="1" applyNumberFormat="0" applyFill="0" applyAlignment="0" applyProtection="0"/>
    <xf numFmtId="9" fontId="18" fillId="0" borderId="0" applyFont="0" applyFill="0" applyBorder="0" applyAlignment="0" applyProtection="0"/>
  </cellStyleXfs>
  <cellXfs count="83">
    <xf numFmtId="0" fontId="0" fillId="0" borderId="0" xfId="0"/>
    <xf numFmtId="0" fontId="2" fillId="0" borderId="0" xfId="0" applyFont="1"/>
    <xf numFmtId="0" fontId="0" fillId="0" borderId="0" xfId="0" applyAlignment="1">
      <alignment horizontal="right"/>
    </xf>
    <xf numFmtId="1" fontId="2" fillId="0" borderId="0" xfId="0" applyNumberFormat="1" applyFont="1"/>
    <xf numFmtId="1" fontId="0" fillId="0" borderId="0" xfId="0" applyNumberFormat="1"/>
    <xf numFmtId="1" fontId="2" fillId="0" borderId="0" xfId="0" applyNumberFormat="1" applyFont="1" applyAlignment="1">
      <alignment wrapText="1" shrinkToFit="1"/>
    </xf>
    <xf numFmtId="0" fontId="4" fillId="0" borderId="1" xfId="1" applyFont="1" applyAlignment="1">
      <alignment horizontal="right" vertical="top" wrapText="1"/>
    </xf>
    <xf numFmtId="1" fontId="4" fillId="0" borderId="1" xfId="1" applyNumberFormat="1" applyFont="1" applyAlignment="1">
      <alignment horizontal="right" vertical="top" wrapText="1"/>
    </xf>
    <xf numFmtId="16" fontId="5" fillId="0" borderId="0" xfId="0" applyNumberFormat="1" applyFont="1"/>
    <xf numFmtId="0" fontId="6" fillId="0" borderId="0" xfId="0" applyFont="1"/>
    <xf numFmtId="1" fontId="4" fillId="0" borderId="1" xfId="1" applyNumberFormat="1" applyFont="1" applyFill="1" applyAlignment="1">
      <alignment horizontal="right" vertical="top"/>
    </xf>
    <xf numFmtId="1" fontId="2" fillId="0" borderId="0" xfId="0" applyNumberFormat="1" applyFont="1" applyAlignment="1">
      <alignment horizontal="right" wrapText="1" shrinkToFit="1"/>
    </xf>
    <xf numFmtId="1" fontId="6" fillId="0" borderId="0" xfId="0" applyNumberFormat="1" applyFont="1"/>
    <xf numFmtId="10" fontId="4" fillId="0" borderId="1" xfId="1" applyNumberFormat="1" applyFont="1" applyAlignment="1">
      <alignment horizontal="right" vertical="top" wrapText="1"/>
    </xf>
    <xf numFmtId="10" fontId="6" fillId="0" borderId="0" xfId="0" applyNumberFormat="1" applyFont="1"/>
    <xf numFmtId="10" fontId="2" fillId="0" borderId="0" xfId="0" applyNumberFormat="1" applyFont="1"/>
    <xf numFmtId="10" fontId="0" fillId="0" borderId="0" xfId="0" applyNumberFormat="1"/>
    <xf numFmtId="0" fontId="0" fillId="2" borderId="0" xfId="0" applyFill="1"/>
    <xf numFmtId="0" fontId="0" fillId="3" borderId="0" xfId="0" applyFill="1"/>
    <xf numFmtId="1" fontId="8" fillId="3" borderId="0" xfId="0" applyNumberFormat="1" applyFont="1" applyFill="1" applyAlignment="1">
      <alignment horizontal="center" vertical="center"/>
    </xf>
    <xf numFmtId="164" fontId="8" fillId="3" borderId="0" xfId="0" applyNumberFormat="1" applyFont="1" applyFill="1" applyAlignment="1">
      <alignment horizontal="center" vertical="center"/>
    </xf>
    <xf numFmtId="0" fontId="0" fillId="2" borderId="0" xfId="0" applyFill="1" applyBorder="1"/>
    <xf numFmtId="0" fontId="0" fillId="3" borderId="0" xfId="0" applyFill="1" applyBorder="1"/>
    <xf numFmtId="0" fontId="0" fillId="0" borderId="0" xfId="0" applyBorder="1"/>
    <xf numFmtId="0" fontId="0" fillId="4" borderId="0" xfId="0" applyFill="1"/>
    <xf numFmtId="164" fontId="4" fillId="0" borderId="1" xfId="1" applyNumberFormat="1" applyFont="1" applyAlignment="1">
      <alignment horizontal="right" vertical="top" wrapText="1"/>
    </xf>
    <xf numFmtId="164" fontId="6" fillId="0" borderId="0" xfId="0" applyNumberFormat="1" applyFont="1"/>
    <xf numFmtId="164" fontId="2" fillId="0" borderId="0" xfId="0" applyNumberFormat="1" applyFont="1"/>
    <xf numFmtId="164" fontId="0" fillId="0" borderId="0" xfId="0" applyNumberFormat="1"/>
    <xf numFmtId="165" fontId="2" fillId="0" borderId="0" xfId="0" applyNumberFormat="1" applyFont="1"/>
    <xf numFmtId="0" fontId="4" fillId="0" borderId="1" xfId="1" applyFont="1" applyFill="1" applyAlignment="1">
      <alignment horizontal="right" vertical="top"/>
    </xf>
    <xf numFmtId="1" fontId="2" fillId="0" borderId="0" xfId="0" applyNumberFormat="1" applyFont="1" applyAlignment="1">
      <alignment horizontal="right" vertical="center"/>
    </xf>
    <xf numFmtId="1" fontId="9" fillId="0" borderId="0" xfId="0" applyNumberFormat="1" applyFont="1"/>
    <xf numFmtId="0" fontId="7" fillId="0" borderId="0" xfId="0" applyFont="1"/>
    <xf numFmtId="1" fontId="2" fillId="0" borderId="0" xfId="0" applyNumberFormat="1" applyFont="1" applyAlignment="1">
      <alignment horizontal="right"/>
    </xf>
    <xf numFmtId="3" fontId="2" fillId="0" borderId="0" xfId="0" applyNumberFormat="1" applyFont="1"/>
    <xf numFmtId="165" fontId="9" fillId="0" borderId="0" xfId="0" applyNumberFormat="1" applyFont="1" applyAlignment="1">
      <alignment horizontal="right"/>
    </xf>
    <xf numFmtId="166" fontId="4" fillId="0" borderId="1" xfId="1" applyNumberFormat="1" applyFont="1" applyAlignment="1">
      <alignment horizontal="right" vertical="top" wrapText="1"/>
    </xf>
    <xf numFmtId="166" fontId="6" fillId="0" borderId="0" xfId="0" applyNumberFormat="1" applyFont="1" applyAlignment="1">
      <alignment wrapText="1"/>
    </xf>
    <xf numFmtId="166" fontId="0" fillId="0" borderId="0" xfId="0" applyNumberFormat="1"/>
    <xf numFmtId="0" fontId="10" fillId="5" borderId="0" xfId="0" applyFont="1" applyFill="1" applyAlignment="1">
      <alignment horizontal="center"/>
    </xf>
    <xf numFmtId="0" fontId="11" fillId="3" borderId="0" xfId="0" applyFont="1" applyFill="1" applyAlignment="1">
      <alignment horizontal="center"/>
    </xf>
    <xf numFmtId="0" fontId="12" fillId="3" borderId="0" xfId="0" applyFont="1" applyFill="1" applyAlignment="1">
      <alignment horizontal="center"/>
    </xf>
    <xf numFmtId="0" fontId="0" fillId="2" borderId="0" xfId="0" applyFill="1" applyAlignment="1">
      <alignment vertical="top"/>
    </xf>
    <xf numFmtId="0" fontId="0" fillId="4" borderId="0" xfId="0" applyFill="1" applyAlignment="1">
      <alignment vertical="top"/>
    </xf>
    <xf numFmtId="0" fontId="12" fillId="4" borderId="0" xfId="0" applyFont="1" applyFill="1" applyAlignment="1">
      <alignment horizontal="center" vertical="top"/>
    </xf>
    <xf numFmtId="0" fontId="0" fillId="3" borderId="0" xfId="0" applyFill="1" applyAlignment="1">
      <alignment vertical="top"/>
    </xf>
    <xf numFmtId="0" fontId="12" fillId="3" borderId="0" xfId="0" applyFont="1" applyFill="1" applyAlignment="1">
      <alignment horizontal="center" vertical="top"/>
    </xf>
    <xf numFmtId="0" fontId="0" fillId="3" borderId="0" xfId="0" applyFill="1" applyBorder="1" applyAlignment="1">
      <alignment vertical="top"/>
    </xf>
    <xf numFmtId="0" fontId="0" fillId="2" borderId="0" xfId="0" applyFill="1" applyBorder="1" applyAlignment="1">
      <alignment vertical="top"/>
    </xf>
    <xf numFmtId="0" fontId="0" fillId="0" borderId="0" xfId="0" applyAlignment="1">
      <alignment vertical="top"/>
    </xf>
    <xf numFmtId="164" fontId="4" fillId="0" borderId="1" xfId="1" applyNumberFormat="1" applyFont="1" applyAlignment="1">
      <alignment horizontal="right" vertical="top"/>
    </xf>
    <xf numFmtId="0" fontId="13" fillId="6" borderId="2" xfId="1" applyFont="1" applyFill="1" applyBorder="1" applyAlignment="1">
      <alignment horizontal="right" vertical="top"/>
    </xf>
    <xf numFmtId="0" fontId="13" fillId="6" borderId="3" xfId="1" applyFont="1" applyFill="1" applyBorder="1" applyAlignment="1">
      <alignment horizontal="right" vertical="top"/>
    </xf>
    <xf numFmtId="1" fontId="2" fillId="0" borderId="0" xfId="0" applyNumberFormat="1" applyFont="1" applyBorder="1"/>
    <xf numFmtId="165" fontId="2" fillId="0" borderId="0" xfId="0" applyNumberFormat="1" applyFont="1" applyAlignment="1">
      <alignment horizontal="right"/>
    </xf>
    <xf numFmtId="3" fontId="6" fillId="0" borderId="0" xfId="0" applyNumberFormat="1" applyFont="1"/>
    <xf numFmtId="3" fontId="14" fillId="0" borderId="0" xfId="0" applyNumberFormat="1" applyFont="1"/>
    <xf numFmtId="3" fontId="15" fillId="0" borderId="0" xfId="0" applyNumberFormat="1" applyFont="1"/>
    <xf numFmtId="3" fontId="8" fillId="4" borderId="0" xfId="0" applyNumberFormat="1" applyFont="1" applyFill="1" applyAlignment="1">
      <alignment horizontal="center"/>
    </xf>
    <xf numFmtId="0" fontId="16" fillId="0" borderId="0" xfId="0" applyFont="1"/>
    <xf numFmtId="1" fontId="6" fillId="0" borderId="4" xfId="0" applyNumberFormat="1" applyFont="1" applyBorder="1"/>
    <xf numFmtId="0" fontId="17" fillId="7" borderId="5" xfId="0" applyFont="1" applyFill="1" applyBorder="1" applyAlignment="1">
      <alignment horizontal="right" vertical="top"/>
    </xf>
    <xf numFmtId="0" fontId="17" fillId="7" borderId="6" xfId="0" applyFont="1" applyFill="1" applyBorder="1" applyAlignment="1">
      <alignment horizontal="right" vertical="top"/>
    </xf>
    <xf numFmtId="0" fontId="6" fillId="0" borderId="0" xfId="0" applyFont="1" applyAlignment="1">
      <alignment vertical="center"/>
    </xf>
    <xf numFmtId="0" fontId="13" fillId="6" borderId="3" xfId="1" applyFont="1" applyFill="1" applyBorder="1" applyAlignment="1">
      <alignment horizontal="right" vertical="top" wrapText="1"/>
    </xf>
    <xf numFmtId="0" fontId="2" fillId="0" borderId="0" xfId="0" applyFont="1" applyAlignment="1">
      <alignment horizontal="right" vertical="center"/>
    </xf>
    <xf numFmtId="0" fontId="2" fillId="0" borderId="0" xfId="0" applyFont="1" applyAlignment="1">
      <alignment horizontal="right"/>
    </xf>
    <xf numFmtId="1" fontId="2" fillId="0" borderId="0" xfId="0" applyNumberFormat="1" applyFont="1" applyBorder="1" applyAlignment="1">
      <alignment horizontal="right"/>
    </xf>
    <xf numFmtId="3" fontId="6" fillId="0" borderId="0" xfId="0" applyNumberFormat="1" applyFont="1" applyAlignment="1">
      <alignment horizontal="right"/>
    </xf>
    <xf numFmtId="9" fontId="0" fillId="0" borderId="0" xfId="2" applyFont="1"/>
    <xf numFmtId="164" fontId="6" fillId="0" borderId="0" xfId="2" applyNumberFormat="1" applyFont="1"/>
    <xf numFmtId="164" fontId="14" fillId="0" borderId="0" xfId="2" applyNumberFormat="1" applyFont="1"/>
    <xf numFmtId="164" fontId="17" fillId="7" borderId="0" xfId="2" applyNumberFormat="1" applyFont="1" applyFill="1" applyBorder="1" applyAlignment="1">
      <alignment horizontal="right" vertical="top" wrapText="1"/>
    </xf>
    <xf numFmtId="164" fontId="6" fillId="0" borderId="0" xfId="2" applyNumberFormat="1" applyFont="1" applyAlignment="1">
      <alignment wrapText="1"/>
    </xf>
    <xf numFmtId="164" fontId="0" fillId="0" borderId="0" xfId="2" applyNumberFormat="1" applyFont="1"/>
    <xf numFmtId="14" fontId="0" fillId="0" borderId="0" xfId="0" applyNumberFormat="1"/>
    <xf numFmtId="0" fontId="0" fillId="8" borderId="0" xfId="0" applyFill="1"/>
    <xf numFmtId="0" fontId="0" fillId="8" borderId="0" xfId="0" applyFill="1" applyBorder="1"/>
    <xf numFmtId="3" fontId="0" fillId="0" borderId="0" xfId="0" applyNumberFormat="1"/>
    <xf numFmtId="3" fontId="4" fillId="0" borderId="1" xfId="1" applyNumberFormat="1" applyFont="1" applyAlignment="1">
      <alignment horizontal="right" vertical="top" wrapText="1"/>
    </xf>
    <xf numFmtId="3" fontId="6" fillId="0" borderId="0" xfId="0" applyNumberFormat="1" applyFont="1" applyAlignment="1">
      <alignment wrapText="1"/>
    </xf>
    <xf numFmtId="3" fontId="19" fillId="3" borderId="0" xfId="0" applyNumberFormat="1" applyFont="1" applyFill="1" applyAlignment="1">
      <alignment horizontal="center" vertical="center"/>
    </xf>
  </cellXfs>
  <cellStyles count="3">
    <cellStyle name="Heading 3" xfId="1" builtinId="18"/>
    <cellStyle name="Normal" xfId="0" builtinId="0"/>
    <cellStyle name="Percent" xfId="2" builtinId="5"/>
  </cellStyles>
  <dxfs count="24">
    <dxf>
      <font>
        <b val="0"/>
        <i val="0"/>
        <strike val="0"/>
        <condense val="0"/>
        <extend val="0"/>
        <outline val="0"/>
        <shadow val="0"/>
        <u val="none"/>
        <vertAlign val="baseline"/>
        <sz val="12"/>
        <color rgb="FF000000"/>
        <name val="Helvetica"/>
        <family val="2"/>
        <scheme val="none"/>
      </font>
      <numFmt numFmtId="3" formatCode="#,##0"/>
    </dxf>
    <dxf>
      <font>
        <b/>
        <i val="0"/>
        <strike val="0"/>
        <condense val="0"/>
        <extend val="0"/>
        <outline val="0"/>
        <shadow val="0"/>
        <u val="none"/>
        <vertAlign val="baseline"/>
        <sz val="12"/>
        <color rgb="FF000000"/>
        <name val="Helvetica"/>
        <family val="2"/>
        <scheme val="none"/>
      </font>
      <numFmt numFmtId="21" formatCode="d\-mmm"/>
    </dxf>
    <dxf>
      <font>
        <b val="0"/>
        <i val="0"/>
        <strike val="0"/>
        <condense val="0"/>
        <extend val="0"/>
        <outline val="0"/>
        <shadow val="0"/>
        <u val="none"/>
        <vertAlign val="baseline"/>
        <sz val="12"/>
        <color theme="1"/>
        <name val="Helvetica"/>
        <family val="2"/>
        <scheme val="none"/>
      </font>
      <numFmt numFmtId="1" formatCode="0"/>
    </dxf>
    <dxf>
      <font>
        <b val="0"/>
        <i val="0"/>
        <strike val="0"/>
        <condense val="0"/>
        <extend val="0"/>
        <outline val="0"/>
        <shadow val="0"/>
        <u val="none"/>
        <vertAlign val="baseline"/>
        <sz val="12"/>
        <color theme="1"/>
        <name val="Helvetica"/>
        <family val="2"/>
        <scheme val="none"/>
      </font>
      <numFmt numFmtId="1" formatCode="0"/>
    </dxf>
    <dxf>
      <font>
        <b val="0"/>
        <i val="0"/>
        <strike val="0"/>
        <condense val="0"/>
        <extend val="0"/>
        <outline val="0"/>
        <shadow val="0"/>
        <u val="none"/>
        <vertAlign val="baseline"/>
        <sz val="12"/>
        <color theme="1"/>
        <name val="Helvetica"/>
        <family val="2"/>
        <scheme val="none"/>
      </font>
    </dxf>
    <dxf>
      <font>
        <b val="0"/>
        <i val="0"/>
        <strike val="0"/>
        <condense val="0"/>
        <extend val="0"/>
        <outline val="0"/>
        <shadow val="0"/>
        <u val="none"/>
        <vertAlign val="baseline"/>
        <sz val="12"/>
        <color theme="1"/>
        <name val="Helvetica"/>
        <family val="2"/>
        <scheme val="none"/>
      </font>
      <numFmt numFmtId="1" formatCode="0"/>
    </dxf>
    <dxf>
      <font>
        <b val="0"/>
        <i val="0"/>
        <strike val="0"/>
        <condense val="0"/>
        <extend val="0"/>
        <outline val="0"/>
        <shadow val="0"/>
        <u val="none"/>
        <vertAlign val="baseline"/>
        <sz val="12"/>
        <color theme="1"/>
        <name val="Helvetica"/>
        <family val="2"/>
        <scheme val="none"/>
      </font>
      <numFmt numFmtId="1" formatCode="0"/>
    </dxf>
    <dxf>
      <font>
        <b val="0"/>
        <i val="0"/>
        <strike val="0"/>
        <condense val="0"/>
        <extend val="0"/>
        <outline val="0"/>
        <shadow val="0"/>
        <u val="none"/>
        <vertAlign val="baseline"/>
        <sz val="12"/>
        <color theme="1"/>
        <name val="Helvetica"/>
        <family val="2"/>
        <scheme val="none"/>
      </font>
      <numFmt numFmtId="1" formatCode="0"/>
    </dxf>
    <dxf>
      <font>
        <b val="0"/>
        <i val="0"/>
        <strike val="0"/>
        <condense val="0"/>
        <extend val="0"/>
        <outline val="0"/>
        <shadow val="0"/>
        <u val="none"/>
        <vertAlign val="baseline"/>
        <sz val="12"/>
        <color theme="1"/>
        <name val="Helvetica"/>
        <family val="2"/>
        <scheme val="none"/>
      </font>
      <numFmt numFmtId="1" formatCode="0"/>
    </dxf>
    <dxf>
      <font>
        <b val="0"/>
        <i val="0"/>
        <strike val="0"/>
        <condense val="0"/>
        <extend val="0"/>
        <outline val="0"/>
        <shadow val="0"/>
        <u val="none"/>
        <vertAlign val="baseline"/>
        <sz val="12"/>
        <color theme="1"/>
        <name val="Helvetica"/>
        <family val="2"/>
        <scheme val="none"/>
      </font>
      <numFmt numFmtId="164" formatCode="0.0%"/>
    </dxf>
    <dxf>
      <font>
        <b val="0"/>
        <i val="0"/>
        <strike val="0"/>
        <condense val="0"/>
        <extend val="0"/>
        <outline val="0"/>
        <shadow val="0"/>
        <u val="none"/>
        <vertAlign val="baseline"/>
        <sz val="12"/>
        <color theme="1"/>
        <name val="Helvetica"/>
        <family val="2"/>
        <scheme val="none"/>
      </font>
      <numFmt numFmtId="14" formatCode="0.00%"/>
    </dxf>
    <dxf>
      <font>
        <b val="0"/>
        <i val="0"/>
        <strike val="0"/>
        <condense val="0"/>
        <extend val="0"/>
        <outline val="0"/>
        <shadow val="0"/>
        <u val="none"/>
        <vertAlign val="baseline"/>
        <sz val="12"/>
        <color theme="1"/>
        <name val="Helvetica"/>
        <family val="2"/>
        <scheme val="none"/>
      </font>
      <numFmt numFmtId="164" formatCode="0.0%"/>
    </dxf>
    <dxf>
      <font>
        <b val="0"/>
        <i val="0"/>
        <strike val="0"/>
        <condense val="0"/>
        <extend val="0"/>
        <outline val="0"/>
        <shadow val="0"/>
        <u val="none"/>
        <vertAlign val="baseline"/>
        <sz val="12"/>
        <color theme="1"/>
        <name val="Helvetica"/>
        <family val="2"/>
        <scheme val="none"/>
      </font>
      <numFmt numFmtId="164" formatCode="0.0%"/>
    </dxf>
    <dxf>
      <font>
        <b val="0"/>
        <i val="0"/>
        <strike val="0"/>
        <condense val="0"/>
        <extend val="0"/>
        <outline val="0"/>
        <shadow val="0"/>
        <u val="none"/>
        <vertAlign val="baseline"/>
        <sz val="12"/>
        <color theme="1"/>
        <name val="Helvetica"/>
        <family val="2"/>
        <scheme val="none"/>
      </font>
      <numFmt numFmtId="164" formatCode="0.0%"/>
    </dxf>
    <dxf>
      <font>
        <b val="0"/>
        <i val="0"/>
        <strike val="0"/>
        <condense val="0"/>
        <extend val="0"/>
        <outline val="0"/>
        <shadow val="0"/>
        <u val="none"/>
        <vertAlign val="baseline"/>
        <sz val="12"/>
        <color theme="1"/>
        <name val="Helvetica"/>
        <family val="2"/>
        <scheme val="none"/>
      </font>
      <numFmt numFmtId="3" formatCode="#,##0"/>
    </dxf>
    <dxf>
      <font>
        <b val="0"/>
        <i val="0"/>
        <strike val="0"/>
        <condense val="0"/>
        <extend val="0"/>
        <outline val="0"/>
        <shadow val="0"/>
        <u val="none"/>
        <vertAlign val="baseline"/>
        <sz val="12"/>
        <color theme="1"/>
        <name val="Helvetica"/>
        <family val="2"/>
        <scheme val="none"/>
      </font>
      <numFmt numFmtId="3" formatCode="#,##0"/>
    </dxf>
    <dxf>
      <font>
        <b val="0"/>
        <i val="0"/>
        <strike val="0"/>
        <condense val="0"/>
        <extend val="0"/>
        <outline val="0"/>
        <shadow val="0"/>
        <u val="none"/>
        <vertAlign val="baseline"/>
        <sz val="12"/>
        <color theme="1"/>
        <name val="Helvetica"/>
        <family val="2"/>
        <scheme val="none"/>
      </font>
      <numFmt numFmtId="3" formatCode="#,##0"/>
    </dxf>
    <dxf>
      <font>
        <b val="0"/>
        <i val="0"/>
        <strike val="0"/>
        <condense val="0"/>
        <extend val="0"/>
        <outline val="0"/>
        <shadow val="0"/>
        <u val="none"/>
        <vertAlign val="baseline"/>
        <sz val="12"/>
        <color theme="1"/>
        <name val="Helvetica"/>
        <family val="2"/>
        <scheme val="none"/>
      </font>
      <numFmt numFmtId="3" formatCode="#,##0"/>
    </dxf>
    <dxf>
      <font>
        <b val="0"/>
        <i val="0"/>
        <strike val="0"/>
        <condense val="0"/>
        <extend val="0"/>
        <outline val="0"/>
        <shadow val="0"/>
        <u val="none"/>
        <vertAlign val="baseline"/>
        <sz val="12"/>
        <color rgb="FF000000"/>
        <name val="Helvetica"/>
        <family val="2"/>
        <scheme val="none"/>
      </font>
      <numFmt numFmtId="3" formatCode="#,##0"/>
      <alignment horizontal="general" vertical="bottom" textRotation="0" wrapText="1" indent="0" justifyLastLine="0" shrinkToFit="0" readingOrder="0"/>
    </dxf>
    <dxf>
      <font>
        <b val="0"/>
        <i val="0"/>
        <strike val="0"/>
        <condense val="0"/>
        <extend val="0"/>
        <outline val="0"/>
        <shadow val="0"/>
        <u val="none"/>
        <vertAlign val="baseline"/>
        <sz val="12"/>
        <color rgb="FF000000"/>
        <name val="Helvetica"/>
        <family val="2"/>
        <scheme val="none"/>
      </font>
      <numFmt numFmtId="166" formatCode="0.0"/>
      <alignment horizontal="general" vertical="bottom" textRotation="0" wrapText="1" indent="0" justifyLastLine="0" shrinkToFit="0" readingOrder="0"/>
    </dxf>
    <dxf>
      <font>
        <b val="0"/>
        <i val="0"/>
        <strike val="0"/>
        <condense val="0"/>
        <extend val="0"/>
        <outline val="0"/>
        <shadow val="0"/>
        <u val="none"/>
        <vertAlign val="baseline"/>
        <sz val="12"/>
        <color rgb="FF000000"/>
        <name val="Helvetica"/>
        <family val="2"/>
        <scheme val="none"/>
      </font>
      <numFmt numFmtId="164" formatCode="0.0%"/>
    </dxf>
    <dxf>
      <font>
        <b val="0"/>
        <i val="0"/>
        <strike val="0"/>
        <condense val="0"/>
        <extend val="0"/>
        <outline val="0"/>
        <shadow val="0"/>
        <u val="none"/>
        <vertAlign val="baseline"/>
        <sz val="12"/>
        <color rgb="FF000000"/>
        <name val="Helvetica"/>
        <family val="2"/>
        <scheme val="none"/>
      </font>
      <numFmt numFmtId="164" formatCode="0.0%"/>
    </dxf>
    <dxf>
      <font>
        <b val="0"/>
        <i val="0"/>
        <strike val="0"/>
        <condense val="0"/>
        <extend val="0"/>
        <outline val="0"/>
        <shadow val="0"/>
        <u val="none"/>
        <vertAlign val="baseline"/>
        <sz val="12"/>
        <color theme="1"/>
        <name val="Helvetica"/>
        <family val="2"/>
        <scheme val="none"/>
      </font>
    </dxf>
    <dxf>
      <font>
        <strike val="0"/>
        <outline val="0"/>
        <shadow val="0"/>
        <u val="none"/>
        <vertAlign val="baseline"/>
        <sz val="11"/>
        <color theme="3"/>
        <name val="Helvetica"/>
        <family val="2"/>
        <scheme val="none"/>
      </font>
      <alignment horizontal="right" vertical="top" textRotation="0" wrapText="0" indent="0" justifyLastLine="0" shrinkToFit="0" readingOrder="0"/>
    </dxf>
  </dxfs>
  <tableStyles count="0" defaultTableStyle="TableStyleMedium2" defaultPivotStyle="PivotStyleLight16"/>
  <colors>
    <mruColors>
      <color rgb="FFCCCCFF"/>
      <color rgb="FFCCCDFF"/>
      <color rgb="FF337CBD"/>
      <color rgb="FFFF807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10.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12.xml"/><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14.xml"/><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16.xml"/><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002295475777393"/>
          <c:y val="0.15932203389830507"/>
          <c:w val="0.85718910983584684"/>
          <c:h val="0.72242946750300285"/>
        </c:manualLayout>
      </c:layout>
      <c:lineChart>
        <c:grouping val="standard"/>
        <c:varyColors val="0"/>
        <c:ser>
          <c:idx val="3"/>
          <c:order val="0"/>
          <c:tx>
            <c:strRef>
              <c:f>compute!$B$4</c:f>
              <c:strCache>
                <c:ptCount val="1"/>
                <c:pt idx="0">
                  <c:v>cases</c:v>
                </c:pt>
              </c:strCache>
            </c:strRef>
          </c:tx>
          <c:spPr>
            <a:ln w="76200" cap="rnd">
              <a:solidFill>
                <a:schemeClr val="bg2"/>
              </a:solidFill>
              <a:round/>
            </a:ln>
            <a:effectLst/>
          </c:spPr>
          <c:marker>
            <c:symbol val="circle"/>
            <c:size val="5"/>
            <c:spPr>
              <a:solidFill>
                <a:schemeClr val="accent4"/>
              </a:solidFill>
              <a:ln w="38100">
                <a:solidFill>
                  <a:schemeClr val="tx1"/>
                </a:solidFill>
              </a:ln>
              <a:effectLst/>
            </c:spPr>
          </c:marker>
          <c:trendline>
            <c:spPr>
              <a:ln w="38100" cap="rnd">
                <a:solidFill>
                  <a:schemeClr val="accent4">
                    <a:alpha val="50000"/>
                  </a:schemeClr>
                </a:solidFill>
                <a:prstDash val="sysDot"/>
              </a:ln>
              <a:effectLst/>
            </c:spPr>
            <c:trendlineType val="linear"/>
            <c:dispRSqr val="0"/>
            <c:dispEq val="0"/>
          </c:trendline>
          <c:cat>
            <c:numRef>
              <c:f>compute!$A$5:$A$10016</c:f>
              <c:numCache>
                <c:formatCode>d\-mmm</c:formatCode>
                <c:ptCount val="10012"/>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pt idx="26">
                  <c:v>43939</c:v>
                </c:pt>
                <c:pt idx="27">
                  <c:v>43940</c:v>
                </c:pt>
                <c:pt idx="28">
                  <c:v>43941</c:v>
                </c:pt>
                <c:pt idx="29">
                  <c:v>43942</c:v>
                </c:pt>
              </c:numCache>
            </c:numRef>
          </c:cat>
          <c:val>
            <c:numRef>
              <c:f>compute!$B$5:$B$10016</c:f>
              <c:numCache>
                <c:formatCode>General</c:formatCode>
                <c:ptCount val="10012"/>
                <c:pt idx="0">
                  <c:v>33</c:v>
                </c:pt>
                <c:pt idx="1">
                  <c:v>46</c:v>
                </c:pt>
                <c:pt idx="2">
                  <c:v>63</c:v>
                </c:pt>
                <c:pt idx="3">
                  <c:v>76</c:v>
                </c:pt>
                <c:pt idx="4">
                  <c:v>90</c:v>
                </c:pt>
                <c:pt idx="5">
                  <c:v>118</c:v>
                </c:pt>
                <c:pt idx="6">
                  <c:v>160</c:v>
                </c:pt>
                <c:pt idx="7">
                  <c:v>197</c:v>
                </c:pt>
                <c:pt idx="8">
                  <c:v>238</c:v>
                </c:pt>
                <c:pt idx="9">
                  <c:v>266</c:v>
                </c:pt>
                <c:pt idx="10">
                  <c:v>294</c:v>
                </c:pt>
                <c:pt idx="11">
                  <c:v>310</c:v>
                </c:pt>
                <c:pt idx="12">
                  <c:v>347</c:v>
                </c:pt>
                <c:pt idx="13">
                  <c:v>365</c:v>
                </c:pt>
                <c:pt idx="14">
                  <c:v>396</c:v>
                </c:pt>
                <c:pt idx="15">
                  <c:v>428</c:v>
                </c:pt>
                <c:pt idx="16">
                  <c:v>454</c:v>
                </c:pt>
                <c:pt idx="17">
                  <c:v>468</c:v>
                </c:pt>
                <c:pt idx="18">
                  <c:v>493</c:v>
                </c:pt>
                <c:pt idx="19">
                  <c:v>520</c:v>
                </c:pt>
                <c:pt idx="20">
                  <c:v>535</c:v>
                </c:pt>
                <c:pt idx="21">
                  <c:v>561</c:v>
                </c:pt>
                <c:pt idx="22">
                  <c:v>568</c:v>
                </c:pt>
                <c:pt idx="23">
                  <c:v>583</c:v>
                </c:pt>
                <c:pt idx="24">
                  <c:v>587</c:v>
                </c:pt>
                <c:pt idx="25">
                  <c:v>607</c:v>
                </c:pt>
                <c:pt idx="26">
                  <c:v>615</c:v>
                </c:pt>
                <c:pt idx="27">
                  <c:v>636</c:v>
                </c:pt>
                <c:pt idx="28">
                  <c:v>641</c:v>
                </c:pt>
                <c:pt idx="29">
                  <c:v>651</c:v>
                </c:pt>
              </c:numCache>
            </c:numRef>
          </c:val>
          <c:smooth val="1"/>
          <c:extLst>
            <c:ext xmlns:c16="http://schemas.microsoft.com/office/drawing/2014/chart" uri="{C3380CC4-5D6E-409C-BE32-E72D297353CC}">
              <c16:uniqueId val="{00000000-3C2B-6744-85B7-B87A6F158DB5}"/>
            </c:ext>
          </c:extLst>
        </c:ser>
        <c:dLbls>
          <c:showLegendKey val="0"/>
          <c:showVal val="0"/>
          <c:showCatName val="0"/>
          <c:showSerName val="0"/>
          <c:showPercent val="0"/>
          <c:showBubbleSize val="0"/>
        </c:dLbls>
        <c:marker val="1"/>
        <c:smooth val="0"/>
        <c:axId val="1207535568"/>
        <c:axId val="1207600816"/>
      </c:lineChart>
      <c:dateAx>
        <c:axId val="12075355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600816"/>
        <c:crosses val="autoZero"/>
        <c:auto val="1"/>
        <c:lblOffset val="100"/>
        <c:baseTimeUnit val="days"/>
        <c:majorUnit val="7"/>
        <c:majorTimeUnit val="days"/>
      </c:dateAx>
      <c:valAx>
        <c:axId val="1207600816"/>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5355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130241558788202"/>
          <c:y val="0.14237288135593221"/>
          <c:w val="0.84015828106232482"/>
          <c:h val="0.74125423728813555"/>
        </c:manualLayout>
      </c:layout>
      <c:lineChart>
        <c:grouping val="standard"/>
        <c:varyColors val="0"/>
        <c:ser>
          <c:idx val="3"/>
          <c:order val="0"/>
          <c:tx>
            <c:strRef>
              <c:f>compute!$D$4</c:f>
              <c:strCache>
                <c:ptCount val="1"/>
                <c:pt idx="0">
                  <c:v>% increase</c:v>
                </c:pt>
              </c:strCache>
            </c:strRef>
          </c:tx>
          <c:spPr>
            <a:ln w="76200" cap="rnd">
              <a:noFill/>
              <a:round/>
            </a:ln>
            <a:effectLst/>
          </c:spPr>
          <c:marker>
            <c:symbol val="circle"/>
            <c:size val="5"/>
            <c:spPr>
              <a:solidFill>
                <a:schemeClr val="accent4"/>
              </a:solidFill>
              <a:ln w="76200">
                <a:solidFill>
                  <a:schemeClr val="tx1"/>
                </a:solidFill>
              </a:ln>
              <a:effectLst/>
            </c:spPr>
          </c:marker>
          <c:trendline>
            <c:spPr>
              <a:ln w="76200" cap="rnd">
                <a:solidFill>
                  <a:schemeClr val="accent2"/>
                </a:solidFill>
                <a:prstDash val="sysDot"/>
              </a:ln>
              <a:effectLst/>
            </c:spPr>
            <c:trendlineType val="poly"/>
            <c:order val="2"/>
            <c:forward val="2"/>
            <c:dispRSqr val="0"/>
            <c:dispEq val="0"/>
          </c:trendline>
          <c:cat>
            <c:numRef>
              <c:f>compute!$A$6:$A$10016</c:f>
              <c:numCache>
                <c:formatCode>d\-mmm</c:formatCode>
                <c:ptCount val="10011"/>
                <c:pt idx="0">
                  <c:v>43914</c:v>
                </c:pt>
                <c:pt idx="1">
                  <c:v>43915</c:v>
                </c:pt>
                <c:pt idx="2">
                  <c:v>43916</c:v>
                </c:pt>
                <c:pt idx="3">
                  <c:v>43917</c:v>
                </c:pt>
                <c:pt idx="4">
                  <c:v>43918</c:v>
                </c:pt>
                <c:pt idx="5">
                  <c:v>43919</c:v>
                </c:pt>
                <c:pt idx="6">
                  <c:v>43920</c:v>
                </c:pt>
                <c:pt idx="7">
                  <c:v>43921</c:v>
                </c:pt>
                <c:pt idx="8">
                  <c:v>43922</c:v>
                </c:pt>
                <c:pt idx="9">
                  <c:v>43923</c:v>
                </c:pt>
                <c:pt idx="10">
                  <c:v>43924</c:v>
                </c:pt>
                <c:pt idx="11">
                  <c:v>43925</c:v>
                </c:pt>
                <c:pt idx="12">
                  <c:v>43926</c:v>
                </c:pt>
                <c:pt idx="13">
                  <c:v>43927</c:v>
                </c:pt>
                <c:pt idx="14">
                  <c:v>43928</c:v>
                </c:pt>
                <c:pt idx="15">
                  <c:v>43929</c:v>
                </c:pt>
                <c:pt idx="16">
                  <c:v>43930</c:v>
                </c:pt>
                <c:pt idx="17">
                  <c:v>43931</c:v>
                </c:pt>
                <c:pt idx="18">
                  <c:v>43932</c:v>
                </c:pt>
                <c:pt idx="19">
                  <c:v>43933</c:v>
                </c:pt>
                <c:pt idx="20">
                  <c:v>43934</c:v>
                </c:pt>
                <c:pt idx="21">
                  <c:v>43935</c:v>
                </c:pt>
                <c:pt idx="22">
                  <c:v>43936</c:v>
                </c:pt>
                <c:pt idx="23">
                  <c:v>43937</c:v>
                </c:pt>
                <c:pt idx="24">
                  <c:v>43938</c:v>
                </c:pt>
                <c:pt idx="25">
                  <c:v>43939</c:v>
                </c:pt>
                <c:pt idx="26">
                  <c:v>43940</c:v>
                </c:pt>
                <c:pt idx="27">
                  <c:v>43941</c:v>
                </c:pt>
                <c:pt idx="28">
                  <c:v>43942</c:v>
                </c:pt>
              </c:numCache>
            </c:numRef>
          </c:cat>
          <c:val>
            <c:numRef>
              <c:f>compute!$D$6:$D$10016</c:f>
              <c:numCache>
                <c:formatCode>0.0%</c:formatCode>
                <c:ptCount val="10011"/>
                <c:pt idx="0">
                  <c:v>0.39393939393939392</c:v>
                </c:pt>
                <c:pt idx="1">
                  <c:v>0.36956521739130432</c:v>
                </c:pt>
                <c:pt idx="2">
                  <c:v>0.20634920634920634</c:v>
                </c:pt>
                <c:pt idx="3">
                  <c:v>0.18421052631578946</c:v>
                </c:pt>
                <c:pt idx="4">
                  <c:v>0.31111111111111112</c:v>
                </c:pt>
                <c:pt idx="5">
                  <c:v>0.3559322033898305</c:v>
                </c:pt>
                <c:pt idx="6">
                  <c:v>0.23125000000000001</c:v>
                </c:pt>
                <c:pt idx="7">
                  <c:v>0.20812182741116753</c:v>
                </c:pt>
                <c:pt idx="8">
                  <c:v>0.11764705882352941</c:v>
                </c:pt>
                <c:pt idx="9">
                  <c:v>0.10526315789473684</c:v>
                </c:pt>
                <c:pt idx="10">
                  <c:v>5.4421768707482991E-2</c:v>
                </c:pt>
                <c:pt idx="11">
                  <c:v>0.11935483870967742</c:v>
                </c:pt>
                <c:pt idx="12">
                  <c:v>5.1873198847262249E-2</c:v>
                </c:pt>
                <c:pt idx="13">
                  <c:v>8.4931506849315067E-2</c:v>
                </c:pt>
                <c:pt idx="14">
                  <c:v>8.0808080808080815E-2</c:v>
                </c:pt>
                <c:pt idx="15">
                  <c:v>6.0747663551401869E-2</c:v>
                </c:pt>
                <c:pt idx="16">
                  <c:v>3.0837004405286344E-2</c:v>
                </c:pt>
                <c:pt idx="17">
                  <c:v>5.3418803418803416E-2</c:v>
                </c:pt>
                <c:pt idx="18">
                  <c:v>5.4766734279918863E-2</c:v>
                </c:pt>
                <c:pt idx="19">
                  <c:v>2.8846153846153848E-2</c:v>
                </c:pt>
                <c:pt idx="20">
                  <c:v>4.8598130841121495E-2</c:v>
                </c:pt>
                <c:pt idx="21">
                  <c:v>1.2477718360071301E-2</c:v>
                </c:pt>
                <c:pt idx="22">
                  <c:v>2.6408450704225352E-2</c:v>
                </c:pt>
                <c:pt idx="23">
                  <c:v>6.8610634648370496E-3</c:v>
                </c:pt>
                <c:pt idx="24">
                  <c:v>3.4071550255536626E-2</c:v>
                </c:pt>
                <c:pt idx="25">
                  <c:v>1.3179571663920923E-2</c:v>
                </c:pt>
                <c:pt idx="26">
                  <c:v>3.4146341463414637E-2</c:v>
                </c:pt>
                <c:pt idx="27">
                  <c:v>7.8616352201257862E-3</c:v>
                </c:pt>
                <c:pt idx="28">
                  <c:v>1.5600624024960999E-2</c:v>
                </c:pt>
              </c:numCache>
            </c:numRef>
          </c:val>
          <c:smooth val="1"/>
          <c:extLst>
            <c:ext xmlns:c16="http://schemas.microsoft.com/office/drawing/2014/chart" uri="{C3380CC4-5D6E-409C-BE32-E72D297353CC}">
              <c16:uniqueId val="{00000001-7EB8-BD4C-8F32-27A8897D7134}"/>
            </c:ext>
          </c:extLst>
        </c:ser>
        <c:dLbls>
          <c:showLegendKey val="0"/>
          <c:showVal val="0"/>
          <c:showCatName val="0"/>
          <c:showSerName val="0"/>
          <c:showPercent val="0"/>
          <c:showBubbleSize val="0"/>
        </c:dLbls>
        <c:marker val="1"/>
        <c:smooth val="0"/>
        <c:axId val="1207535568"/>
        <c:axId val="1207600816"/>
      </c:lineChart>
      <c:dateAx>
        <c:axId val="1207535568"/>
        <c:scaling>
          <c:orientation val="minMax"/>
          <c:max val="43942"/>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600816"/>
        <c:crosses val="autoZero"/>
        <c:auto val="1"/>
        <c:lblOffset val="100"/>
        <c:baseTimeUnit val="days"/>
        <c:majorUnit val="7"/>
        <c:majorTimeUnit val="days"/>
      </c:dateAx>
      <c:valAx>
        <c:axId val="1207600816"/>
        <c:scaling>
          <c:orientation val="minMax"/>
          <c:max val="0.60000000000000009"/>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5355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243026825036692E-2"/>
          <c:y val="0.14237288135593221"/>
          <c:w val="0.87744641665554512"/>
          <c:h val="0.73616949152542377"/>
        </c:manualLayout>
      </c:layout>
      <c:lineChart>
        <c:grouping val="standard"/>
        <c:varyColors val="0"/>
        <c:ser>
          <c:idx val="3"/>
          <c:order val="0"/>
          <c:tx>
            <c:strRef>
              <c:f>compute!$E$4</c:f>
              <c:strCache>
                <c:ptCount val="1"/>
                <c:pt idx="0">
                  <c:v>doubling time (days)</c:v>
                </c:pt>
              </c:strCache>
            </c:strRef>
          </c:tx>
          <c:spPr>
            <a:ln w="76200" cap="rnd">
              <a:noFill/>
              <a:round/>
            </a:ln>
            <a:effectLst/>
          </c:spPr>
          <c:marker>
            <c:symbol val="circle"/>
            <c:size val="5"/>
            <c:spPr>
              <a:solidFill>
                <a:schemeClr val="accent4"/>
              </a:solidFill>
              <a:ln w="76200">
                <a:solidFill>
                  <a:schemeClr val="tx1"/>
                </a:solidFill>
              </a:ln>
              <a:effectLst/>
            </c:spPr>
          </c:marker>
          <c:trendline>
            <c:spPr>
              <a:ln w="76200" cap="rnd">
                <a:solidFill>
                  <a:schemeClr val="accent2"/>
                </a:solidFill>
                <a:prstDash val="sysDot"/>
              </a:ln>
              <a:effectLst/>
            </c:spPr>
            <c:trendlineType val="poly"/>
            <c:order val="3"/>
            <c:forward val="1"/>
            <c:dispRSqr val="0"/>
            <c:dispEq val="0"/>
          </c:trendline>
          <c:cat>
            <c:numRef>
              <c:f>compute!$A$6:$A$10016</c:f>
              <c:numCache>
                <c:formatCode>d\-mmm</c:formatCode>
                <c:ptCount val="10011"/>
                <c:pt idx="0">
                  <c:v>43914</c:v>
                </c:pt>
                <c:pt idx="1">
                  <c:v>43915</c:v>
                </c:pt>
                <c:pt idx="2">
                  <c:v>43916</c:v>
                </c:pt>
                <c:pt idx="3">
                  <c:v>43917</c:v>
                </c:pt>
                <c:pt idx="4">
                  <c:v>43918</c:v>
                </c:pt>
                <c:pt idx="5">
                  <c:v>43919</c:v>
                </c:pt>
                <c:pt idx="6">
                  <c:v>43920</c:v>
                </c:pt>
                <c:pt idx="7">
                  <c:v>43921</c:v>
                </c:pt>
                <c:pt idx="8">
                  <c:v>43922</c:v>
                </c:pt>
                <c:pt idx="9">
                  <c:v>43923</c:v>
                </c:pt>
                <c:pt idx="10">
                  <c:v>43924</c:v>
                </c:pt>
                <c:pt idx="11">
                  <c:v>43925</c:v>
                </c:pt>
                <c:pt idx="12">
                  <c:v>43926</c:v>
                </c:pt>
                <c:pt idx="13">
                  <c:v>43927</c:v>
                </c:pt>
                <c:pt idx="14">
                  <c:v>43928</c:v>
                </c:pt>
                <c:pt idx="15">
                  <c:v>43929</c:v>
                </c:pt>
                <c:pt idx="16">
                  <c:v>43930</c:v>
                </c:pt>
                <c:pt idx="17">
                  <c:v>43931</c:v>
                </c:pt>
                <c:pt idx="18">
                  <c:v>43932</c:v>
                </c:pt>
                <c:pt idx="19">
                  <c:v>43933</c:v>
                </c:pt>
                <c:pt idx="20">
                  <c:v>43934</c:v>
                </c:pt>
                <c:pt idx="21">
                  <c:v>43935</c:v>
                </c:pt>
                <c:pt idx="22">
                  <c:v>43936</c:v>
                </c:pt>
                <c:pt idx="23">
                  <c:v>43937</c:v>
                </c:pt>
                <c:pt idx="24">
                  <c:v>43938</c:v>
                </c:pt>
                <c:pt idx="25">
                  <c:v>43939</c:v>
                </c:pt>
                <c:pt idx="26">
                  <c:v>43940</c:v>
                </c:pt>
                <c:pt idx="27">
                  <c:v>43941</c:v>
                </c:pt>
                <c:pt idx="28">
                  <c:v>43942</c:v>
                </c:pt>
              </c:numCache>
            </c:numRef>
          </c:cat>
          <c:val>
            <c:numRef>
              <c:f>compute!$E$6:$E$10016</c:f>
              <c:numCache>
                <c:formatCode>0.0</c:formatCode>
                <c:ptCount val="10011"/>
                <c:pt idx="0">
                  <c:v>2.0869514258092652</c:v>
                </c:pt>
                <c:pt idx="1">
                  <c:v>2.2040123419309841</c:v>
                </c:pt>
                <c:pt idx="2">
                  <c:v>3.6948416950918879</c:v>
                </c:pt>
                <c:pt idx="3">
                  <c:v>4.0996109885980694</c:v>
                </c:pt>
                <c:pt idx="4">
                  <c:v>2.55891942011541</c:v>
                </c:pt>
                <c:pt idx="5">
                  <c:v>2.276426229815518</c:v>
                </c:pt>
                <c:pt idx="6">
                  <c:v>3.3319591826205279</c:v>
                </c:pt>
                <c:pt idx="7">
                  <c:v>3.6661468285944667</c:v>
                </c:pt>
                <c:pt idx="8">
                  <c:v>6.2319013047040608</c:v>
                </c:pt>
                <c:pt idx="9">
                  <c:v>6.9256917232261834</c:v>
                </c:pt>
                <c:pt idx="10">
                  <c:v>13.080092207751859</c:v>
                </c:pt>
                <c:pt idx="11">
                  <c:v>6.1475114816980732</c:v>
                </c:pt>
                <c:pt idx="12">
                  <c:v>13.705989842517504</c:v>
                </c:pt>
                <c:pt idx="13">
                  <c:v>8.5031145747675918</c:v>
                </c:pt>
                <c:pt idx="14">
                  <c:v>8.9197817544539646</c:v>
                </c:pt>
                <c:pt idx="15">
                  <c:v>11.753436288055184</c:v>
                </c:pt>
                <c:pt idx="16">
                  <c:v>22.822592169144759</c:v>
                </c:pt>
                <c:pt idx="17">
                  <c:v>13.319282947041303</c:v>
                </c:pt>
                <c:pt idx="18">
                  <c:v>12.999847947836686</c:v>
                </c:pt>
                <c:pt idx="19">
                  <c:v>24.37403323227419</c:v>
                </c:pt>
                <c:pt idx="20">
                  <c:v>14.606668848830834</c:v>
                </c:pt>
                <c:pt idx="21">
                  <c:v>55.896652780975636</c:v>
                </c:pt>
                <c:pt idx="22">
                  <c:v>26.592241226753817</c:v>
                </c:pt>
                <c:pt idx="23">
                  <c:v>101.37238020000403</c:v>
                </c:pt>
                <c:pt idx="24">
                  <c:v>20.688508110653103</c:v>
                </c:pt>
                <c:pt idx="25">
                  <c:v>52.938359608552602</c:v>
                </c:pt>
                <c:pt idx="26">
                  <c:v>20.643944471665133</c:v>
                </c:pt>
                <c:pt idx="27">
                  <c:v>88.514442627817402</c:v>
                </c:pt>
                <c:pt idx="28">
                  <c:v>44.776413697177858</c:v>
                </c:pt>
              </c:numCache>
            </c:numRef>
          </c:val>
          <c:smooth val="1"/>
          <c:extLst>
            <c:ext xmlns:c16="http://schemas.microsoft.com/office/drawing/2014/chart" uri="{C3380CC4-5D6E-409C-BE32-E72D297353CC}">
              <c16:uniqueId val="{00000002-9436-104A-9C5A-DC29C2122DA2}"/>
            </c:ext>
          </c:extLst>
        </c:ser>
        <c:dLbls>
          <c:showLegendKey val="0"/>
          <c:showVal val="0"/>
          <c:showCatName val="0"/>
          <c:showSerName val="0"/>
          <c:showPercent val="0"/>
          <c:showBubbleSize val="0"/>
        </c:dLbls>
        <c:marker val="1"/>
        <c:smooth val="0"/>
        <c:axId val="1207535568"/>
        <c:axId val="1207600816"/>
      </c:lineChart>
      <c:dateAx>
        <c:axId val="12075355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600816"/>
        <c:crosses val="autoZero"/>
        <c:auto val="1"/>
        <c:lblOffset val="100"/>
        <c:baseTimeUnit val="days"/>
        <c:majorUnit val="11"/>
        <c:majorTimeUnit val="days"/>
      </c:dateAx>
      <c:valAx>
        <c:axId val="1207600816"/>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5355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653983718136928"/>
          <c:y val="0.14576271186440679"/>
          <c:w val="0.80642946750300282"/>
          <c:h val="0.73264406779661018"/>
        </c:manualLayout>
      </c:layout>
      <c:areaChart>
        <c:grouping val="stacked"/>
        <c:varyColors val="0"/>
        <c:ser>
          <c:idx val="3"/>
          <c:order val="0"/>
          <c:tx>
            <c:strRef>
              <c:f>compute!$G$4</c:f>
              <c:strCache>
                <c:ptCount val="1"/>
                <c:pt idx="0">
                  <c:v>infection count, low end of estimate range</c:v>
                </c:pt>
              </c:strCache>
            </c:strRef>
          </c:tx>
          <c:spPr>
            <a:noFill/>
            <a:ln>
              <a:noFill/>
            </a:ln>
            <a:effectLst/>
          </c:spPr>
          <c:cat>
            <c:numRef>
              <c:f>compute!$A$5:$A$10016</c:f>
              <c:numCache>
                <c:formatCode>d\-mmm</c:formatCode>
                <c:ptCount val="10012"/>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pt idx="26">
                  <c:v>43939</c:v>
                </c:pt>
                <c:pt idx="27">
                  <c:v>43940</c:v>
                </c:pt>
                <c:pt idx="28">
                  <c:v>43941</c:v>
                </c:pt>
                <c:pt idx="29">
                  <c:v>43942</c:v>
                </c:pt>
              </c:numCache>
            </c:numRef>
          </c:cat>
          <c:val>
            <c:numRef>
              <c:f>compute!$G$5:$G$10016</c:f>
              <c:numCache>
                <c:formatCode>#,##0</c:formatCode>
                <c:ptCount val="10012"/>
                <c:pt idx="0">
                  <c:v>126.92307692307692</c:v>
                </c:pt>
                <c:pt idx="1">
                  <c:v>176.92307692307693</c:v>
                </c:pt>
                <c:pt idx="2">
                  <c:v>242.30769230769232</c:v>
                </c:pt>
                <c:pt idx="3">
                  <c:v>292.30769230769232</c:v>
                </c:pt>
                <c:pt idx="4">
                  <c:v>346.15384615384613</c:v>
                </c:pt>
                <c:pt idx="5">
                  <c:v>453.84615384615387</c:v>
                </c:pt>
                <c:pt idx="6">
                  <c:v>615.38461538461536</c:v>
                </c:pt>
                <c:pt idx="7">
                  <c:v>757.69230769230774</c:v>
                </c:pt>
                <c:pt idx="8">
                  <c:v>915.38461538461536</c:v>
                </c:pt>
                <c:pt idx="9">
                  <c:v>1023.0769230769231</c:v>
                </c:pt>
                <c:pt idx="10">
                  <c:v>1130.7692307692307</c:v>
                </c:pt>
                <c:pt idx="11">
                  <c:v>1192.3076923076924</c:v>
                </c:pt>
                <c:pt idx="12">
                  <c:v>1334.6153846153845</c:v>
                </c:pt>
                <c:pt idx="13">
                  <c:v>1403.8461538461538</c:v>
                </c:pt>
                <c:pt idx="14">
                  <c:v>1523.0769230769231</c:v>
                </c:pt>
                <c:pt idx="15">
                  <c:v>1646.1538461538462</c:v>
                </c:pt>
                <c:pt idx="16">
                  <c:v>1746.1538461538462</c:v>
                </c:pt>
                <c:pt idx="17">
                  <c:v>1800</c:v>
                </c:pt>
                <c:pt idx="18">
                  <c:v>1896.1538461538462</c:v>
                </c:pt>
                <c:pt idx="19">
                  <c:v>2000</c:v>
                </c:pt>
                <c:pt idx="20">
                  <c:v>2057.6923076923076</c:v>
                </c:pt>
                <c:pt idx="21">
                  <c:v>2157.6923076923076</c:v>
                </c:pt>
                <c:pt idx="22">
                  <c:v>2184.6153846153848</c:v>
                </c:pt>
                <c:pt idx="23">
                  <c:v>2242.3076923076924</c:v>
                </c:pt>
                <c:pt idx="24">
                  <c:v>2257.6923076923076</c:v>
                </c:pt>
                <c:pt idx="25">
                  <c:v>2334.6153846153848</c:v>
                </c:pt>
                <c:pt idx="26">
                  <c:v>2365.3846153846152</c:v>
                </c:pt>
                <c:pt idx="27">
                  <c:v>2446.1538461538462</c:v>
                </c:pt>
                <c:pt idx="28">
                  <c:v>2465.3846153846152</c:v>
                </c:pt>
                <c:pt idx="29">
                  <c:v>2503.8461538461538</c:v>
                </c:pt>
              </c:numCache>
            </c:numRef>
          </c:val>
          <c:extLst>
            <c:ext xmlns:c16="http://schemas.microsoft.com/office/drawing/2014/chart" uri="{C3380CC4-5D6E-409C-BE32-E72D297353CC}">
              <c16:uniqueId val="{00000000-748D-CB43-A627-A86316C7767B}"/>
            </c:ext>
          </c:extLst>
        </c:ser>
        <c:ser>
          <c:idx val="1"/>
          <c:order val="1"/>
          <c:tx>
            <c:strRef>
              <c:f>compute!$I$4</c:f>
              <c:strCache>
                <c:ptCount val="1"/>
                <c:pt idx="0">
                  <c:v>infection count difference</c:v>
                </c:pt>
              </c:strCache>
            </c:strRef>
          </c:tx>
          <c:spPr>
            <a:solidFill>
              <a:schemeClr val="bg2"/>
            </a:solidFill>
            <a:ln>
              <a:noFill/>
            </a:ln>
            <a:effectLst/>
          </c:spPr>
          <c:cat>
            <c:numRef>
              <c:f>compute!$A$5:$A$10016</c:f>
              <c:numCache>
                <c:formatCode>d\-mmm</c:formatCode>
                <c:ptCount val="10012"/>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pt idx="26">
                  <c:v>43939</c:v>
                </c:pt>
                <c:pt idx="27">
                  <c:v>43940</c:v>
                </c:pt>
                <c:pt idx="28">
                  <c:v>43941</c:v>
                </c:pt>
                <c:pt idx="29">
                  <c:v>43942</c:v>
                </c:pt>
              </c:numCache>
            </c:numRef>
          </c:cat>
          <c:val>
            <c:numRef>
              <c:f>compute!$I$5:$I$10016</c:f>
              <c:numCache>
                <c:formatCode>#,##0</c:formatCode>
                <c:ptCount val="10012"/>
                <c:pt idx="0">
                  <c:v>173.07692307692309</c:v>
                </c:pt>
                <c:pt idx="1">
                  <c:v>241.25874125874125</c:v>
                </c:pt>
                <c:pt idx="2">
                  <c:v>330.41958041958043</c:v>
                </c:pt>
                <c:pt idx="3">
                  <c:v>398.60139860139856</c:v>
                </c:pt>
                <c:pt idx="4">
                  <c:v>472.027972027972</c:v>
                </c:pt>
                <c:pt idx="5">
                  <c:v>618.88111888111894</c:v>
                </c:pt>
                <c:pt idx="6">
                  <c:v>839.16083916083915</c:v>
                </c:pt>
                <c:pt idx="7">
                  <c:v>1033.2167832167834</c:v>
                </c:pt>
                <c:pt idx="8">
                  <c:v>1248.2517482517483</c:v>
                </c:pt>
                <c:pt idx="9">
                  <c:v>1395.1048951048949</c:v>
                </c:pt>
                <c:pt idx="10">
                  <c:v>1541.9580419580418</c:v>
                </c:pt>
                <c:pt idx="11">
                  <c:v>1625.8741258741256</c:v>
                </c:pt>
                <c:pt idx="12">
                  <c:v>1819.93006993007</c:v>
                </c:pt>
                <c:pt idx="13">
                  <c:v>1914.3356643356642</c:v>
                </c:pt>
                <c:pt idx="14">
                  <c:v>2076.9230769230771</c:v>
                </c:pt>
                <c:pt idx="15">
                  <c:v>2244.7552447552448</c:v>
                </c:pt>
                <c:pt idx="16">
                  <c:v>2381.1188811188808</c:v>
                </c:pt>
                <c:pt idx="17">
                  <c:v>2454.545454545455</c:v>
                </c:pt>
                <c:pt idx="18">
                  <c:v>2585.6643356643358</c:v>
                </c:pt>
                <c:pt idx="19">
                  <c:v>2727.272727272727</c:v>
                </c:pt>
                <c:pt idx="20">
                  <c:v>2805.9440559440563</c:v>
                </c:pt>
                <c:pt idx="21">
                  <c:v>2942.3076923076924</c:v>
                </c:pt>
                <c:pt idx="22">
                  <c:v>2979.0209790209792</c:v>
                </c:pt>
                <c:pt idx="23">
                  <c:v>3057.6923076923076</c:v>
                </c:pt>
                <c:pt idx="24">
                  <c:v>3078.6713286713284</c:v>
                </c:pt>
                <c:pt idx="25">
                  <c:v>3183.5664335664333</c:v>
                </c:pt>
                <c:pt idx="26">
                  <c:v>3225.5244755244757</c:v>
                </c:pt>
                <c:pt idx="27">
                  <c:v>3335.6643356643358</c:v>
                </c:pt>
                <c:pt idx="28">
                  <c:v>3361.8881118881118</c:v>
                </c:pt>
                <c:pt idx="29">
                  <c:v>3414.3356643356642</c:v>
                </c:pt>
              </c:numCache>
            </c:numRef>
          </c:val>
          <c:extLst>
            <c:ext xmlns:c16="http://schemas.microsoft.com/office/drawing/2014/chart" uri="{C3380CC4-5D6E-409C-BE32-E72D297353CC}">
              <c16:uniqueId val="{00000001-748D-CB43-A627-A86316C7767B}"/>
            </c:ext>
          </c:extLst>
        </c:ser>
        <c:dLbls>
          <c:showLegendKey val="0"/>
          <c:showVal val="0"/>
          <c:showCatName val="0"/>
          <c:showSerName val="0"/>
          <c:showPercent val="0"/>
          <c:showBubbleSize val="0"/>
        </c:dLbls>
        <c:axId val="1207535568"/>
        <c:axId val="1207600816"/>
      </c:areaChart>
      <c:lineChart>
        <c:grouping val="standard"/>
        <c:varyColors val="0"/>
        <c:ser>
          <c:idx val="4"/>
          <c:order val="2"/>
          <c:tx>
            <c:strRef>
              <c:f>compute!$F$4</c:f>
              <c:strCache>
                <c:ptCount val="1"/>
                <c:pt idx="0">
                  <c:v>estimated infections</c:v>
                </c:pt>
              </c:strCache>
            </c:strRef>
          </c:tx>
          <c:spPr>
            <a:ln w="76200" cap="rnd">
              <a:solidFill>
                <a:schemeClr val="accent5"/>
              </a:solidFill>
              <a:prstDash val="sysDot"/>
              <a:round/>
            </a:ln>
            <a:effectLst/>
          </c:spPr>
          <c:marker>
            <c:symbol val="circle"/>
            <c:size val="5"/>
            <c:spPr>
              <a:noFill/>
              <a:ln w="38100">
                <a:noFill/>
              </a:ln>
              <a:effectLst/>
            </c:spPr>
          </c:marker>
          <c:dPt>
            <c:idx val="20"/>
            <c:marker>
              <c:symbol val="circle"/>
              <c:size val="5"/>
              <c:spPr>
                <a:noFill/>
                <a:ln w="38100">
                  <a:noFill/>
                </a:ln>
                <a:effectLst/>
              </c:spPr>
            </c:marker>
            <c:bubble3D val="0"/>
            <c:extLst>
              <c:ext xmlns:c16="http://schemas.microsoft.com/office/drawing/2014/chart" uri="{C3380CC4-5D6E-409C-BE32-E72D297353CC}">
                <c16:uniqueId val="{00000001-6994-6B4B-A914-AAF3E5C2C4D7}"/>
              </c:ext>
            </c:extLst>
          </c:dPt>
          <c:cat>
            <c:numRef>
              <c:f>compute!$A$5:$A$10016</c:f>
              <c:numCache>
                <c:formatCode>d\-mmm</c:formatCode>
                <c:ptCount val="10012"/>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pt idx="26">
                  <c:v>43939</c:v>
                </c:pt>
                <c:pt idx="27">
                  <c:v>43940</c:v>
                </c:pt>
                <c:pt idx="28">
                  <c:v>43941</c:v>
                </c:pt>
                <c:pt idx="29">
                  <c:v>43942</c:v>
                </c:pt>
              </c:numCache>
            </c:numRef>
          </c:cat>
          <c:val>
            <c:numRef>
              <c:f>compute!$F$5:$F$10016</c:f>
              <c:numCache>
                <c:formatCode>#,##0</c:formatCode>
                <c:ptCount val="10012"/>
                <c:pt idx="0">
                  <c:v>275</c:v>
                </c:pt>
                <c:pt idx="1">
                  <c:v>383.33333333333331</c:v>
                </c:pt>
                <c:pt idx="2">
                  <c:v>525</c:v>
                </c:pt>
                <c:pt idx="3">
                  <c:v>633.33333333333337</c:v>
                </c:pt>
                <c:pt idx="4">
                  <c:v>750</c:v>
                </c:pt>
                <c:pt idx="5">
                  <c:v>983.33333333333337</c:v>
                </c:pt>
                <c:pt idx="6">
                  <c:v>1333.3333333333333</c:v>
                </c:pt>
                <c:pt idx="7">
                  <c:v>1641.6666666666667</c:v>
                </c:pt>
                <c:pt idx="8">
                  <c:v>1983.3333333333333</c:v>
                </c:pt>
                <c:pt idx="9">
                  <c:v>2216.6666666666665</c:v>
                </c:pt>
                <c:pt idx="10">
                  <c:v>2450</c:v>
                </c:pt>
                <c:pt idx="11">
                  <c:v>2583.3333333333335</c:v>
                </c:pt>
                <c:pt idx="12">
                  <c:v>2891.6666666666665</c:v>
                </c:pt>
                <c:pt idx="13">
                  <c:v>3041.6666666666665</c:v>
                </c:pt>
                <c:pt idx="14">
                  <c:v>3300</c:v>
                </c:pt>
                <c:pt idx="15">
                  <c:v>3566.6666666666665</c:v>
                </c:pt>
                <c:pt idx="16">
                  <c:v>3783.3333333333335</c:v>
                </c:pt>
                <c:pt idx="17">
                  <c:v>3900</c:v>
                </c:pt>
                <c:pt idx="18">
                  <c:v>4108.333333333333</c:v>
                </c:pt>
                <c:pt idx="19">
                  <c:v>4333.333333333333</c:v>
                </c:pt>
                <c:pt idx="20">
                  <c:v>4458.333333333333</c:v>
                </c:pt>
                <c:pt idx="21">
                  <c:v>4675</c:v>
                </c:pt>
                <c:pt idx="22">
                  <c:v>4733.333333333333</c:v>
                </c:pt>
                <c:pt idx="23">
                  <c:v>4858.333333333333</c:v>
                </c:pt>
                <c:pt idx="24">
                  <c:v>4891.666666666667</c:v>
                </c:pt>
                <c:pt idx="25">
                  <c:v>5058.333333333333</c:v>
                </c:pt>
                <c:pt idx="26">
                  <c:v>5125</c:v>
                </c:pt>
                <c:pt idx="27">
                  <c:v>5300</c:v>
                </c:pt>
                <c:pt idx="28">
                  <c:v>5341.666666666667</c:v>
                </c:pt>
                <c:pt idx="29">
                  <c:v>5425</c:v>
                </c:pt>
              </c:numCache>
            </c:numRef>
          </c:val>
          <c:smooth val="0"/>
          <c:extLst>
            <c:ext xmlns:c16="http://schemas.microsoft.com/office/drawing/2014/chart" uri="{C3380CC4-5D6E-409C-BE32-E72D297353CC}">
              <c16:uniqueId val="{00000002-748D-CB43-A627-A86316C7767B}"/>
            </c:ext>
          </c:extLst>
        </c:ser>
        <c:dLbls>
          <c:showLegendKey val="0"/>
          <c:showVal val="0"/>
          <c:showCatName val="0"/>
          <c:showSerName val="0"/>
          <c:showPercent val="0"/>
          <c:showBubbleSize val="0"/>
        </c:dLbls>
        <c:marker val="1"/>
        <c:smooth val="0"/>
        <c:axId val="1207535568"/>
        <c:axId val="1207600816"/>
      </c:lineChart>
      <c:dateAx>
        <c:axId val="12075355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600816"/>
        <c:crosses val="autoZero"/>
        <c:auto val="1"/>
        <c:lblOffset val="100"/>
        <c:baseTimeUnit val="days"/>
        <c:majorUnit val="7"/>
        <c:majorTimeUnit val="days"/>
      </c:dateAx>
      <c:valAx>
        <c:axId val="12076008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5355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029947951421328"/>
          <c:y val="0.14745762711864407"/>
          <c:w val="0.81388495929534233"/>
          <c:h val="0.73955932203389829"/>
        </c:manualLayout>
      </c:layout>
      <c:barChart>
        <c:barDir val="col"/>
        <c:grouping val="stacked"/>
        <c:varyColors val="0"/>
        <c:ser>
          <c:idx val="1"/>
          <c:order val="2"/>
          <c:tx>
            <c:v>green</c:v>
          </c:tx>
          <c:spPr>
            <a:noFill/>
            <a:ln>
              <a:noFill/>
            </a:ln>
            <a:effectLst/>
          </c:spPr>
          <c:invertIfNegative val="0"/>
          <c:cat>
            <c:numRef>
              <c:f>'Case Percentage'!$K$3:$K$396</c:f>
              <c:numCache>
                <c:formatCode>m/d/yy</c:formatCode>
                <c:ptCount val="394"/>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pt idx="26">
                  <c:v>43939</c:v>
                </c:pt>
                <c:pt idx="27">
                  <c:v>43940</c:v>
                </c:pt>
                <c:pt idx="28">
                  <c:v>43941</c:v>
                </c:pt>
                <c:pt idx="29">
                  <c:v>43942</c:v>
                </c:pt>
                <c:pt idx="30">
                  <c:v>43943</c:v>
                </c:pt>
                <c:pt idx="31">
                  <c:v>43944</c:v>
                </c:pt>
                <c:pt idx="32">
                  <c:v>43945</c:v>
                </c:pt>
                <c:pt idx="33">
                  <c:v>43946</c:v>
                </c:pt>
                <c:pt idx="34">
                  <c:v>43947</c:v>
                </c:pt>
                <c:pt idx="35">
                  <c:v>43948</c:v>
                </c:pt>
                <c:pt idx="36">
                  <c:v>43949</c:v>
                </c:pt>
                <c:pt idx="37">
                  <c:v>43950</c:v>
                </c:pt>
                <c:pt idx="38">
                  <c:v>43951</c:v>
                </c:pt>
                <c:pt idx="39">
                  <c:v>43952</c:v>
                </c:pt>
                <c:pt idx="40">
                  <c:v>43953</c:v>
                </c:pt>
                <c:pt idx="41">
                  <c:v>43954</c:v>
                </c:pt>
                <c:pt idx="42">
                  <c:v>43955</c:v>
                </c:pt>
                <c:pt idx="43">
                  <c:v>43956</c:v>
                </c:pt>
                <c:pt idx="44">
                  <c:v>43957</c:v>
                </c:pt>
                <c:pt idx="45">
                  <c:v>43958</c:v>
                </c:pt>
                <c:pt idx="46">
                  <c:v>43959</c:v>
                </c:pt>
                <c:pt idx="47">
                  <c:v>43960</c:v>
                </c:pt>
                <c:pt idx="48">
                  <c:v>43961</c:v>
                </c:pt>
                <c:pt idx="49">
                  <c:v>43962</c:v>
                </c:pt>
                <c:pt idx="50">
                  <c:v>43963</c:v>
                </c:pt>
                <c:pt idx="51">
                  <c:v>43964</c:v>
                </c:pt>
                <c:pt idx="52">
                  <c:v>43965</c:v>
                </c:pt>
                <c:pt idx="53">
                  <c:v>43966</c:v>
                </c:pt>
                <c:pt idx="54">
                  <c:v>43967</c:v>
                </c:pt>
                <c:pt idx="55">
                  <c:v>43968</c:v>
                </c:pt>
                <c:pt idx="56">
                  <c:v>43969</c:v>
                </c:pt>
                <c:pt idx="57">
                  <c:v>43970</c:v>
                </c:pt>
                <c:pt idx="58">
                  <c:v>43971</c:v>
                </c:pt>
                <c:pt idx="59">
                  <c:v>43972</c:v>
                </c:pt>
                <c:pt idx="60">
                  <c:v>43973</c:v>
                </c:pt>
                <c:pt idx="61">
                  <c:v>43974</c:v>
                </c:pt>
                <c:pt idx="62">
                  <c:v>43975</c:v>
                </c:pt>
                <c:pt idx="63">
                  <c:v>43976</c:v>
                </c:pt>
                <c:pt idx="64">
                  <c:v>43977</c:v>
                </c:pt>
                <c:pt idx="65">
                  <c:v>43978</c:v>
                </c:pt>
                <c:pt idx="66">
                  <c:v>43979</c:v>
                </c:pt>
                <c:pt idx="67">
                  <c:v>43980</c:v>
                </c:pt>
                <c:pt idx="68">
                  <c:v>43981</c:v>
                </c:pt>
                <c:pt idx="69">
                  <c:v>43982</c:v>
                </c:pt>
                <c:pt idx="70">
                  <c:v>43983</c:v>
                </c:pt>
                <c:pt idx="71">
                  <c:v>43984</c:v>
                </c:pt>
                <c:pt idx="72">
                  <c:v>43985</c:v>
                </c:pt>
                <c:pt idx="73">
                  <c:v>43986</c:v>
                </c:pt>
                <c:pt idx="74">
                  <c:v>43987</c:v>
                </c:pt>
                <c:pt idx="75">
                  <c:v>43988</c:v>
                </c:pt>
                <c:pt idx="76">
                  <c:v>43989</c:v>
                </c:pt>
                <c:pt idx="77">
                  <c:v>43990</c:v>
                </c:pt>
                <c:pt idx="78">
                  <c:v>43991</c:v>
                </c:pt>
                <c:pt idx="79">
                  <c:v>43992</c:v>
                </c:pt>
                <c:pt idx="80">
                  <c:v>43993</c:v>
                </c:pt>
                <c:pt idx="81">
                  <c:v>43994</c:v>
                </c:pt>
                <c:pt idx="82">
                  <c:v>43995</c:v>
                </c:pt>
                <c:pt idx="83">
                  <c:v>43996</c:v>
                </c:pt>
                <c:pt idx="84">
                  <c:v>43997</c:v>
                </c:pt>
                <c:pt idx="85">
                  <c:v>43998</c:v>
                </c:pt>
                <c:pt idx="86">
                  <c:v>43999</c:v>
                </c:pt>
                <c:pt idx="87">
                  <c:v>44000</c:v>
                </c:pt>
                <c:pt idx="88">
                  <c:v>44001</c:v>
                </c:pt>
                <c:pt idx="89">
                  <c:v>44002</c:v>
                </c:pt>
                <c:pt idx="90">
                  <c:v>44003</c:v>
                </c:pt>
                <c:pt idx="91">
                  <c:v>44004</c:v>
                </c:pt>
                <c:pt idx="92">
                  <c:v>44005</c:v>
                </c:pt>
                <c:pt idx="93">
                  <c:v>44006</c:v>
                </c:pt>
                <c:pt idx="94">
                  <c:v>44007</c:v>
                </c:pt>
                <c:pt idx="95">
                  <c:v>44008</c:v>
                </c:pt>
                <c:pt idx="96">
                  <c:v>44009</c:v>
                </c:pt>
                <c:pt idx="97">
                  <c:v>44010</c:v>
                </c:pt>
                <c:pt idx="98">
                  <c:v>44011</c:v>
                </c:pt>
                <c:pt idx="99">
                  <c:v>44012</c:v>
                </c:pt>
                <c:pt idx="100">
                  <c:v>44013</c:v>
                </c:pt>
                <c:pt idx="101">
                  <c:v>44014</c:v>
                </c:pt>
                <c:pt idx="102">
                  <c:v>44015</c:v>
                </c:pt>
                <c:pt idx="103">
                  <c:v>44016</c:v>
                </c:pt>
                <c:pt idx="104">
                  <c:v>44017</c:v>
                </c:pt>
                <c:pt idx="105">
                  <c:v>44018</c:v>
                </c:pt>
                <c:pt idx="106">
                  <c:v>44019</c:v>
                </c:pt>
                <c:pt idx="107">
                  <c:v>44020</c:v>
                </c:pt>
                <c:pt idx="108">
                  <c:v>44021</c:v>
                </c:pt>
                <c:pt idx="109">
                  <c:v>44022</c:v>
                </c:pt>
                <c:pt idx="110">
                  <c:v>44023</c:v>
                </c:pt>
                <c:pt idx="111">
                  <c:v>44024</c:v>
                </c:pt>
                <c:pt idx="112">
                  <c:v>44025</c:v>
                </c:pt>
                <c:pt idx="113">
                  <c:v>44026</c:v>
                </c:pt>
                <c:pt idx="114">
                  <c:v>44027</c:v>
                </c:pt>
                <c:pt idx="115">
                  <c:v>44028</c:v>
                </c:pt>
                <c:pt idx="116">
                  <c:v>44029</c:v>
                </c:pt>
                <c:pt idx="117">
                  <c:v>44030</c:v>
                </c:pt>
                <c:pt idx="118">
                  <c:v>44031</c:v>
                </c:pt>
                <c:pt idx="119">
                  <c:v>44032</c:v>
                </c:pt>
                <c:pt idx="120">
                  <c:v>44033</c:v>
                </c:pt>
                <c:pt idx="121">
                  <c:v>44034</c:v>
                </c:pt>
                <c:pt idx="122">
                  <c:v>44035</c:v>
                </c:pt>
                <c:pt idx="123">
                  <c:v>44036</c:v>
                </c:pt>
                <c:pt idx="124">
                  <c:v>44037</c:v>
                </c:pt>
                <c:pt idx="125">
                  <c:v>44038</c:v>
                </c:pt>
                <c:pt idx="126">
                  <c:v>44039</c:v>
                </c:pt>
                <c:pt idx="127">
                  <c:v>44040</c:v>
                </c:pt>
                <c:pt idx="128">
                  <c:v>44041</c:v>
                </c:pt>
                <c:pt idx="129">
                  <c:v>44042</c:v>
                </c:pt>
                <c:pt idx="130">
                  <c:v>44043</c:v>
                </c:pt>
                <c:pt idx="131">
                  <c:v>44044</c:v>
                </c:pt>
                <c:pt idx="132">
                  <c:v>44045</c:v>
                </c:pt>
                <c:pt idx="133">
                  <c:v>44046</c:v>
                </c:pt>
                <c:pt idx="134">
                  <c:v>44047</c:v>
                </c:pt>
                <c:pt idx="135">
                  <c:v>44048</c:v>
                </c:pt>
                <c:pt idx="136">
                  <c:v>44049</c:v>
                </c:pt>
                <c:pt idx="137">
                  <c:v>44050</c:v>
                </c:pt>
                <c:pt idx="138">
                  <c:v>44051</c:v>
                </c:pt>
                <c:pt idx="139">
                  <c:v>44052</c:v>
                </c:pt>
                <c:pt idx="140">
                  <c:v>44053</c:v>
                </c:pt>
                <c:pt idx="141">
                  <c:v>44054</c:v>
                </c:pt>
                <c:pt idx="142">
                  <c:v>44055</c:v>
                </c:pt>
                <c:pt idx="143">
                  <c:v>44056</c:v>
                </c:pt>
                <c:pt idx="144">
                  <c:v>44057</c:v>
                </c:pt>
                <c:pt idx="145">
                  <c:v>44058</c:v>
                </c:pt>
                <c:pt idx="146">
                  <c:v>44059</c:v>
                </c:pt>
                <c:pt idx="147">
                  <c:v>44060</c:v>
                </c:pt>
                <c:pt idx="148">
                  <c:v>44061</c:v>
                </c:pt>
                <c:pt idx="149">
                  <c:v>44062</c:v>
                </c:pt>
                <c:pt idx="150">
                  <c:v>44063</c:v>
                </c:pt>
                <c:pt idx="151">
                  <c:v>44064</c:v>
                </c:pt>
                <c:pt idx="152">
                  <c:v>44065</c:v>
                </c:pt>
                <c:pt idx="153">
                  <c:v>44066</c:v>
                </c:pt>
                <c:pt idx="154">
                  <c:v>44067</c:v>
                </c:pt>
                <c:pt idx="155">
                  <c:v>44068</c:v>
                </c:pt>
                <c:pt idx="156">
                  <c:v>44069</c:v>
                </c:pt>
                <c:pt idx="157">
                  <c:v>44070</c:v>
                </c:pt>
                <c:pt idx="158">
                  <c:v>44071</c:v>
                </c:pt>
                <c:pt idx="159">
                  <c:v>44072</c:v>
                </c:pt>
                <c:pt idx="160">
                  <c:v>44073</c:v>
                </c:pt>
                <c:pt idx="161">
                  <c:v>44074</c:v>
                </c:pt>
                <c:pt idx="162">
                  <c:v>44075</c:v>
                </c:pt>
                <c:pt idx="163">
                  <c:v>44076</c:v>
                </c:pt>
                <c:pt idx="164">
                  <c:v>44077</c:v>
                </c:pt>
                <c:pt idx="165">
                  <c:v>44078</c:v>
                </c:pt>
                <c:pt idx="166">
                  <c:v>44079</c:v>
                </c:pt>
                <c:pt idx="167">
                  <c:v>44080</c:v>
                </c:pt>
                <c:pt idx="168">
                  <c:v>44081</c:v>
                </c:pt>
                <c:pt idx="169">
                  <c:v>44082</c:v>
                </c:pt>
                <c:pt idx="170">
                  <c:v>44083</c:v>
                </c:pt>
                <c:pt idx="171">
                  <c:v>44084</c:v>
                </c:pt>
                <c:pt idx="172">
                  <c:v>44085</c:v>
                </c:pt>
                <c:pt idx="173">
                  <c:v>44086</c:v>
                </c:pt>
                <c:pt idx="174">
                  <c:v>44087</c:v>
                </c:pt>
                <c:pt idx="175">
                  <c:v>44088</c:v>
                </c:pt>
                <c:pt idx="176">
                  <c:v>44089</c:v>
                </c:pt>
                <c:pt idx="177">
                  <c:v>44090</c:v>
                </c:pt>
                <c:pt idx="178">
                  <c:v>44091</c:v>
                </c:pt>
                <c:pt idx="179">
                  <c:v>44092</c:v>
                </c:pt>
                <c:pt idx="180">
                  <c:v>44093</c:v>
                </c:pt>
                <c:pt idx="181">
                  <c:v>44094</c:v>
                </c:pt>
                <c:pt idx="182">
                  <c:v>44095</c:v>
                </c:pt>
                <c:pt idx="183">
                  <c:v>44096</c:v>
                </c:pt>
                <c:pt idx="184">
                  <c:v>44097</c:v>
                </c:pt>
                <c:pt idx="185">
                  <c:v>44098</c:v>
                </c:pt>
                <c:pt idx="186">
                  <c:v>44099</c:v>
                </c:pt>
                <c:pt idx="187">
                  <c:v>44100</c:v>
                </c:pt>
                <c:pt idx="188">
                  <c:v>44101</c:v>
                </c:pt>
                <c:pt idx="189">
                  <c:v>44102</c:v>
                </c:pt>
                <c:pt idx="190">
                  <c:v>44103</c:v>
                </c:pt>
                <c:pt idx="191">
                  <c:v>44104</c:v>
                </c:pt>
                <c:pt idx="192">
                  <c:v>44105</c:v>
                </c:pt>
                <c:pt idx="193">
                  <c:v>44106</c:v>
                </c:pt>
                <c:pt idx="194">
                  <c:v>44107</c:v>
                </c:pt>
                <c:pt idx="195">
                  <c:v>44108</c:v>
                </c:pt>
                <c:pt idx="196">
                  <c:v>44109</c:v>
                </c:pt>
                <c:pt idx="197">
                  <c:v>44110</c:v>
                </c:pt>
                <c:pt idx="198">
                  <c:v>44111</c:v>
                </c:pt>
                <c:pt idx="199">
                  <c:v>44112</c:v>
                </c:pt>
                <c:pt idx="200">
                  <c:v>44113</c:v>
                </c:pt>
                <c:pt idx="201">
                  <c:v>44114</c:v>
                </c:pt>
                <c:pt idx="202">
                  <c:v>44115</c:v>
                </c:pt>
                <c:pt idx="203">
                  <c:v>44116</c:v>
                </c:pt>
                <c:pt idx="204">
                  <c:v>44117</c:v>
                </c:pt>
                <c:pt idx="205">
                  <c:v>44118</c:v>
                </c:pt>
                <c:pt idx="206">
                  <c:v>44119</c:v>
                </c:pt>
                <c:pt idx="207">
                  <c:v>44120</c:v>
                </c:pt>
                <c:pt idx="208">
                  <c:v>44121</c:v>
                </c:pt>
                <c:pt idx="209">
                  <c:v>44122</c:v>
                </c:pt>
                <c:pt idx="210">
                  <c:v>44123</c:v>
                </c:pt>
                <c:pt idx="211">
                  <c:v>44124</c:v>
                </c:pt>
                <c:pt idx="212">
                  <c:v>44125</c:v>
                </c:pt>
                <c:pt idx="213">
                  <c:v>44126</c:v>
                </c:pt>
                <c:pt idx="214">
                  <c:v>44127</c:v>
                </c:pt>
                <c:pt idx="215">
                  <c:v>44128</c:v>
                </c:pt>
                <c:pt idx="216">
                  <c:v>44129</c:v>
                </c:pt>
                <c:pt idx="217">
                  <c:v>44130</c:v>
                </c:pt>
                <c:pt idx="218">
                  <c:v>44131</c:v>
                </c:pt>
                <c:pt idx="219">
                  <c:v>44132</c:v>
                </c:pt>
                <c:pt idx="220">
                  <c:v>44133</c:v>
                </c:pt>
                <c:pt idx="221">
                  <c:v>44134</c:v>
                </c:pt>
                <c:pt idx="222">
                  <c:v>44135</c:v>
                </c:pt>
                <c:pt idx="223">
                  <c:v>44136</c:v>
                </c:pt>
                <c:pt idx="224">
                  <c:v>44137</c:v>
                </c:pt>
                <c:pt idx="225">
                  <c:v>44138</c:v>
                </c:pt>
                <c:pt idx="226">
                  <c:v>44139</c:v>
                </c:pt>
                <c:pt idx="227">
                  <c:v>44140</c:v>
                </c:pt>
                <c:pt idx="228">
                  <c:v>44141</c:v>
                </c:pt>
                <c:pt idx="229">
                  <c:v>44142</c:v>
                </c:pt>
                <c:pt idx="230">
                  <c:v>44143</c:v>
                </c:pt>
                <c:pt idx="231">
                  <c:v>44144</c:v>
                </c:pt>
                <c:pt idx="232">
                  <c:v>44145</c:v>
                </c:pt>
                <c:pt idx="233">
                  <c:v>44146</c:v>
                </c:pt>
                <c:pt idx="234">
                  <c:v>44147</c:v>
                </c:pt>
                <c:pt idx="235">
                  <c:v>44148</c:v>
                </c:pt>
                <c:pt idx="236">
                  <c:v>44149</c:v>
                </c:pt>
                <c:pt idx="237">
                  <c:v>44150</c:v>
                </c:pt>
                <c:pt idx="238">
                  <c:v>44151</c:v>
                </c:pt>
                <c:pt idx="239">
                  <c:v>44152</c:v>
                </c:pt>
                <c:pt idx="240">
                  <c:v>44153</c:v>
                </c:pt>
                <c:pt idx="241">
                  <c:v>44154</c:v>
                </c:pt>
                <c:pt idx="242">
                  <c:v>44155</c:v>
                </c:pt>
                <c:pt idx="243">
                  <c:v>44156</c:v>
                </c:pt>
                <c:pt idx="244">
                  <c:v>44157</c:v>
                </c:pt>
                <c:pt idx="245">
                  <c:v>44158</c:v>
                </c:pt>
                <c:pt idx="246">
                  <c:v>44159</c:v>
                </c:pt>
                <c:pt idx="247">
                  <c:v>44160</c:v>
                </c:pt>
                <c:pt idx="248">
                  <c:v>44161</c:v>
                </c:pt>
                <c:pt idx="249">
                  <c:v>44162</c:v>
                </c:pt>
                <c:pt idx="250">
                  <c:v>44163</c:v>
                </c:pt>
                <c:pt idx="251">
                  <c:v>44164</c:v>
                </c:pt>
                <c:pt idx="252">
                  <c:v>44165</c:v>
                </c:pt>
                <c:pt idx="253">
                  <c:v>44166</c:v>
                </c:pt>
                <c:pt idx="254">
                  <c:v>44167</c:v>
                </c:pt>
                <c:pt idx="255">
                  <c:v>44168</c:v>
                </c:pt>
                <c:pt idx="256">
                  <c:v>44169</c:v>
                </c:pt>
                <c:pt idx="257">
                  <c:v>44170</c:v>
                </c:pt>
                <c:pt idx="258">
                  <c:v>44171</c:v>
                </c:pt>
                <c:pt idx="259">
                  <c:v>44172</c:v>
                </c:pt>
                <c:pt idx="260">
                  <c:v>44173</c:v>
                </c:pt>
                <c:pt idx="261">
                  <c:v>44174</c:v>
                </c:pt>
                <c:pt idx="262">
                  <c:v>44175</c:v>
                </c:pt>
                <c:pt idx="263">
                  <c:v>44176</c:v>
                </c:pt>
                <c:pt idx="264">
                  <c:v>44177</c:v>
                </c:pt>
                <c:pt idx="265">
                  <c:v>44178</c:v>
                </c:pt>
                <c:pt idx="266">
                  <c:v>44179</c:v>
                </c:pt>
                <c:pt idx="267">
                  <c:v>44180</c:v>
                </c:pt>
                <c:pt idx="268">
                  <c:v>44181</c:v>
                </c:pt>
                <c:pt idx="269">
                  <c:v>44182</c:v>
                </c:pt>
                <c:pt idx="270">
                  <c:v>44183</c:v>
                </c:pt>
                <c:pt idx="271">
                  <c:v>44184</c:v>
                </c:pt>
                <c:pt idx="272">
                  <c:v>44185</c:v>
                </c:pt>
                <c:pt idx="273">
                  <c:v>44186</c:v>
                </c:pt>
                <c:pt idx="274">
                  <c:v>44187</c:v>
                </c:pt>
                <c:pt idx="275">
                  <c:v>44188</c:v>
                </c:pt>
                <c:pt idx="276">
                  <c:v>44189</c:v>
                </c:pt>
                <c:pt idx="277">
                  <c:v>44190</c:v>
                </c:pt>
                <c:pt idx="278">
                  <c:v>44191</c:v>
                </c:pt>
                <c:pt idx="279">
                  <c:v>44192</c:v>
                </c:pt>
                <c:pt idx="280">
                  <c:v>44193</c:v>
                </c:pt>
                <c:pt idx="281">
                  <c:v>44194</c:v>
                </c:pt>
                <c:pt idx="282">
                  <c:v>44195</c:v>
                </c:pt>
                <c:pt idx="283">
                  <c:v>44196</c:v>
                </c:pt>
                <c:pt idx="284">
                  <c:v>44197</c:v>
                </c:pt>
                <c:pt idx="285">
                  <c:v>44198</c:v>
                </c:pt>
                <c:pt idx="286">
                  <c:v>44199</c:v>
                </c:pt>
                <c:pt idx="287">
                  <c:v>44200</c:v>
                </c:pt>
                <c:pt idx="288">
                  <c:v>44201</c:v>
                </c:pt>
                <c:pt idx="289">
                  <c:v>44202</c:v>
                </c:pt>
                <c:pt idx="290">
                  <c:v>44203</c:v>
                </c:pt>
                <c:pt idx="291">
                  <c:v>44204</c:v>
                </c:pt>
                <c:pt idx="292">
                  <c:v>44205</c:v>
                </c:pt>
                <c:pt idx="293">
                  <c:v>44206</c:v>
                </c:pt>
                <c:pt idx="294">
                  <c:v>44207</c:v>
                </c:pt>
                <c:pt idx="295">
                  <c:v>44208</c:v>
                </c:pt>
                <c:pt idx="296">
                  <c:v>44209</c:v>
                </c:pt>
                <c:pt idx="297">
                  <c:v>44210</c:v>
                </c:pt>
                <c:pt idx="298">
                  <c:v>44211</c:v>
                </c:pt>
                <c:pt idx="299">
                  <c:v>44212</c:v>
                </c:pt>
                <c:pt idx="300">
                  <c:v>44213</c:v>
                </c:pt>
                <c:pt idx="301">
                  <c:v>44214</c:v>
                </c:pt>
                <c:pt idx="302">
                  <c:v>44215</c:v>
                </c:pt>
                <c:pt idx="303">
                  <c:v>44216</c:v>
                </c:pt>
                <c:pt idx="304">
                  <c:v>44217</c:v>
                </c:pt>
                <c:pt idx="305">
                  <c:v>44218</c:v>
                </c:pt>
                <c:pt idx="306">
                  <c:v>44219</c:v>
                </c:pt>
                <c:pt idx="307">
                  <c:v>44220</c:v>
                </c:pt>
                <c:pt idx="308">
                  <c:v>44221</c:v>
                </c:pt>
                <c:pt idx="309">
                  <c:v>44222</c:v>
                </c:pt>
                <c:pt idx="310">
                  <c:v>44223</c:v>
                </c:pt>
                <c:pt idx="311">
                  <c:v>44224</c:v>
                </c:pt>
                <c:pt idx="312">
                  <c:v>44225</c:v>
                </c:pt>
                <c:pt idx="313">
                  <c:v>44226</c:v>
                </c:pt>
                <c:pt idx="314">
                  <c:v>44227</c:v>
                </c:pt>
                <c:pt idx="315">
                  <c:v>44228</c:v>
                </c:pt>
                <c:pt idx="316">
                  <c:v>44229</c:v>
                </c:pt>
                <c:pt idx="317">
                  <c:v>44230</c:v>
                </c:pt>
                <c:pt idx="318">
                  <c:v>44231</c:v>
                </c:pt>
                <c:pt idx="319">
                  <c:v>44232</c:v>
                </c:pt>
                <c:pt idx="320">
                  <c:v>44233</c:v>
                </c:pt>
                <c:pt idx="321">
                  <c:v>44234</c:v>
                </c:pt>
                <c:pt idx="322">
                  <c:v>44235</c:v>
                </c:pt>
                <c:pt idx="323">
                  <c:v>44236</c:v>
                </c:pt>
                <c:pt idx="324">
                  <c:v>44237</c:v>
                </c:pt>
                <c:pt idx="325">
                  <c:v>44238</c:v>
                </c:pt>
                <c:pt idx="326">
                  <c:v>44239</c:v>
                </c:pt>
                <c:pt idx="327">
                  <c:v>44240</c:v>
                </c:pt>
                <c:pt idx="328">
                  <c:v>44241</c:v>
                </c:pt>
                <c:pt idx="329">
                  <c:v>44242</c:v>
                </c:pt>
                <c:pt idx="330">
                  <c:v>44243</c:v>
                </c:pt>
                <c:pt idx="331">
                  <c:v>44244</c:v>
                </c:pt>
                <c:pt idx="332">
                  <c:v>44245</c:v>
                </c:pt>
                <c:pt idx="333">
                  <c:v>44246</c:v>
                </c:pt>
                <c:pt idx="334">
                  <c:v>44247</c:v>
                </c:pt>
                <c:pt idx="335">
                  <c:v>44248</c:v>
                </c:pt>
                <c:pt idx="336">
                  <c:v>44249</c:v>
                </c:pt>
                <c:pt idx="337">
                  <c:v>44250</c:v>
                </c:pt>
                <c:pt idx="338">
                  <c:v>44251</c:v>
                </c:pt>
                <c:pt idx="339">
                  <c:v>44252</c:v>
                </c:pt>
                <c:pt idx="340">
                  <c:v>44253</c:v>
                </c:pt>
                <c:pt idx="341">
                  <c:v>44254</c:v>
                </c:pt>
                <c:pt idx="342">
                  <c:v>44255</c:v>
                </c:pt>
                <c:pt idx="343">
                  <c:v>44256</c:v>
                </c:pt>
                <c:pt idx="344">
                  <c:v>44257</c:v>
                </c:pt>
                <c:pt idx="345">
                  <c:v>44258</c:v>
                </c:pt>
                <c:pt idx="346">
                  <c:v>44259</c:v>
                </c:pt>
                <c:pt idx="347">
                  <c:v>44260</c:v>
                </c:pt>
                <c:pt idx="348">
                  <c:v>44261</c:v>
                </c:pt>
                <c:pt idx="349">
                  <c:v>44262</c:v>
                </c:pt>
                <c:pt idx="350">
                  <c:v>44263</c:v>
                </c:pt>
                <c:pt idx="351">
                  <c:v>44264</c:v>
                </c:pt>
                <c:pt idx="352">
                  <c:v>44265</c:v>
                </c:pt>
                <c:pt idx="353">
                  <c:v>44266</c:v>
                </c:pt>
                <c:pt idx="354">
                  <c:v>44267</c:v>
                </c:pt>
                <c:pt idx="355">
                  <c:v>44268</c:v>
                </c:pt>
                <c:pt idx="356">
                  <c:v>44269</c:v>
                </c:pt>
                <c:pt idx="357">
                  <c:v>44270</c:v>
                </c:pt>
                <c:pt idx="358">
                  <c:v>44271</c:v>
                </c:pt>
                <c:pt idx="359">
                  <c:v>44272</c:v>
                </c:pt>
                <c:pt idx="360">
                  <c:v>44273</c:v>
                </c:pt>
                <c:pt idx="361">
                  <c:v>44274</c:v>
                </c:pt>
                <c:pt idx="362">
                  <c:v>44275</c:v>
                </c:pt>
                <c:pt idx="363">
                  <c:v>44276</c:v>
                </c:pt>
                <c:pt idx="364">
                  <c:v>44277</c:v>
                </c:pt>
                <c:pt idx="365">
                  <c:v>44278</c:v>
                </c:pt>
                <c:pt idx="366">
                  <c:v>44279</c:v>
                </c:pt>
                <c:pt idx="367">
                  <c:v>44280</c:v>
                </c:pt>
                <c:pt idx="368">
                  <c:v>44281</c:v>
                </c:pt>
                <c:pt idx="369">
                  <c:v>44282</c:v>
                </c:pt>
                <c:pt idx="370">
                  <c:v>44283</c:v>
                </c:pt>
                <c:pt idx="371">
                  <c:v>44284</c:v>
                </c:pt>
                <c:pt idx="372">
                  <c:v>44285</c:v>
                </c:pt>
                <c:pt idx="373">
                  <c:v>44286</c:v>
                </c:pt>
                <c:pt idx="374">
                  <c:v>44287</c:v>
                </c:pt>
                <c:pt idx="375">
                  <c:v>44288</c:v>
                </c:pt>
                <c:pt idx="376">
                  <c:v>44289</c:v>
                </c:pt>
                <c:pt idx="377">
                  <c:v>44290</c:v>
                </c:pt>
                <c:pt idx="378">
                  <c:v>44291</c:v>
                </c:pt>
                <c:pt idx="379">
                  <c:v>44292</c:v>
                </c:pt>
                <c:pt idx="380">
                  <c:v>44293</c:v>
                </c:pt>
                <c:pt idx="381">
                  <c:v>44294</c:v>
                </c:pt>
                <c:pt idx="382">
                  <c:v>44295</c:v>
                </c:pt>
                <c:pt idx="383">
                  <c:v>44296</c:v>
                </c:pt>
                <c:pt idx="384">
                  <c:v>44297</c:v>
                </c:pt>
                <c:pt idx="385">
                  <c:v>44298</c:v>
                </c:pt>
                <c:pt idx="386">
                  <c:v>44299</c:v>
                </c:pt>
                <c:pt idx="387">
                  <c:v>44300</c:v>
                </c:pt>
                <c:pt idx="388">
                  <c:v>44301</c:v>
                </c:pt>
                <c:pt idx="389">
                  <c:v>44302</c:v>
                </c:pt>
                <c:pt idx="390">
                  <c:v>44303</c:v>
                </c:pt>
                <c:pt idx="391">
                  <c:v>44304</c:v>
                </c:pt>
                <c:pt idx="392">
                  <c:v>44305</c:v>
                </c:pt>
                <c:pt idx="393">
                  <c:v>44306</c:v>
                </c:pt>
              </c:numCache>
            </c:numRef>
          </c:cat>
          <c:val>
            <c:numRef>
              <c:f>'Case Percentage'!$L$3:$L$396</c:f>
              <c:numCache>
                <c:formatCode>0%</c:formatCode>
                <c:ptCount val="394"/>
                <c:pt idx="0">
                  <c:v>0.2</c:v>
                </c:pt>
                <c:pt idx="1">
                  <c:v>0.2</c:v>
                </c:pt>
                <c:pt idx="2">
                  <c:v>0.2</c:v>
                </c:pt>
                <c:pt idx="3">
                  <c:v>0.2</c:v>
                </c:pt>
                <c:pt idx="4">
                  <c:v>0.2</c:v>
                </c:pt>
                <c:pt idx="5">
                  <c:v>0.2</c:v>
                </c:pt>
                <c:pt idx="6">
                  <c:v>0.2</c:v>
                </c:pt>
                <c:pt idx="7">
                  <c:v>0.2</c:v>
                </c:pt>
                <c:pt idx="8">
                  <c:v>0.2</c:v>
                </c:pt>
                <c:pt idx="9">
                  <c:v>0.2</c:v>
                </c:pt>
                <c:pt idx="10">
                  <c:v>0.2</c:v>
                </c:pt>
                <c:pt idx="11">
                  <c:v>0.2</c:v>
                </c:pt>
                <c:pt idx="12">
                  <c:v>0.2</c:v>
                </c:pt>
                <c:pt idx="13">
                  <c:v>0.2</c:v>
                </c:pt>
                <c:pt idx="14">
                  <c:v>0.2</c:v>
                </c:pt>
                <c:pt idx="15">
                  <c:v>0.2</c:v>
                </c:pt>
                <c:pt idx="16">
                  <c:v>0.2</c:v>
                </c:pt>
                <c:pt idx="17">
                  <c:v>0.2</c:v>
                </c:pt>
                <c:pt idx="18">
                  <c:v>0.2</c:v>
                </c:pt>
                <c:pt idx="19">
                  <c:v>0.2</c:v>
                </c:pt>
                <c:pt idx="20">
                  <c:v>0.2</c:v>
                </c:pt>
                <c:pt idx="21">
                  <c:v>0.2</c:v>
                </c:pt>
                <c:pt idx="22">
                  <c:v>0.2</c:v>
                </c:pt>
                <c:pt idx="23">
                  <c:v>0.2</c:v>
                </c:pt>
                <c:pt idx="24">
                  <c:v>0.2</c:v>
                </c:pt>
                <c:pt idx="25">
                  <c:v>0.2</c:v>
                </c:pt>
                <c:pt idx="26">
                  <c:v>0.2</c:v>
                </c:pt>
                <c:pt idx="27">
                  <c:v>0.2</c:v>
                </c:pt>
                <c:pt idx="28">
                  <c:v>0.2</c:v>
                </c:pt>
                <c:pt idx="29">
                  <c:v>0.2</c:v>
                </c:pt>
                <c:pt idx="30">
                  <c:v>0.2</c:v>
                </c:pt>
                <c:pt idx="31">
                  <c:v>0.2</c:v>
                </c:pt>
                <c:pt idx="32">
                  <c:v>0.2</c:v>
                </c:pt>
                <c:pt idx="33">
                  <c:v>0.2</c:v>
                </c:pt>
                <c:pt idx="34">
                  <c:v>0.2</c:v>
                </c:pt>
                <c:pt idx="35">
                  <c:v>0.2</c:v>
                </c:pt>
                <c:pt idx="36">
                  <c:v>0.2</c:v>
                </c:pt>
                <c:pt idx="37">
                  <c:v>0.2</c:v>
                </c:pt>
                <c:pt idx="38">
                  <c:v>0.2</c:v>
                </c:pt>
                <c:pt idx="39">
                  <c:v>0.2</c:v>
                </c:pt>
                <c:pt idx="40">
                  <c:v>0.2</c:v>
                </c:pt>
                <c:pt idx="41">
                  <c:v>0.2</c:v>
                </c:pt>
                <c:pt idx="42">
                  <c:v>0.2</c:v>
                </c:pt>
                <c:pt idx="43">
                  <c:v>0.2</c:v>
                </c:pt>
                <c:pt idx="44">
                  <c:v>0.2</c:v>
                </c:pt>
                <c:pt idx="45">
                  <c:v>0.2</c:v>
                </c:pt>
                <c:pt idx="46">
                  <c:v>0.2</c:v>
                </c:pt>
                <c:pt idx="47">
                  <c:v>0.2</c:v>
                </c:pt>
                <c:pt idx="48">
                  <c:v>0.2</c:v>
                </c:pt>
                <c:pt idx="49">
                  <c:v>0.2</c:v>
                </c:pt>
                <c:pt idx="50">
                  <c:v>0.2</c:v>
                </c:pt>
                <c:pt idx="51">
                  <c:v>0.2</c:v>
                </c:pt>
                <c:pt idx="52">
                  <c:v>0.2</c:v>
                </c:pt>
                <c:pt idx="53">
                  <c:v>0.2</c:v>
                </c:pt>
                <c:pt idx="54">
                  <c:v>0.2</c:v>
                </c:pt>
                <c:pt idx="55">
                  <c:v>0.2</c:v>
                </c:pt>
                <c:pt idx="56">
                  <c:v>0.2</c:v>
                </c:pt>
                <c:pt idx="57">
                  <c:v>0.2</c:v>
                </c:pt>
                <c:pt idx="58">
                  <c:v>0.2</c:v>
                </c:pt>
                <c:pt idx="59">
                  <c:v>0.2</c:v>
                </c:pt>
                <c:pt idx="60">
                  <c:v>0.2</c:v>
                </c:pt>
                <c:pt idx="61">
                  <c:v>0.2</c:v>
                </c:pt>
                <c:pt idx="62">
                  <c:v>0.2</c:v>
                </c:pt>
                <c:pt idx="63">
                  <c:v>0.2</c:v>
                </c:pt>
                <c:pt idx="64">
                  <c:v>0.2</c:v>
                </c:pt>
                <c:pt idx="65">
                  <c:v>0.2</c:v>
                </c:pt>
                <c:pt idx="66">
                  <c:v>0.2</c:v>
                </c:pt>
                <c:pt idx="67">
                  <c:v>0.2</c:v>
                </c:pt>
                <c:pt idx="68">
                  <c:v>0.2</c:v>
                </c:pt>
                <c:pt idx="69">
                  <c:v>0.2</c:v>
                </c:pt>
                <c:pt idx="70">
                  <c:v>0.2</c:v>
                </c:pt>
                <c:pt idx="71">
                  <c:v>0.2</c:v>
                </c:pt>
                <c:pt idx="72">
                  <c:v>0.2</c:v>
                </c:pt>
                <c:pt idx="73">
                  <c:v>0.2</c:v>
                </c:pt>
                <c:pt idx="74">
                  <c:v>0.2</c:v>
                </c:pt>
                <c:pt idx="75">
                  <c:v>0.2</c:v>
                </c:pt>
                <c:pt idx="76">
                  <c:v>0.2</c:v>
                </c:pt>
                <c:pt idx="77">
                  <c:v>0.2</c:v>
                </c:pt>
                <c:pt idx="78">
                  <c:v>0.2</c:v>
                </c:pt>
                <c:pt idx="79">
                  <c:v>0.2</c:v>
                </c:pt>
                <c:pt idx="80">
                  <c:v>0.2</c:v>
                </c:pt>
                <c:pt idx="81">
                  <c:v>0.2</c:v>
                </c:pt>
                <c:pt idx="82">
                  <c:v>0.2</c:v>
                </c:pt>
                <c:pt idx="83">
                  <c:v>0.2</c:v>
                </c:pt>
                <c:pt idx="84">
                  <c:v>0.2</c:v>
                </c:pt>
                <c:pt idx="85">
                  <c:v>0.2</c:v>
                </c:pt>
                <c:pt idx="86">
                  <c:v>0.2</c:v>
                </c:pt>
                <c:pt idx="87">
                  <c:v>0.2</c:v>
                </c:pt>
                <c:pt idx="88">
                  <c:v>0.2</c:v>
                </c:pt>
                <c:pt idx="89">
                  <c:v>0.2</c:v>
                </c:pt>
                <c:pt idx="90">
                  <c:v>0.2</c:v>
                </c:pt>
                <c:pt idx="91">
                  <c:v>0.2</c:v>
                </c:pt>
                <c:pt idx="92">
                  <c:v>0.2</c:v>
                </c:pt>
                <c:pt idx="93">
                  <c:v>0.2</c:v>
                </c:pt>
                <c:pt idx="94">
                  <c:v>0.2</c:v>
                </c:pt>
                <c:pt idx="95">
                  <c:v>0.2</c:v>
                </c:pt>
                <c:pt idx="96">
                  <c:v>0.2</c:v>
                </c:pt>
                <c:pt idx="97">
                  <c:v>0.2</c:v>
                </c:pt>
                <c:pt idx="98">
                  <c:v>0.2</c:v>
                </c:pt>
                <c:pt idx="99">
                  <c:v>0.2</c:v>
                </c:pt>
                <c:pt idx="100">
                  <c:v>0.2</c:v>
                </c:pt>
                <c:pt idx="101">
                  <c:v>0.2</c:v>
                </c:pt>
                <c:pt idx="102">
                  <c:v>0.2</c:v>
                </c:pt>
                <c:pt idx="103">
                  <c:v>0.2</c:v>
                </c:pt>
                <c:pt idx="104">
                  <c:v>0.2</c:v>
                </c:pt>
                <c:pt idx="105">
                  <c:v>0.2</c:v>
                </c:pt>
                <c:pt idx="106">
                  <c:v>0.2</c:v>
                </c:pt>
                <c:pt idx="107">
                  <c:v>0.2</c:v>
                </c:pt>
                <c:pt idx="108">
                  <c:v>0.2</c:v>
                </c:pt>
                <c:pt idx="109">
                  <c:v>0.2</c:v>
                </c:pt>
                <c:pt idx="110">
                  <c:v>0.2</c:v>
                </c:pt>
                <c:pt idx="111">
                  <c:v>0.2</c:v>
                </c:pt>
                <c:pt idx="112">
                  <c:v>0.2</c:v>
                </c:pt>
                <c:pt idx="113">
                  <c:v>0.2</c:v>
                </c:pt>
                <c:pt idx="114">
                  <c:v>0.2</c:v>
                </c:pt>
                <c:pt idx="115">
                  <c:v>0.2</c:v>
                </c:pt>
                <c:pt idx="116">
                  <c:v>0.2</c:v>
                </c:pt>
                <c:pt idx="117">
                  <c:v>0.2</c:v>
                </c:pt>
                <c:pt idx="118">
                  <c:v>0.2</c:v>
                </c:pt>
                <c:pt idx="119">
                  <c:v>0.2</c:v>
                </c:pt>
                <c:pt idx="120">
                  <c:v>0.2</c:v>
                </c:pt>
                <c:pt idx="121">
                  <c:v>0.2</c:v>
                </c:pt>
                <c:pt idx="122">
                  <c:v>0.2</c:v>
                </c:pt>
                <c:pt idx="123">
                  <c:v>0.2</c:v>
                </c:pt>
                <c:pt idx="124">
                  <c:v>0.2</c:v>
                </c:pt>
                <c:pt idx="125">
                  <c:v>0.2</c:v>
                </c:pt>
                <c:pt idx="126">
                  <c:v>0.2</c:v>
                </c:pt>
                <c:pt idx="127">
                  <c:v>0.2</c:v>
                </c:pt>
                <c:pt idx="128">
                  <c:v>0.2</c:v>
                </c:pt>
                <c:pt idx="129">
                  <c:v>0.2</c:v>
                </c:pt>
                <c:pt idx="130">
                  <c:v>0.2</c:v>
                </c:pt>
                <c:pt idx="131">
                  <c:v>0.2</c:v>
                </c:pt>
                <c:pt idx="132">
                  <c:v>0.2</c:v>
                </c:pt>
                <c:pt idx="133">
                  <c:v>0.2</c:v>
                </c:pt>
                <c:pt idx="134">
                  <c:v>0.2</c:v>
                </c:pt>
                <c:pt idx="135">
                  <c:v>0.2</c:v>
                </c:pt>
                <c:pt idx="136">
                  <c:v>0.2</c:v>
                </c:pt>
                <c:pt idx="137">
                  <c:v>0.2</c:v>
                </c:pt>
                <c:pt idx="138">
                  <c:v>0.2</c:v>
                </c:pt>
                <c:pt idx="139">
                  <c:v>0.2</c:v>
                </c:pt>
                <c:pt idx="140">
                  <c:v>0.2</c:v>
                </c:pt>
                <c:pt idx="141">
                  <c:v>0.2</c:v>
                </c:pt>
                <c:pt idx="142">
                  <c:v>0.2</c:v>
                </c:pt>
                <c:pt idx="143">
                  <c:v>0.2</c:v>
                </c:pt>
                <c:pt idx="144">
                  <c:v>0.2</c:v>
                </c:pt>
                <c:pt idx="145">
                  <c:v>0.2</c:v>
                </c:pt>
                <c:pt idx="146">
                  <c:v>0.2</c:v>
                </c:pt>
                <c:pt idx="147">
                  <c:v>0.2</c:v>
                </c:pt>
                <c:pt idx="148">
                  <c:v>0.2</c:v>
                </c:pt>
                <c:pt idx="149">
                  <c:v>0.2</c:v>
                </c:pt>
                <c:pt idx="150">
                  <c:v>0.2</c:v>
                </c:pt>
                <c:pt idx="151">
                  <c:v>0.2</c:v>
                </c:pt>
                <c:pt idx="152">
                  <c:v>0.2</c:v>
                </c:pt>
                <c:pt idx="153">
                  <c:v>0.2</c:v>
                </c:pt>
                <c:pt idx="154">
                  <c:v>0.2</c:v>
                </c:pt>
                <c:pt idx="155">
                  <c:v>0.2</c:v>
                </c:pt>
                <c:pt idx="156">
                  <c:v>0.2</c:v>
                </c:pt>
                <c:pt idx="157">
                  <c:v>0.2</c:v>
                </c:pt>
                <c:pt idx="158">
                  <c:v>0.2</c:v>
                </c:pt>
                <c:pt idx="159">
                  <c:v>0.2</c:v>
                </c:pt>
                <c:pt idx="160">
                  <c:v>0.2</c:v>
                </c:pt>
                <c:pt idx="161">
                  <c:v>0.2</c:v>
                </c:pt>
                <c:pt idx="162">
                  <c:v>0.2</c:v>
                </c:pt>
                <c:pt idx="163">
                  <c:v>0.2</c:v>
                </c:pt>
                <c:pt idx="164">
                  <c:v>0.2</c:v>
                </c:pt>
                <c:pt idx="165">
                  <c:v>0.2</c:v>
                </c:pt>
                <c:pt idx="166">
                  <c:v>0.2</c:v>
                </c:pt>
                <c:pt idx="167">
                  <c:v>0.2</c:v>
                </c:pt>
                <c:pt idx="168">
                  <c:v>0.2</c:v>
                </c:pt>
                <c:pt idx="169">
                  <c:v>0.2</c:v>
                </c:pt>
                <c:pt idx="170">
                  <c:v>0.2</c:v>
                </c:pt>
                <c:pt idx="171">
                  <c:v>0.2</c:v>
                </c:pt>
                <c:pt idx="172">
                  <c:v>0.2</c:v>
                </c:pt>
                <c:pt idx="173">
                  <c:v>0.2</c:v>
                </c:pt>
                <c:pt idx="174">
                  <c:v>0.2</c:v>
                </c:pt>
                <c:pt idx="175">
                  <c:v>0.2</c:v>
                </c:pt>
                <c:pt idx="176">
                  <c:v>0.2</c:v>
                </c:pt>
                <c:pt idx="177">
                  <c:v>0.2</c:v>
                </c:pt>
                <c:pt idx="178">
                  <c:v>0.2</c:v>
                </c:pt>
                <c:pt idx="179">
                  <c:v>0.2</c:v>
                </c:pt>
                <c:pt idx="180">
                  <c:v>0.2</c:v>
                </c:pt>
                <c:pt idx="181">
                  <c:v>0.2</c:v>
                </c:pt>
                <c:pt idx="182">
                  <c:v>0.2</c:v>
                </c:pt>
                <c:pt idx="183">
                  <c:v>0.2</c:v>
                </c:pt>
                <c:pt idx="184">
                  <c:v>0.2</c:v>
                </c:pt>
                <c:pt idx="185">
                  <c:v>0.2</c:v>
                </c:pt>
                <c:pt idx="186">
                  <c:v>0.2</c:v>
                </c:pt>
                <c:pt idx="187">
                  <c:v>0.2</c:v>
                </c:pt>
                <c:pt idx="188">
                  <c:v>0.2</c:v>
                </c:pt>
                <c:pt idx="189">
                  <c:v>0.2</c:v>
                </c:pt>
                <c:pt idx="190">
                  <c:v>0.2</c:v>
                </c:pt>
                <c:pt idx="191">
                  <c:v>0.2</c:v>
                </c:pt>
                <c:pt idx="192">
                  <c:v>0.2</c:v>
                </c:pt>
                <c:pt idx="193">
                  <c:v>0.2</c:v>
                </c:pt>
                <c:pt idx="194">
                  <c:v>0.2</c:v>
                </c:pt>
                <c:pt idx="195">
                  <c:v>0.2</c:v>
                </c:pt>
                <c:pt idx="196">
                  <c:v>0.2</c:v>
                </c:pt>
                <c:pt idx="197">
                  <c:v>0.2</c:v>
                </c:pt>
                <c:pt idx="198">
                  <c:v>0.2</c:v>
                </c:pt>
                <c:pt idx="199">
                  <c:v>0.2</c:v>
                </c:pt>
                <c:pt idx="200">
                  <c:v>0.2</c:v>
                </c:pt>
                <c:pt idx="201">
                  <c:v>0.2</c:v>
                </c:pt>
                <c:pt idx="202">
                  <c:v>0.2</c:v>
                </c:pt>
                <c:pt idx="203">
                  <c:v>0.2</c:v>
                </c:pt>
                <c:pt idx="204">
                  <c:v>0.2</c:v>
                </c:pt>
                <c:pt idx="205">
                  <c:v>0.2</c:v>
                </c:pt>
                <c:pt idx="206">
                  <c:v>0.2</c:v>
                </c:pt>
                <c:pt idx="207">
                  <c:v>0.2</c:v>
                </c:pt>
                <c:pt idx="208">
                  <c:v>0.2</c:v>
                </c:pt>
                <c:pt idx="209">
                  <c:v>0.2</c:v>
                </c:pt>
                <c:pt idx="210">
                  <c:v>0.2</c:v>
                </c:pt>
                <c:pt idx="211">
                  <c:v>0.2</c:v>
                </c:pt>
                <c:pt idx="212">
                  <c:v>0.2</c:v>
                </c:pt>
                <c:pt idx="213">
                  <c:v>0.2</c:v>
                </c:pt>
                <c:pt idx="214">
                  <c:v>0.2</c:v>
                </c:pt>
                <c:pt idx="215">
                  <c:v>0.2</c:v>
                </c:pt>
                <c:pt idx="216">
                  <c:v>0.2</c:v>
                </c:pt>
                <c:pt idx="217">
                  <c:v>0.2</c:v>
                </c:pt>
                <c:pt idx="218">
                  <c:v>0.2</c:v>
                </c:pt>
                <c:pt idx="219">
                  <c:v>0.2</c:v>
                </c:pt>
                <c:pt idx="220">
                  <c:v>0.2</c:v>
                </c:pt>
                <c:pt idx="221">
                  <c:v>0.2</c:v>
                </c:pt>
                <c:pt idx="222">
                  <c:v>0.2</c:v>
                </c:pt>
                <c:pt idx="223">
                  <c:v>0.2</c:v>
                </c:pt>
                <c:pt idx="224">
                  <c:v>0.2</c:v>
                </c:pt>
                <c:pt idx="225">
                  <c:v>0.2</c:v>
                </c:pt>
                <c:pt idx="226">
                  <c:v>0.2</c:v>
                </c:pt>
                <c:pt idx="227">
                  <c:v>0.2</c:v>
                </c:pt>
                <c:pt idx="228">
                  <c:v>0.2</c:v>
                </c:pt>
                <c:pt idx="229">
                  <c:v>0.2</c:v>
                </c:pt>
                <c:pt idx="230">
                  <c:v>0.2</c:v>
                </c:pt>
                <c:pt idx="231">
                  <c:v>0.2</c:v>
                </c:pt>
                <c:pt idx="232">
                  <c:v>0.2</c:v>
                </c:pt>
                <c:pt idx="233">
                  <c:v>0.2</c:v>
                </c:pt>
                <c:pt idx="234">
                  <c:v>0.2</c:v>
                </c:pt>
                <c:pt idx="235">
                  <c:v>0.2</c:v>
                </c:pt>
                <c:pt idx="236">
                  <c:v>0.2</c:v>
                </c:pt>
                <c:pt idx="237">
                  <c:v>0.2</c:v>
                </c:pt>
                <c:pt idx="238">
                  <c:v>0.2</c:v>
                </c:pt>
                <c:pt idx="239">
                  <c:v>0.2</c:v>
                </c:pt>
                <c:pt idx="240">
                  <c:v>0.2</c:v>
                </c:pt>
                <c:pt idx="241">
                  <c:v>0.2</c:v>
                </c:pt>
                <c:pt idx="242">
                  <c:v>0.2</c:v>
                </c:pt>
                <c:pt idx="243">
                  <c:v>0.2</c:v>
                </c:pt>
                <c:pt idx="244">
                  <c:v>0.2</c:v>
                </c:pt>
                <c:pt idx="245">
                  <c:v>0.2</c:v>
                </c:pt>
                <c:pt idx="246">
                  <c:v>0.2</c:v>
                </c:pt>
                <c:pt idx="247">
                  <c:v>0.2</c:v>
                </c:pt>
                <c:pt idx="248">
                  <c:v>0.2</c:v>
                </c:pt>
                <c:pt idx="249">
                  <c:v>0.2</c:v>
                </c:pt>
                <c:pt idx="250">
                  <c:v>0.2</c:v>
                </c:pt>
                <c:pt idx="251">
                  <c:v>0.2</c:v>
                </c:pt>
                <c:pt idx="252">
                  <c:v>0.2</c:v>
                </c:pt>
                <c:pt idx="253">
                  <c:v>0.2</c:v>
                </c:pt>
                <c:pt idx="254">
                  <c:v>0.2</c:v>
                </c:pt>
                <c:pt idx="255">
                  <c:v>0.2</c:v>
                </c:pt>
                <c:pt idx="256">
                  <c:v>0.2</c:v>
                </c:pt>
                <c:pt idx="257">
                  <c:v>0.2</c:v>
                </c:pt>
                <c:pt idx="258">
                  <c:v>0.2</c:v>
                </c:pt>
                <c:pt idx="259">
                  <c:v>0.2</c:v>
                </c:pt>
                <c:pt idx="260">
                  <c:v>0.2</c:v>
                </c:pt>
                <c:pt idx="261">
                  <c:v>0.2</c:v>
                </c:pt>
                <c:pt idx="262">
                  <c:v>0.2</c:v>
                </c:pt>
                <c:pt idx="263">
                  <c:v>0.2</c:v>
                </c:pt>
                <c:pt idx="264">
                  <c:v>0.2</c:v>
                </c:pt>
                <c:pt idx="265">
                  <c:v>0.2</c:v>
                </c:pt>
                <c:pt idx="266">
                  <c:v>0.2</c:v>
                </c:pt>
                <c:pt idx="267">
                  <c:v>0.2</c:v>
                </c:pt>
                <c:pt idx="268">
                  <c:v>0.2</c:v>
                </c:pt>
                <c:pt idx="269">
                  <c:v>0.2</c:v>
                </c:pt>
                <c:pt idx="270">
                  <c:v>0.2</c:v>
                </c:pt>
                <c:pt idx="271">
                  <c:v>0.2</c:v>
                </c:pt>
                <c:pt idx="272">
                  <c:v>0.2</c:v>
                </c:pt>
                <c:pt idx="273">
                  <c:v>0.2</c:v>
                </c:pt>
                <c:pt idx="274">
                  <c:v>0.2</c:v>
                </c:pt>
                <c:pt idx="275">
                  <c:v>0.2</c:v>
                </c:pt>
                <c:pt idx="276">
                  <c:v>0.2</c:v>
                </c:pt>
                <c:pt idx="277">
                  <c:v>0.2</c:v>
                </c:pt>
                <c:pt idx="278">
                  <c:v>0.2</c:v>
                </c:pt>
                <c:pt idx="279">
                  <c:v>0.2</c:v>
                </c:pt>
                <c:pt idx="280">
                  <c:v>0.2</c:v>
                </c:pt>
                <c:pt idx="281">
                  <c:v>0.2</c:v>
                </c:pt>
                <c:pt idx="282">
                  <c:v>0.2</c:v>
                </c:pt>
                <c:pt idx="283">
                  <c:v>0.2</c:v>
                </c:pt>
                <c:pt idx="284">
                  <c:v>0.2</c:v>
                </c:pt>
                <c:pt idx="285">
                  <c:v>0.2</c:v>
                </c:pt>
                <c:pt idx="286">
                  <c:v>0.2</c:v>
                </c:pt>
                <c:pt idx="287">
                  <c:v>0.2</c:v>
                </c:pt>
                <c:pt idx="288">
                  <c:v>0.2</c:v>
                </c:pt>
                <c:pt idx="289">
                  <c:v>0.2</c:v>
                </c:pt>
                <c:pt idx="290">
                  <c:v>0.2</c:v>
                </c:pt>
                <c:pt idx="291">
                  <c:v>0.2</c:v>
                </c:pt>
                <c:pt idx="292">
                  <c:v>0.2</c:v>
                </c:pt>
                <c:pt idx="293">
                  <c:v>0.2</c:v>
                </c:pt>
                <c:pt idx="294">
                  <c:v>0.2</c:v>
                </c:pt>
                <c:pt idx="295">
                  <c:v>0.2</c:v>
                </c:pt>
                <c:pt idx="296">
                  <c:v>0.2</c:v>
                </c:pt>
                <c:pt idx="297">
                  <c:v>0.2</c:v>
                </c:pt>
                <c:pt idx="298">
                  <c:v>0.2</c:v>
                </c:pt>
                <c:pt idx="299">
                  <c:v>0.2</c:v>
                </c:pt>
                <c:pt idx="300">
                  <c:v>0.2</c:v>
                </c:pt>
                <c:pt idx="301">
                  <c:v>0.2</c:v>
                </c:pt>
                <c:pt idx="302">
                  <c:v>0.2</c:v>
                </c:pt>
                <c:pt idx="303">
                  <c:v>0.2</c:v>
                </c:pt>
                <c:pt idx="304">
                  <c:v>0.2</c:v>
                </c:pt>
                <c:pt idx="305">
                  <c:v>0.2</c:v>
                </c:pt>
                <c:pt idx="306">
                  <c:v>0.2</c:v>
                </c:pt>
                <c:pt idx="307">
                  <c:v>0.2</c:v>
                </c:pt>
                <c:pt idx="308">
                  <c:v>0.2</c:v>
                </c:pt>
                <c:pt idx="309">
                  <c:v>0.2</c:v>
                </c:pt>
                <c:pt idx="310">
                  <c:v>0.2</c:v>
                </c:pt>
                <c:pt idx="311">
                  <c:v>0.2</c:v>
                </c:pt>
                <c:pt idx="312">
                  <c:v>0.2</c:v>
                </c:pt>
                <c:pt idx="313">
                  <c:v>0.2</c:v>
                </c:pt>
                <c:pt idx="314">
                  <c:v>0.2</c:v>
                </c:pt>
                <c:pt idx="315">
                  <c:v>0.2</c:v>
                </c:pt>
                <c:pt idx="316">
                  <c:v>0.2</c:v>
                </c:pt>
                <c:pt idx="317">
                  <c:v>0.2</c:v>
                </c:pt>
                <c:pt idx="318">
                  <c:v>0.2</c:v>
                </c:pt>
                <c:pt idx="319">
                  <c:v>0.2</c:v>
                </c:pt>
                <c:pt idx="320">
                  <c:v>0.2</c:v>
                </c:pt>
                <c:pt idx="321">
                  <c:v>0.2</c:v>
                </c:pt>
                <c:pt idx="322">
                  <c:v>0.2</c:v>
                </c:pt>
                <c:pt idx="323">
                  <c:v>0.2</c:v>
                </c:pt>
                <c:pt idx="324">
                  <c:v>0.2</c:v>
                </c:pt>
                <c:pt idx="325">
                  <c:v>0.2</c:v>
                </c:pt>
                <c:pt idx="326">
                  <c:v>0.2</c:v>
                </c:pt>
                <c:pt idx="327">
                  <c:v>0.2</c:v>
                </c:pt>
                <c:pt idx="328">
                  <c:v>0.2</c:v>
                </c:pt>
                <c:pt idx="329">
                  <c:v>0.2</c:v>
                </c:pt>
                <c:pt idx="330">
                  <c:v>0.2</c:v>
                </c:pt>
                <c:pt idx="331">
                  <c:v>0.2</c:v>
                </c:pt>
                <c:pt idx="332">
                  <c:v>0.2</c:v>
                </c:pt>
                <c:pt idx="333">
                  <c:v>0.2</c:v>
                </c:pt>
                <c:pt idx="334">
                  <c:v>0.2</c:v>
                </c:pt>
                <c:pt idx="335">
                  <c:v>0.2</c:v>
                </c:pt>
                <c:pt idx="336">
                  <c:v>0.2</c:v>
                </c:pt>
                <c:pt idx="337">
                  <c:v>0.2</c:v>
                </c:pt>
                <c:pt idx="338">
                  <c:v>0.2</c:v>
                </c:pt>
                <c:pt idx="339">
                  <c:v>0.2</c:v>
                </c:pt>
                <c:pt idx="340">
                  <c:v>0.2</c:v>
                </c:pt>
                <c:pt idx="341">
                  <c:v>0.2</c:v>
                </c:pt>
                <c:pt idx="342">
                  <c:v>0.2</c:v>
                </c:pt>
                <c:pt idx="343">
                  <c:v>0.2</c:v>
                </c:pt>
                <c:pt idx="344">
                  <c:v>0.2</c:v>
                </c:pt>
                <c:pt idx="345">
                  <c:v>0.2</c:v>
                </c:pt>
                <c:pt idx="346">
                  <c:v>0.2</c:v>
                </c:pt>
                <c:pt idx="347">
                  <c:v>0.2</c:v>
                </c:pt>
                <c:pt idx="348">
                  <c:v>0.2</c:v>
                </c:pt>
                <c:pt idx="349">
                  <c:v>0.2</c:v>
                </c:pt>
                <c:pt idx="350">
                  <c:v>0.2</c:v>
                </c:pt>
                <c:pt idx="351">
                  <c:v>0.2</c:v>
                </c:pt>
                <c:pt idx="352">
                  <c:v>0.2</c:v>
                </c:pt>
                <c:pt idx="353">
                  <c:v>0.2</c:v>
                </c:pt>
                <c:pt idx="354">
                  <c:v>0.2</c:v>
                </c:pt>
                <c:pt idx="355">
                  <c:v>0.2</c:v>
                </c:pt>
                <c:pt idx="356">
                  <c:v>0.2</c:v>
                </c:pt>
                <c:pt idx="357">
                  <c:v>0.2</c:v>
                </c:pt>
                <c:pt idx="358">
                  <c:v>0.2</c:v>
                </c:pt>
                <c:pt idx="359">
                  <c:v>0.2</c:v>
                </c:pt>
                <c:pt idx="360">
                  <c:v>0.2</c:v>
                </c:pt>
                <c:pt idx="361">
                  <c:v>0.2</c:v>
                </c:pt>
                <c:pt idx="362">
                  <c:v>0.2</c:v>
                </c:pt>
                <c:pt idx="363">
                  <c:v>0.2</c:v>
                </c:pt>
                <c:pt idx="364">
                  <c:v>0.2</c:v>
                </c:pt>
                <c:pt idx="365">
                  <c:v>0.2</c:v>
                </c:pt>
                <c:pt idx="366">
                  <c:v>0.2</c:v>
                </c:pt>
                <c:pt idx="367">
                  <c:v>0.2</c:v>
                </c:pt>
                <c:pt idx="368">
                  <c:v>0.2</c:v>
                </c:pt>
                <c:pt idx="369">
                  <c:v>0.2</c:v>
                </c:pt>
                <c:pt idx="370">
                  <c:v>0.2</c:v>
                </c:pt>
                <c:pt idx="371">
                  <c:v>0.2</c:v>
                </c:pt>
                <c:pt idx="372">
                  <c:v>0.2</c:v>
                </c:pt>
                <c:pt idx="373">
                  <c:v>0.2</c:v>
                </c:pt>
                <c:pt idx="374">
                  <c:v>0.2</c:v>
                </c:pt>
                <c:pt idx="375">
                  <c:v>0.2</c:v>
                </c:pt>
                <c:pt idx="376">
                  <c:v>0.2</c:v>
                </c:pt>
                <c:pt idx="377">
                  <c:v>0.2</c:v>
                </c:pt>
                <c:pt idx="378">
                  <c:v>0.2</c:v>
                </c:pt>
                <c:pt idx="379">
                  <c:v>0.2</c:v>
                </c:pt>
                <c:pt idx="380">
                  <c:v>0.2</c:v>
                </c:pt>
                <c:pt idx="381">
                  <c:v>0.2</c:v>
                </c:pt>
                <c:pt idx="382">
                  <c:v>0.2</c:v>
                </c:pt>
                <c:pt idx="383">
                  <c:v>0.2</c:v>
                </c:pt>
                <c:pt idx="384">
                  <c:v>0.2</c:v>
                </c:pt>
                <c:pt idx="385">
                  <c:v>0.2</c:v>
                </c:pt>
                <c:pt idx="386">
                  <c:v>0.2</c:v>
                </c:pt>
                <c:pt idx="387">
                  <c:v>0.2</c:v>
                </c:pt>
                <c:pt idx="388">
                  <c:v>0.2</c:v>
                </c:pt>
                <c:pt idx="389">
                  <c:v>0.2</c:v>
                </c:pt>
                <c:pt idx="390">
                  <c:v>0.2</c:v>
                </c:pt>
                <c:pt idx="391">
                  <c:v>0.2</c:v>
                </c:pt>
                <c:pt idx="392">
                  <c:v>0.2</c:v>
                </c:pt>
                <c:pt idx="393">
                  <c:v>0.2</c:v>
                </c:pt>
              </c:numCache>
            </c:numRef>
          </c:val>
          <c:extLst>
            <c:ext xmlns:c16="http://schemas.microsoft.com/office/drawing/2014/chart" uri="{C3380CC4-5D6E-409C-BE32-E72D297353CC}">
              <c16:uniqueId val="{00000024-4E27-D84C-97BA-B8CAA156D563}"/>
            </c:ext>
          </c:extLst>
        </c:ser>
        <c:ser>
          <c:idx val="2"/>
          <c:order val="3"/>
          <c:tx>
            <c:v>red</c:v>
          </c:tx>
          <c:spPr>
            <a:solidFill>
              <a:srgbClr val="FF0000">
                <a:alpha val="50000"/>
              </a:srgbClr>
            </a:solidFill>
            <a:ln w="38100">
              <a:noFill/>
              <a:prstDash val="sysDot"/>
            </a:ln>
            <a:effectLst/>
          </c:spPr>
          <c:invertIfNegative val="0"/>
          <c:dLbls>
            <c:dLbl>
              <c:idx val="2"/>
              <c:delete val="1"/>
              <c:extLst>
                <c:ext xmlns:c15="http://schemas.microsoft.com/office/drawing/2012/chart" uri="{CE6537A1-D6FC-4f65-9D91-7224C49458BB}"/>
                <c:ext xmlns:c16="http://schemas.microsoft.com/office/drawing/2014/chart" uri="{C3380CC4-5D6E-409C-BE32-E72D297353CC}">
                  <c16:uniqueId val="{00000000-9354-574F-9272-F8E10BD7CA4C}"/>
                </c:ext>
              </c:extLst>
            </c:dLbl>
            <c:dLbl>
              <c:idx val="3"/>
              <c:delete val="1"/>
              <c:extLst>
                <c:ext xmlns:c15="http://schemas.microsoft.com/office/drawing/2012/chart" uri="{CE6537A1-D6FC-4f65-9D91-7224C49458BB}"/>
                <c:ext xmlns:c16="http://schemas.microsoft.com/office/drawing/2014/chart" uri="{C3380CC4-5D6E-409C-BE32-E72D297353CC}">
                  <c16:uniqueId val="{00000001-9354-574F-9272-F8E10BD7CA4C}"/>
                </c:ext>
              </c:extLst>
            </c:dLbl>
            <c:dLbl>
              <c:idx val="4"/>
              <c:delete val="1"/>
              <c:extLst>
                <c:ext xmlns:c15="http://schemas.microsoft.com/office/drawing/2012/chart" uri="{CE6537A1-D6FC-4f65-9D91-7224C49458BB}"/>
                <c:ext xmlns:c16="http://schemas.microsoft.com/office/drawing/2014/chart" uri="{C3380CC4-5D6E-409C-BE32-E72D297353CC}">
                  <c16:uniqueId val="{00000002-9354-574F-9272-F8E10BD7CA4C}"/>
                </c:ext>
              </c:extLst>
            </c:dLbl>
            <c:dLbl>
              <c:idx val="5"/>
              <c:delete val="1"/>
              <c:extLst>
                <c:ext xmlns:c15="http://schemas.microsoft.com/office/drawing/2012/chart" uri="{CE6537A1-D6FC-4f65-9D91-7224C49458BB}"/>
                <c:ext xmlns:c16="http://schemas.microsoft.com/office/drawing/2014/chart" uri="{C3380CC4-5D6E-409C-BE32-E72D297353CC}">
                  <c16:uniqueId val="{00000003-9354-574F-9272-F8E10BD7CA4C}"/>
                </c:ext>
              </c:extLst>
            </c:dLbl>
            <c:dLbl>
              <c:idx val="6"/>
              <c:delete val="1"/>
              <c:extLst>
                <c:ext xmlns:c15="http://schemas.microsoft.com/office/drawing/2012/chart" uri="{CE6537A1-D6FC-4f65-9D91-7224C49458BB}"/>
                <c:ext xmlns:c16="http://schemas.microsoft.com/office/drawing/2014/chart" uri="{C3380CC4-5D6E-409C-BE32-E72D297353CC}">
                  <c16:uniqueId val="{00000004-9354-574F-9272-F8E10BD7CA4C}"/>
                </c:ext>
              </c:extLst>
            </c:dLbl>
            <c:dLbl>
              <c:idx val="7"/>
              <c:delete val="1"/>
              <c:extLst>
                <c:ext xmlns:c15="http://schemas.microsoft.com/office/drawing/2012/chart" uri="{CE6537A1-D6FC-4f65-9D91-7224C49458BB}"/>
                <c:ext xmlns:c16="http://schemas.microsoft.com/office/drawing/2014/chart" uri="{C3380CC4-5D6E-409C-BE32-E72D297353CC}">
                  <c16:uniqueId val="{00000005-9354-574F-9272-F8E10BD7CA4C}"/>
                </c:ext>
              </c:extLst>
            </c:dLbl>
            <c:dLbl>
              <c:idx val="8"/>
              <c:delete val="1"/>
              <c:extLst>
                <c:ext xmlns:c15="http://schemas.microsoft.com/office/drawing/2012/chart" uri="{CE6537A1-D6FC-4f65-9D91-7224C49458BB}"/>
                <c:ext xmlns:c16="http://schemas.microsoft.com/office/drawing/2014/chart" uri="{C3380CC4-5D6E-409C-BE32-E72D297353CC}">
                  <c16:uniqueId val="{00000006-9354-574F-9272-F8E10BD7CA4C}"/>
                </c:ext>
              </c:extLst>
            </c:dLbl>
            <c:dLbl>
              <c:idx val="9"/>
              <c:delete val="1"/>
              <c:extLst>
                <c:ext xmlns:c15="http://schemas.microsoft.com/office/drawing/2012/chart" uri="{CE6537A1-D6FC-4f65-9D91-7224C49458BB}"/>
                <c:ext xmlns:c16="http://schemas.microsoft.com/office/drawing/2014/chart" uri="{C3380CC4-5D6E-409C-BE32-E72D297353CC}">
                  <c16:uniqueId val="{00000007-9354-574F-9272-F8E10BD7CA4C}"/>
                </c:ext>
              </c:extLst>
            </c:dLbl>
            <c:dLbl>
              <c:idx val="10"/>
              <c:delete val="1"/>
              <c:extLst>
                <c:ext xmlns:c15="http://schemas.microsoft.com/office/drawing/2012/chart" uri="{CE6537A1-D6FC-4f65-9D91-7224C49458BB}"/>
                <c:ext xmlns:c16="http://schemas.microsoft.com/office/drawing/2014/chart" uri="{C3380CC4-5D6E-409C-BE32-E72D297353CC}">
                  <c16:uniqueId val="{00000008-9354-574F-9272-F8E10BD7CA4C}"/>
                </c:ext>
              </c:extLst>
            </c:dLbl>
            <c:dLbl>
              <c:idx val="11"/>
              <c:delete val="1"/>
              <c:extLst>
                <c:ext xmlns:c15="http://schemas.microsoft.com/office/drawing/2012/chart" uri="{CE6537A1-D6FC-4f65-9D91-7224C49458BB}"/>
                <c:ext xmlns:c16="http://schemas.microsoft.com/office/drawing/2014/chart" uri="{C3380CC4-5D6E-409C-BE32-E72D297353CC}">
                  <c16:uniqueId val="{00000009-9354-574F-9272-F8E10BD7CA4C}"/>
                </c:ext>
              </c:extLst>
            </c:dLbl>
            <c:dLbl>
              <c:idx val="12"/>
              <c:delete val="1"/>
              <c:extLst>
                <c:ext xmlns:c15="http://schemas.microsoft.com/office/drawing/2012/chart" uri="{CE6537A1-D6FC-4f65-9D91-7224C49458BB}"/>
                <c:ext xmlns:c16="http://schemas.microsoft.com/office/drawing/2014/chart" uri="{C3380CC4-5D6E-409C-BE32-E72D297353CC}">
                  <c16:uniqueId val="{0000000A-9354-574F-9272-F8E10BD7CA4C}"/>
                </c:ext>
              </c:extLst>
            </c:dLbl>
            <c:dLbl>
              <c:idx val="13"/>
              <c:delete val="1"/>
              <c:extLst>
                <c:ext xmlns:c15="http://schemas.microsoft.com/office/drawing/2012/chart" uri="{CE6537A1-D6FC-4f65-9D91-7224C49458BB}"/>
                <c:ext xmlns:c16="http://schemas.microsoft.com/office/drawing/2014/chart" uri="{C3380CC4-5D6E-409C-BE32-E72D297353CC}">
                  <c16:uniqueId val="{0000000B-9354-574F-9272-F8E10BD7CA4C}"/>
                </c:ext>
              </c:extLst>
            </c:dLbl>
            <c:dLbl>
              <c:idx val="14"/>
              <c:delete val="1"/>
              <c:extLst>
                <c:ext xmlns:c15="http://schemas.microsoft.com/office/drawing/2012/chart" uri="{CE6537A1-D6FC-4f65-9D91-7224C49458BB}"/>
                <c:ext xmlns:c16="http://schemas.microsoft.com/office/drawing/2014/chart" uri="{C3380CC4-5D6E-409C-BE32-E72D297353CC}">
                  <c16:uniqueId val="{0000000C-9354-574F-9272-F8E10BD7CA4C}"/>
                </c:ext>
              </c:extLst>
            </c:dLbl>
            <c:dLbl>
              <c:idx val="15"/>
              <c:delete val="1"/>
              <c:extLst>
                <c:ext xmlns:c15="http://schemas.microsoft.com/office/drawing/2012/chart" uri="{CE6537A1-D6FC-4f65-9D91-7224C49458BB}"/>
                <c:ext xmlns:c16="http://schemas.microsoft.com/office/drawing/2014/chart" uri="{C3380CC4-5D6E-409C-BE32-E72D297353CC}">
                  <c16:uniqueId val="{0000000D-9354-574F-9272-F8E10BD7CA4C}"/>
                </c:ext>
              </c:extLst>
            </c:dLbl>
            <c:dLbl>
              <c:idx val="16"/>
              <c:delete val="1"/>
              <c:extLst>
                <c:ext xmlns:c15="http://schemas.microsoft.com/office/drawing/2012/chart" uri="{CE6537A1-D6FC-4f65-9D91-7224C49458BB}"/>
                <c:ext xmlns:c16="http://schemas.microsoft.com/office/drawing/2014/chart" uri="{C3380CC4-5D6E-409C-BE32-E72D297353CC}">
                  <c16:uniqueId val="{0000000E-9354-574F-9272-F8E10BD7CA4C}"/>
                </c:ext>
              </c:extLst>
            </c:dLbl>
            <c:dLbl>
              <c:idx val="17"/>
              <c:delete val="1"/>
              <c:extLst>
                <c:ext xmlns:c15="http://schemas.microsoft.com/office/drawing/2012/chart" uri="{CE6537A1-D6FC-4f65-9D91-7224C49458BB}"/>
                <c:ext xmlns:c16="http://schemas.microsoft.com/office/drawing/2014/chart" uri="{C3380CC4-5D6E-409C-BE32-E72D297353CC}">
                  <c16:uniqueId val="{0000000F-9354-574F-9272-F8E10BD7CA4C}"/>
                </c:ext>
              </c:extLst>
            </c:dLbl>
            <c:dLbl>
              <c:idx val="18"/>
              <c:delete val="1"/>
              <c:extLst>
                <c:ext xmlns:c15="http://schemas.microsoft.com/office/drawing/2012/chart" uri="{CE6537A1-D6FC-4f65-9D91-7224C49458BB}"/>
                <c:ext xmlns:c16="http://schemas.microsoft.com/office/drawing/2014/chart" uri="{C3380CC4-5D6E-409C-BE32-E72D297353CC}">
                  <c16:uniqueId val="{00000010-9354-574F-9272-F8E10BD7CA4C}"/>
                </c:ext>
              </c:extLst>
            </c:dLbl>
            <c:dLbl>
              <c:idx val="19"/>
              <c:delete val="1"/>
              <c:extLst>
                <c:ext xmlns:c15="http://schemas.microsoft.com/office/drawing/2012/chart" uri="{CE6537A1-D6FC-4f65-9D91-7224C49458BB}"/>
                <c:ext xmlns:c16="http://schemas.microsoft.com/office/drawing/2014/chart" uri="{C3380CC4-5D6E-409C-BE32-E72D297353CC}">
                  <c16:uniqueId val="{00000011-9354-574F-9272-F8E10BD7CA4C}"/>
                </c:ext>
              </c:extLst>
            </c:dLbl>
            <c:dLbl>
              <c:idx val="20"/>
              <c:layout>
                <c:manualLayout>
                  <c:x val="-0.11685679427237286"/>
                  <c:y val="-7.1528788215053221E-2"/>
                </c:manualLayout>
              </c:layout>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tx1">
                          <a:lumMod val="75000"/>
                          <a:lumOff val="25000"/>
                        </a:schemeClr>
                      </a:solidFill>
                      <a:latin typeface="Helvetica" pitchFamily="2"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2-9354-574F-9272-F8E10BD7CA4C}"/>
                </c:ext>
              </c:extLst>
            </c:dLbl>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tx1">
                        <a:lumMod val="75000"/>
                        <a:lumOff val="25000"/>
                      </a:schemeClr>
                    </a:solidFill>
                    <a:latin typeface="Helvetica" pitchFamily="2"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'Case Percentage'!$K$3:$K$396</c:f>
              <c:numCache>
                <c:formatCode>m/d/yy</c:formatCode>
                <c:ptCount val="394"/>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pt idx="26">
                  <c:v>43939</c:v>
                </c:pt>
                <c:pt idx="27">
                  <c:v>43940</c:v>
                </c:pt>
                <c:pt idx="28">
                  <c:v>43941</c:v>
                </c:pt>
                <c:pt idx="29">
                  <c:v>43942</c:v>
                </c:pt>
                <c:pt idx="30">
                  <c:v>43943</c:v>
                </c:pt>
                <c:pt idx="31">
                  <c:v>43944</c:v>
                </c:pt>
                <c:pt idx="32">
                  <c:v>43945</c:v>
                </c:pt>
                <c:pt idx="33">
                  <c:v>43946</c:v>
                </c:pt>
                <c:pt idx="34">
                  <c:v>43947</c:v>
                </c:pt>
                <c:pt idx="35">
                  <c:v>43948</c:v>
                </c:pt>
                <c:pt idx="36">
                  <c:v>43949</c:v>
                </c:pt>
                <c:pt idx="37">
                  <c:v>43950</c:v>
                </c:pt>
                <c:pt idx="38">
                  <c:v>43951</c:v>
                </c:pt>
                <c:pt idx="39">
                  <c:v>43952</c:v>
                </c:pt>
                <c:pt idx="40">
                  <c:v>43953</c:v>
                </c:pt>
                <c:pt idx="41">
                  <c:v>43954</c:v>
                </c:pt>
                <c:pt idx="42">
                  <c:v>43955</c:v>
                </c:pt>
                <c:pt idx="43">
                  <c:v>43956</c:v>
                </c:pt>
                <c:pt idx="44">
                  <c:v>43957</c:v>
                </c:pt>
                <c:pt idx="45">
                  <c:v>43958</c:v>
                </c:pt>
                <c:pt idx="46">
                  <c:v>43959</c:v>
                </c:pt>
                <c:pt idx="47">
                  <c:v>43960</c:v>
                </c:pt>
                <c:pt idx="48">
                  <c:v>43961</c:v>
                </c:pt>
                <c:pt idx="49">
                  <c:v>43962</c:v>
                </c:pt>
                <c:pt idx="50">
                  <c:v>43963</c:v>
                </c:pt>
                <c:pt idx="51">
                  <c:v>43964</c:v>
                </c:pt>
                <c:pt idx="52">
                  <c:v>43965</c:v>
                </c:pt>
                <c:pt idx="53">
                  <c:v>43966</c:v>
                </c:pt>
                <c:pt idx="54">
                  <c:v>43967</c:v>
                </c:pt>
                <c:pt idx="55">
                  <c:v>43968</c:v>
                </c:pt>
                <c:pt idx="56">
                  <c:v>43969</c:v>
                </c:pt>
                <c:pt idx="57">
                  <c:v>43970</c:v>
                </c:pt>
                <c:pt idx="58">
                  <c:v>43971</c:v>
                </c:pt>
                <c:pt idx="59">
                  <c:v>43972</c:v>
                </c:pt>
                <c:pt idx="60">
                  <c:v>43973</c:v>
                </c:pt>
                <c:pt idx="61">
                  <c:v>43974</c:v>
                </c:pt>
                <c:pt idx="62">
                  <c:v>43975</c:v>
                </c:pt>
                <c:pt idx="63">
                  <c:v>43976</c:v>
                </c:pt>
                <c:pt idx="64">
                  <c:v>43977</c:v>
                </c:pt>
                <c:pt idx="65">
                  <c:v>43978</c:v>
                </c:pt>
                <c:pt idx="66">
                  <c:v>43979</c:v>
                </c:pt>
                <c:pt idx="67">
                  <c:v>43980</c:v>
                </c:pt>
                <c:pt idx="68">
                  <c:v>43981</c:v>
                </c:pt>
                <c:pt idx="69">
                  <c:v>43982</c:v>
                </c:pt>
                <c:pt idx="70">
                  <c:v>43983</c:v>
                </c:pt>
                <c:pt idx="71">
                  <c:v>43984</c:v>
                </c:pt>
                <c:pt idx="72">
                  <c:v>43985</c:v>
                </c:pt>
                <c:pt idx="73">
                  <c:v>43986</c:v>
                </c:pt>
                <c:pt idx="74">
                  <c:v>43987</c:v>
                </c:pt>
                <c:pt idx="75">
                  <c:v>43988</c:v>
                </c:pt>
                <c:pt idx="76">
                  <c:v>43989</c:v>
                </c:pt>
                <c:pt idx="77">
                  <c:v>43990</c:v>
                </c:pt>
                <c:pt idx="78">
                  <c:v>43991</c:v>
                </c:pt>
                <c:pt idx="79">
                  <c:v>43992</c:v>
                </c:pt>
                <c:pt idx="80">
                  <c:v>43993</c:v>
                </c:pt>
                <c:pt idx="81">
                  <c:v>43994</c:v>
                </c:pt>
                <c:pt idx="82">
                  <c:v>43995</c:v>
                </c:pt>
                <c:pt idx="83">
                  <c:v>43996</c:v>
                </c:pt>
                <c:pt idx="84">
                  <c:v>43997</c:v>
                </c:pt>
                <c:pt idx="85">
                  <c:v>43998</c:v>
                </c:pt>
                <c:pt idx="86">
                  <c:v>43999</c:v>
                </c:pt>
                <c:pt idx="87">
                  <c:v>44000</c:v>
                </c:pt>
                <c:pt idx="88">
                  <c:v>44001</c:v>
                </c:pt>
                <c:pt idx="89">
                  <c:v>44002</c:v>
                </c:pt>
                <c:pt idx="90">
                  <c:v>44003</c:v>
                </c:pt>
                <c:pt idx="91">
                  <c:v>44004</c:v>
                </c:pt>
                <c:pt idx="92">
                  <c:v>44005</c:v>
                </c:pt>
                <c:pt idx="93">
                  <c:v>44006</c:v>
                </c:pt>
                <c:pt idx="94">
                  <c:v>44007</c:v>
                </c:pt>
                <c:pt idx="95">
                  <c:v>44008</c:v>
                </c:pt>
                <c:pt idx="96">
                  <c:v>44009</c:v>
                </c:pt>
                <c:pt idx="97">
                  <c:v>44010</c:v>
                </c:pt>
                <c:pt idx="98">
                  <c:v>44011</c:v>
                </c:pt>
                <c:pt idx="99">
                  <c:v>44012</c:v>
                </c:pt>
                <c:pt idx="100">
                  <c:v>44013</c:v>
                </c:pt>
                <c:pt idx="101">
                  <c:v>44014</c:v>
                </c:pt>
                <c:pt idx="102">
                  <c:v>44015</c:v>
                </c:pt>
                <c:pt idx="103">
                  <c:v>44016</c:v>
                </c:pt>
                <c:pt idx="104">
                  <c:v>44017</c:v>
                </c:pt>
                <c:pt idx="105">
                  <c:v>44018</c:v>
                </c:pt>
                <c:pt idx="106">
                  <c:v>44019</c:v>
                </c:pt>
                <c:pt idx="107">
                  <c:v>44020</c:v>
                </c:pt>
                <c:pt idx="108">
                  <c:v>44021</c:v>
                </c:pt>
                <c:pt idx="109">
                  <c:v>44022</c:v>
                </c:pt>
                <c:pt idx="110">
                  <c:v>44023</c:v>
                </c:pt>
                <c:pt idx="111">
                  <c:v>44024</c:v>
                </c:pt>
                <c:pt idx="112">
                  <c:v>44025</c:v>
                </c:pt>
                <c:pt idx="113">
                  <c:v>44026</c:v>
                </c:pt>
                <c:pt idx="114">
                  <c:v>44027</c:v>
                </c:pt>
                <c:pt idx="115">
                  <c:v>44028</c:v>
                </c:pt>
                <c:pt idx="116">
                  <c:v>44029</c:v>
                </c:pt>
                <c:pt idx="117">
                  <c:v>44030</c:v>
                </c:pt>
                <c:pt idx="118">
                  <c:v>44031</c:v>
                </c:pt>
                <c:pt idx="119">
                  <c:v>44032</c:v>
                </c:pt>
                <c:pt idx="120">
                  <c:v>44033</c:v>
                </c:pt>
                <c:pt idx="121">
                  <c:v>44034</c:v>
                </c:pt>
                <c:pt idx="122">
                  <c:v>44035</c:v>
                </c:pt>
                <c:pt idx="123">
                  <c:v>44036</c:v>
                </c:pt>
                <c:pt idx="124">
                  <c:v>44037</c:v>
                </c:pt>
                <c:pt idx="125">
                  <c:v>44038</c:v>
                </c:pt>
                <c:pt idx="126">
                  <c:v>44039</c:v>
                </c:pt>
                <c:pt idx="127">
                  <c:v>44040</c:v>
                </c:pt>
                <c:pt idx="128">
                  <c:v>44041</c:v>
                </c:pt>
                <c:pt idx="129">
                  <c:v>44042</c:v>
                </c:pt>
                <c:pt idx="130">
                  <c:v>44043</c:v>
                </c:pt>
                <c:pt idx="131">
                  <c:v>44044</c:v>
                </c:pt>
                <c:pt idx="132">
                  <c:v>44045</c:v>
                </c:pt>
                <c:pt idx="133">
                  <c:v>44046</c:v>
                </c:pt>
                <c:pt idx="134">
                  <c:v>44047</c:v>
                </c:pt>
                <c:pt idx="135">
                  <c:v>44048</c:v>
                </c:pt>
                <c:pt idx="136">
                  <c:v>44049</c:v>
                </c:pt>
                <c:pt idx="137">
                  <c:v>44050</c:v>
                </c:pt>
                <c:pt idx="138">
                  <c:v>44051</c:v>
                </c:pt>
                <c:pt idx="139">
                  <c:v>44052</c:v>
                </c:pt>
                <c:pt idx="140">
                  <c:v>44053</c:v>
                </c:pt>
                <c:pt idx="141">
                  <c:v>44054</c:v>
                </c:pt>
                <c:pt idx="142">
                  <c:v>44055</c:v>
                </c:pt>
                <c:pt idx="143">
                  <c:v>44056</c:v>
                </c:pt>
                <c:pt idx="144">
                  <c:v>44057</c:v>
                </c:pt>
                <c:pt idx="145">
                  <c:v>44058</c:v>
                </c:pt>
                <c:pt idx="146">
                  <c:v>44059</c:v>
                </c:pt>
                <c:pt idx="147">
                  <c:v>44060</c:v>
                </c:pt>
                <c:pt idx="148">
                  <c:v>44061</c:v>
                </c:pt>
                <c:pt idx="149">
                  <c:v>44062</c:v>
                </c:pt>
                <c:pt idx="150">
                  <c:v>44063</c:v>
                </c:pt>
                <c:pt idx="151">
                  <c:v>44064</c:v>
                </c:pt>
                <c:pt idx="152">
                  <c:v>44065</c:v>
                </c:pt>
                <c:pt idx="153">
                  <c:v>44066</c:v>
                </c:pt>
                <c:pt idx="154">
                  <c:v>44067</c:v>
                </c:pt>
                <c:pt idx="155">
                  <c:v>44068</c:v>
                </c:pt>
                <c:pt idx="156">
                  <c:v>44069</c:v>
                </c:pt>
                <c:pt idx="157">
                  <c:v>44070</c:v>
                </c:pt>
                <c:pt idx="158">
                  <c:v>44071</c:v>
                </c:pt>
                <c:pt idx="159">
                  <c:v>44072</c:v>
                </c:pt>
                <c:pt idx="160">
                  <c:v>44073</c:v>
                </c:pt>
                <c:pt idx="161">
                  <c:v>44074</c:v>
                </c:pt>
                <c:pt idx="162">
                  <c:v>44075</c:v>
                </c:pt>
                <c:pt idx="163">
                  <c:v>44076</c:v>
                </c:pt>
                <c:pt idx="164">
                  <c:v>44077</c:v>
                </c:pt>
                <c:pt idx="165">
                  <c:v>44078</c:v>
                </c:pt>
                <c:pt idx="166">
                  <c:v>44079</c:v>
                </c:pt>
                <c:pt idx="167">
                  <c:v>44080</c:v>
                </c:pt>
                <c:pt idx="168">
                  <c:v>44081</c:v>
                </c:pt>
                <c:pt idx="169">
                  <c:v>44082</c:v>
                </c:pt>
                <c:pt idx="170">
                  <c:v>44083</c:v>
                </c:pt>
                <c:pt idx="171">
                  <c:v>44084</c:v>
                </c:pt>
                <c:pt idx="172">
                  <c:v>44085</c:v>
                </c:pt>
                <c:pt idx="173">
                  <c:v>44086</c:v>
                </c:pt>
                <c:pt idx="174">
                  <c:v>44087</c:v>
                </c:pt>
                <c:pt idx="175">
                  <c:v>44088</c:v>
                </c:pt>
                <c:pt idx="176">
                  <c:v>44089</c:v>
                </c:pt>
                <c:pt idx="177">
                  <c:v>44090</c:v>
                </c:pt>
                <c:pt idx="178">
                  <c:v>44091</c:v>
                </c:pt>
                <c:pt idx="179">
                  <c:v>44092</c:v>
                </c:pt>
                <c:pt idx="180">
                  <c:v>44093</c:v>
                </c:pt>
                <c:pt idx="181">
                  <c:v>44094</c:v>
                </c:pt>
                <c:pt idx="182">
                  <c:v>44095</c:v>
                </c:pt>
                <c:pt idx="183">
                  <c:v>44096</c:v>
                </c:pt>
                <c:pt idx="184">
                  <c:v>44097</c:v>
                </c:pt>
                <c:pt idx="185">
                  <c:v>44098</c:v>
                </c:pt>
                <c:pt idx="186">
                  <c:v>44099</c:v>
                </c:pt>
                <c:pt idx="187">
                  <c:v>44100</c:v>
                </c:pt>
                <c:pt idx="188">
                  <c:v>44101</c:v>
                </c:pt>
                <c:pt idx="189">
                  <c:v>44102</c:v>
                </c:pt>
                <c:pt idx="190">
                  <c:v>44103</c:v>
                </c:pt>
                <c:pt idx="191">
                  <c:v>44104</c:v>
                </c:pt>
                <c:pt idx="192">
                  <c:v>44105</c:v>
                </c:pt>
                <c:pt idx="193">
                  <c:v>44106</c:v>
                </c:pt>
                <c:pt idx="194">
                  <c:v>44107</c:v>
                </c:pt>
                <c:pt idx="195">
                  <c:v>44108</c:v>
                </c:pt>
                <c:pt idx="196">
                  <c:v>44109</c:v>
                </c:pt>
                <c:pt idx="197">
                  <c:v>44110</c:v>
                </c:pt>
                <c:pt idx="198">
                  <c:v>44111</c:v>
                </c:pt>
                <c:pt idx="199">
                  <c:v>44112</c:v>
                </c:pt>
                <c:pt idx="200">
                  <c:v>44113</c:v>
                </c:pt>
                <c:pt idx="201">
                  <c:v>44114</c:v>
                </c:pt>
                <c:pt idx="202">
                  <c:v>44115</c:v>
                </c:pt>
                <c:pt idx="203">
                  <c:v>44116</c:v>
                </c:pt>
                <c:pt idx="204">
                  <c:v>44117</c:v>
                </c:pt>
                <c:pt idx="205">
                  <c:v>44118</c:v>
                </c:pt>
                <c:pt idx="206">
                  <c:v>44119</c:v>
                </c:pt>
                <c:pt idx="207">
                  <c:v>44120</c:v>
                </c:pt>
                <c:pt idx="208">
                  <c:v>44121</c:v>
                </c:pt>
                <c:pt idx="209">
                  <c:v>44122</c:v>
                </c:pt>
                <c:pt idx="210">
                  <c:v>44123</c:v>
                </c:pt>
                <c:pt idx="211">
                  <c:v>44124</c:v>
                </c:pt>
                <c:pt idx="212">
                  <c:v>44125</c:v>
                </c:pt>
                <c:pt idx="213">
                  <c:v>44126</c:v>
                </c:pt>
                <c:pt idx="214">
                  <c:v>44127</c:v>
                </c:pt>
                <c:pt idx="215">
                  <c:v>44128</c:v>
                </c:pt>
                <c:pt idx="216">
                  <c:v>44129</c:v>
                </c:pt>
                <c:pt idx="217">
                  <c:v>44130</c:v>
                </c:pt>
                <c:pt idx="218">
                  <c:v>44131</c:v>
                </c:pt>
                <c:pt idx="219">
                  <c:v>44132</c:v>
                </c:pt>
                <c:pt idx="220">
                  <c:v>44133</c:v>
                </c:pt>
                <c:pt idx="221">
                  <c:v>44134</c:v>
                </c:pt>
                <c:pt idx="222">
                  <c:v>44135</c:v>
                </c:pt>
                <c:pt idx="223">
                  <c:v>44136</c:v>
                </c:pt>
                <c:pt idx="224">
                  <c:v>44137</c:v>
                </c:pt>
                <c:pt idx="225">
                  <c:v>44138</c:v>
                </c:pt>
                <c:pt idx="226">
                  <c:v>44139</c:v>
                </c:pt>
                <c:pt idx="227">
                  <c:v>44140</c:v>
                </c:pt>
                <c:pt idx="228">
                  <c:v>44141</c:v>
                </c:pt>
                <c:pt idx="229">
                  <c:v>44142</c:v>
                </c:pt>
                <c:pt idx="230">
                  <c:v>44143</c:v>
                </c:pt>
                <c:pt idx="231">
                  <c:v>44144</c:v>
                </c:pt>
                <c:pt idx="232">
                  <c:v>44145</c:v>
                </c:pt>
                <c:pt idx="233">
                  <c:v>44146</c:v>
                </c:pt>
                <c:pt idx="234">
                  <c:v>44147</c:v>
                </c:pt>
                <c:pt idx="235">
                  <c:v>44148</c:v>
                </c:pt>
                <c:pt idx="236">
                  <c:v>44149</c:v>
                </c:pt>
                <c:pt idx="237">
                  <c:v>44150</c:v>
                </c:pt>
                <c:pt idx="238">
                  <c:v>44151</c:v>
                </c:pt>
                <c:pt idx="239">
                  <c:v>44152</c:v>
                </c:pt>
                <c:pt idx="240">
                  <c:v>44153</c:v>
                </c:pt>
                <c:pt idx="241">
                  <c:v>44154</c:v>
                </c:pt>
                <c:pt idx="242">
                  <c:v>44155</c:v>
                </c:pt>
                <c:pt idx="243">
                  <c:v>44156</c:v>
                </c:pt>
                <c:pt idx="244">
                  <c:v>44157</c:v>
                </c:pt>
                <c:pt idx="245">
                  <c:v>44158</c:v>
                </c:pt>
                <c:pt idx="246">
                  <c:v>44159</c:v>
                </c:pt>
                <c:pt idx="247">
                  <c:v>44160</c:v>
                </c:pt>
                <c:pt idx="248">
                  <c:v>44161</c:v>
                </c:pt>
                <c:pt idx="249">
                  <c:v>44162</c:v>
                </c:pt>
                <c:pt idx="250">
                  <c:v>44163</c:v>
                </c:pt>
                <c:pt idx="251">
                  <c:v>44164</c:v>
                </c:pt>
                <c:pt idx="252">
                  <c:v>44165</c:v>
                </c:pt>
                <c:pt idx="253">
                  <c:v>44166</c:v>
                </c:pt>
                <c:pt idx="254">
                  <c:v>44167</c:v>
                </c:pt>
                <c:pt idx="255">
                  <c:v>44168</c:v>
                </c:pt>
                <c:pt idx="256">
                  <c:v>44169</c:v>
                </c:pt>
                <c:pt idx="257">
                  <c:v>44170</c:v>
                </c:pt>
                <c:pt idx="258">
                  <c:v>44171</c:v>
                </c:pt>
                <c:pt idx="259">
                  <c:v>44172</c:v>
                </c:pt>
                <c:pt idx="260">
                  <c:v>44173</c:v>
                </c:pt>
                <c:pt idx="261">
                  <c:v>44174</c:v>
                </c:pt>
                <c:pt idx="262">
                  <c:v>44175</c:v>
                </c:pt>
                <c:pt idx="263">
                  <c:v>44176</c:v>
                </c:pt>
                <c:pt idx="264">
                  <c:v>44177</c:v>
                </c:pt>
                <c:pt idx="265">
                  <c:v>44178</c:v>
                </c:pt>
                <c:pt idx="266">
                  <c:v>44179</c:v>
                </c:pt>
                <c:pt idx="267">
                  <c:v>44180</c:v>
                </c:pt>
                <c:pt idx="268">
                  <c:v>44181</c:v>
                </c:pt>
                <c:pt idx="269">
                  <c:v>44182</c:v>
                </c:pt>
                <c:pt idx="270">
                  <c:v>44183</c:v>
                </c:pt>
                <c:pt idx="271">
                  <c:v>44184</c:v>
                </c:pt>
                <c:pt idx="272">
                  <c:v>44185</c:v>
                </c:pt>
                <c:pt idx="273">
                  <c:v>44186</c:v>
                </c:pt>
                <c:pt idx="274">
                  <c:v>44187</c:v>
                </c:pt>
                <c:pt idx="275">
                  <c:v>44188</c:v>
                </c:pt>
                <c:pt idx="276">
                  <c:v>44189</c:v>
                </c:pt>
                <c:pt idx="277">
                  <c:v>44190</c:v>
                </c:pt>
                <c:pt idx="278">
                  <c:v>44191</c:v>
                </c:pt>
                <c:pt idx="279">
                  <c:v>44192</c:v>
                </c:pt>
                <c:pt idx="280">
                  <c:v>44193</c:v>
                </c:pt>
                <c:pt idx="281">
                  <c:v>44194</c:v>
                </c:pt>
                <c:pt idx="282">
                  <c:v>44195</c:v>
                </c:pt>
                <c:pt idx="283">
                  <c:v>44196</c:v>
                </c:pt>
                <c:pt idx="284">
                  <c:v>44197</c:v>
                </c:pt>
                <c:pt idx="285">
                  <c:v>44198</c:v>
                </c:pt>
                <c:pt idx="286">
                  <c:v>44199</c:v>
                </c:pt>
                <c:pt idx="287">
                  <c:v>44200</c:v>
                </c:pt>
                <c:pt idx="288">
                  <c:v>44201</c:v>
                </c:pt>
                <c:pt idx="289">
                  <c:v>44202</c:v>
                </c:pt>
                <c:pt idx="290">
                  <c:v>44203</c:v>
                </c:pt>
                <c:pt idx="291">
                  <c:v>44204</c:v>
                </c:pt>
                <c:pt idx="292">
                  <c:v>44205</c:v>
                </c:pt>
                <c:pt idx="293">
                  <c:v>44206</c:v>
                </c:pt>
                <c:pt idx="294">
                  <c:v>44207</c:v>
                </c:pt>
                <c:pt idx="295">
                  <c:v>44208</c:v>
                </c:pt>
                <c:pt idx="296">
                  <c:v>44209</c:v>
                </c:pt>
                <c:pt idx="297">
                  <c:v>44210</c:v>
                </c:pt>
                <c:pt idx="298">
                  <c:v>44211</c:v>
                </c:pt>
                <c:pt idx="299">
                  <c:v>44212</c:v>
                </c:pt>
                <c:pt idx="300">
                  <c:v>44213</c:v>
                </c:pt>
                <c:pt idx="301">
                  <c:v>44214</c:v>
                </c:pt>
                <c:pt idx="302">
                  <c:v>44215</c:v>
                </c:pt>
                <c:pt idx="303">
                  <c:v>44216</c:v>
                </c:pt>
                <c:pt idx="304">
                  <c:v>44217</c:v>
                </c:pt>
                <c:pt idx="305">
                  <c:v>44218</c:v>
                </c:pt>
                <c:pt idx="306">
                  <c:v>44219</c:v>
                </c:pt>
                <c:pt idx="307">
                  <c:v>44220</c:v>
                </c:pt>
                <c:pt idx="308">
                  <c:v>44221</c:v>
                </c:pt>
                <c:pt idx="309">
                  <c:v>44222</c:v>
                </c:pt>
                <c:pt idx="310">
                  <c:v>44223</c:v>
                </c:pt>
                <c:pt idx="311">
                  <c:v>44224</c:v>
                </c:pt>
                <c:pt idx="312">
                  <c:v>44225</c:v>
                </c:pt>
                <c:pt idx="313">
                  <c:v>44226</c:v>
                </c:pt>
                <c:pt idx="314">
                  <c:v>44227</c:v>
                </c:pt>
                <c:pt idx="315">
                  <c:v>44228</c:v>
                </c:pt>
                <c:pt idx="316">
                  <c:v>44229</c:v>
                </c:pt>
                <c:pt idx="317">
                  <c:v>44230</c:v>
                </c:pt>
                <c:pt idx="318">
                  <c:v>44231</c:v>
                </c:pt>
                <c:pt idx="319">
                  <c:v>44232</c:v>
                </c:pt>
                <c:pt idx="320">
                  <c:v>44233</c:v>
                </c:pt>
                <c:pt idx="321">
                  <c:v>44234</c:v>
                </c:pt>
                <c:pt idx="322">
                  <c:v>44235</c:v>
                </c:pt>
                <c:pt idx="323">
                  <c:v>44236</c:v>
                </c:pt>
                <c:pt idx="324">
                  <c:v>44237</c:v>
                </c:pt>
                <c:pt idx="325">
                  <c:v>44238</c:v>
                </c:pt>
                <c:pt idx="326">
                  <c:v>44239</c:v>
                </c:pt>
                <c:pt idx="327">
                  <c:v>44240</c:v>
                </c:pt>
                <c:pt idx="328">
                  <c:v>44241</c:v>
                </c:pt>
                <c:pt idx="329">
                  <c:v>44242</c:v>
                </c:pt>
                <c:pt idx="330">
                  <c:v>44243</c:v>
                </c:pt>
                <c:pt idx="331">
                  <c:v>44244</c:v>
                </c:pt>
                <c:pt idx="332">
                  <c:v>44245</c:v>
                </c:pt>
                <c:pt idx="333">
                  <c:v>44246</c:v>
                </c:pt>
                <c:pt idx="334">
                  <c:v>44247</c:v>
                </c:pt>
                <c:pt idx="335">
                  <c:v>44248</c:v>
                </c:pt>
                <c:pt idx="336">
                  <c:v>44249</c:v>
                </c:pt>
                <c:pt idx="337">
                  <c:v>44250</c:v>
                </c:pt>
                <c:pt idx="338">
                  <c:v>44251</c:v>
                </c:pt>
                <c:pt idx="339">
                  <c:v>44252</c:v>
                </c:pt>
                <c:pt idx="340">
                  <c:v>44253</c:v>
                </c:pt>
                <c:pt idx="341">
                  <c:v>44254</c:v>
                </c:pt>
                <c:pt idx="342">
                  <c:v>44255</c:v>
                </c:pt>
                <c:pt idx="343">
                  <c:v>44256</c:v>
                </c:pt>
                <c:pt idx="344">
                  <c:v>44257</c:v>
                </c:pt>
                <c:pt idx="345">
                  <c:v>44258</c:v>
                </c:pt>
                <c:pt idx="346">
                  <c:v>44259</c:v>
                </c:pt>
                <c:pt idx="347">
                  <c:v>44260</c:v>
                </c:pt>
                <c:pt idx="348">
                  <c:v>44261</c:v>
                </c:pt>
                <c:pt idx="349">
                  <c:v>44262</c:v>
                </c:pt>
                <c:pt idx="350">
                  <c:v>44263</c:v>
                </c:pt>
                <c:pt idx="351">
                  <c:v>44264</c:v>
                </c:pt>
                <c:pt idx="352">
                  <c:v>44265</c:v>
                </c:pt>
                <c:pt idx="353">
                  <c:v>44266</c:v>
                </c:pt>
                <c:pt idx="354">
                  <c:v>44267</c:v>
                </c:pt>
                <c:pt idx="355">
                  <c:v>44268</c:v>
                </c:pt>
                <c:pt idx="356">
                  <c:v>44269</c:v>
                </c:pt>
                <c:pt idx="357">
                  <c:v>44270</c:v>
                </c:pt>
                <c:pt idx="358">
                  <c:v>44271</c:v>
                </c:pt>
                <c:pt idx="359">
                  <c:v>44272</c:v>
                </c:pt>
                <c:pt idx="360">
                  <c:v>44273</c:v>
                </c:pt>
                <c:pt idx="361">
                  <c:v>44274</c:v>
                </c:pt>
                <c:pt idx="362">
                  <c:v>44275</c:v>
                </c:pt>
                <c:pt idx="363">
                  <c:v>44276</c:v>
                </c:pt>
                <c:pt idx="364">
                  <c:v>44277</c:v>
                </c:pt>
                <c:pt idx="365">
                  <c:v>44278</c:v>
                </c:pt>
                <c:pt idx="366">
                  <c:v>44279</c:v>
                </c:pt>
                <c:pt idx="367">
                  <c:v>44280</c:v>
                </c:pt>
                <c:pt idx="368">
                  <c:v>44281</c:v>
                </c:pt>
                <c:pt idx="369">
                  <c:v>44282</c:v>
                </c:pt>
                <c:pt idx="370">
                  <c:v>44283</c:v>
                </c:pt>
                <c:pt idx="371">
                  <c:v>44284</c:v>
                </c:pt>
                <c:pt idx="372">
                  <c:v>44285</c:v>
                </c:pt>
                <c:pt idx="373">
                  <c:v>44286</c:v>
                </c:pt>
                <c:pt idx="374">
                  <c:v>44287</c:v>
                </c:pt>
                <c:pt idx="375">
                  <c:v>44288</c:v>
                </c:pt>
                <c:pt idx="376">
                  <c:v>44289</c:v>
                </c:pt>
                <c:pt idx="377">
                  <c:v>44290</c:v>
                </c:pt>
                <c:pt idx="378">
                  <c:v>44291</c:v>
                </c:pt>
                <c:pt idx="379">
                  <c:v>44292</c:v>
                </c:pt>
                <c:pt idx="380">
                  <c:v>44293</c:v>
                </c:pt>
                <c:pt idx="381">
                  <c:v>44294</c:v>
                </c:pt>
                <c:pt idx="382">
                  <c:v>44295</c:v>
                </c:pt>
                <c:pt idx="383">
                  <c:v>44296</c:v>
                </c:pt>
                <c:pt idx="384">
                  <c:v>44297</c:v>
                </c:pt>
                <c:pt idx="385">
                  <c:v>44298</c:v>
                </c:pt>
                <c:pt idx="386">
                  <c:v>44299</c:v>
                </c:pt>
                <c:pt idx="387">
                  <c:v>44300</c:v>
                </c:pt>
                <c:pt idx="388">
                  <c:v>44301</c:v>
                </c:pt>
                <c:pt idx="389">
                  <c:v>44302</c:v>
                </c:pt>
                <c:pt idx="390">
                  <c:v>44303</c:v>
                </c:pt>
                <c:pt idx="391">
                  <c:v>44304</c:v>
                </c:pt>
                <c:pt idx="392">
                  <c:v>44305</c:v>
                </c:pt>
                <c:pt idx="393">
                  <c:v>44306</c:v>
                </c:pt>
              </c:numCache>
            </c:numRef>
          </c:cat>
          <c:val>
            <c:numRef>
              <c:f>'Case Percentage'!$M$3:$M$396</c:f>
              <c:numCache>
                <c:formatCode>0%</c:formatCode>
                <c:ptCount val="394"/>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pt idx="221">
                  <c:v>1</c:v>
                </c:pt>
                <c:pt idx="222">
                  <c:v>1</c:v>
                </c:pt>
                <c:pt idx="223">
                  <c:v>1</c:v>
                </c:pt>
                <c:pt idx="224">
                  <c:v>1</c:v>
                </c:pt>
                <c:pt idx="225">
                  <c:v>1</c:v>
                </c:pt>
                <c:pt idx="226">
                  <c:v>1</c:v>
                </c:pt>
                <c:pt idx="227">
                  <c:v>1</c:v>
                </c:pt>
                <c:pt idx="228">
                  <c:v>1</c:v>
                </c:pt>
                <c:pt idx="229">
                  <c:v>1</c:v>
                </c:pt>
                <c:pt idx="230">
                  <c:v>1</c:v>
                </c:pt>
                <c:pt idx="231">
                  <c:v>1</c:v>
                </c:pt>
                <c:pt idx="232">
                  <c:v>1</c:v>
                </c:pt>
                <c:pt idx="233">
                  <c:v>1</c:v>
                </c:pt>
                <c:pt idx="234">
                  <c:v>1</c:v>
                </c:pt>
                <c:pt idx="235">
                  <c:v>1</c:v>
                </c:pt>
                <c:pt idx="236">
                  <c:v>1</c:v>
                </c:pt>
                <c:pt idx="237">
                  <c:v>1</c:v>
                </c:pt>
                <c:pt idx="238">
                  <c:v>1</c:v>
                </c:pt>
                <c:pt idx="239">
                  <c:v>1</c:v>
                </c:pt>
                <c:pt idx="240">
                  <c:v>1</c:v>
                </c:pt>
                <c:pt idx="241">
                  <c:v>1</c:v>
                </c:pt>
                <c:pt idx="242">
                  <c:v>1</c:v>
                </c:pt>
                <c:pt idx="243">
                  <c:v>1</c:v>
                </c:pt>
                <c:pt idx="244">
                  <c:v>1</c:v>
                </c:pt>
                <c:pt idx="245">
                  <c:v>1</c:v>
                </c:pt>
                <c:pt idx="246">
                  <c:v>1</c:v>
                </c:pt>
                <c:pt idx="247">
                  <c:v>1</c:v>
                </c:pt>
                <c:pt idx="248">
                  <c:v>1</c:v>
                </c:pt>
                <c:pt idx="249">
                  <c:v>1</c:v>
                </c:pt>
                <c:pt idx="250">
                  <c:v>1</c:v>
                </c:pt>
                <c:pt idx="251">
                  <c:v>1</c:v>
                </c:pt>
                <c:pt idx="252">
                  <c:v>1</c:v>
                </c:pt>
                <c:pt idx="253">
                  <c:v>1</c:v>
                </c:pt>
                <c:pt idx="254">
                  <c:v>1</c:v>
                </c:pt>
                <c:pt idx="255">
                  <c:v>1</c:v>
                </c:pt>
                <c:pt idx="256">
                  <c:v>1</c:v>
                </c:pt>
                <c:pt idx="257">
                  <c:v>1</c:v>
                </c:pt>
                <c:pt idx="258">
                  <c:v>1</c:v>
                </c:pt>
                <c:pt idx="259">
                  <c:v>1</c:v>
                </c:pt>
                <c:pt idx="260">
                  <c:v>1</c:v>
                </c:pt>
                <c:pt idx="261">
                  <c:v>1</c:v>
                </c:pt>
                <c:pt idx="262">
                  <c:v>1</c:v>
                </c:pt>
                <c:pt idx="263">
                  <c:v>1</c:v>
                </c:pt>
                <c:pt idx="264">
                  <c:v>1</c:v>
                </c:pt>
                <c:pt idx="265">
                  <c:v>1</c:v>
                </c:pt>
                <c:pt idx="266">
                  <c:v>1</c:v>
                </c:pt>
                <c:pt idx="267">
                  <c:v>1</c:v>
                </c:pt>
                <c:pt idx="268">
                  <c:v>1</c:v>
                </c:pt>
                <c:pt idx="269">
                  <c:v>1</c:v>
                </c:pt>
                <c:pt idx="270">
                  <c:v>1</c:v>
                </c:pt>
                <c:pt idx="271">
                  <c:v>1</c:v>
                </c:pt>
                <c:pt idx="272">
                  <c:v>1</c:v>
                </c:pt>
                <c:pt idx="273">
                  <c:v>1</c:v>
                </c:pt>
                <c:pt idx="274">
                  <c:v>1</c:v>
                </c:pt>
                <c:pt idx="275">
                  <c:v>1</c:v>
                </c:pt>
                <c:pt idx="276">
                  <c:v>1</c:v>
                </c:pt>
                <c:pt idx="277">
                  <c:v>1</c:v>
                </c:pt>
                <c:pt idx="278">
                  <c:v>1</c:v>
                </c:pt>
                <c:pt idx="279">
                  <c:v>1</c:v>
                </c:pt>
                <c:pt idx="280">
                  <c:v>1</c:v>
                </c:pt>
                <c:pt idx="281">
                  <c:v>1</c:v>
                </c:pt>
                <c:pt idx="282">
                  <c:v>1</c:v>
                </c:pt>
                <c:pt idx="283">
                  <c:v>1</c:v>
                </c:pt>
                <c:pt idx="284">
                  <c:v>1</c:v>
                </c:pt>
                <c:pt idx="285">
                  <c:v>1</c:v>
                </c:pt>
                <c:pt idx="286">
                  <c:v>1</c:v>
                </c:pt>
                <c:pt idx="287">
                  <c:v>1</c:v>
                </c:pt>
                <c:pt idx="288">
                  <c:v>1</c:v>
                </c:pt>
                <c:pt idx="289">
                  <c:v>1</c:v>
                </c:pt>
                <c:pt idx="290">
                  <c:v>1</c:v>
                </c:pt>
                <c:pt idx="291">
                  <c:v>1</c:v>
                </c:pt>
                <c:pt idx="292">
                  <c:v>1</c:v>
                </c:pt>
                <c:pt idx="293">
                  <c:v>1</c:v>
                </c:pt>
                <c:pt idx="294">
                  <c:v>1</c:v>
                </c:pt>
                <c:pt idx="295">
                  <c:v>1</c:v>
                </c:pt>
                <c:pt idx="296">
                  <c:v>1</c:v>
                </c:pt>
                <c:pt idx="297">
                  <c:v>1</c:v>
                </c:pt>
                <c:pt idx="298">
                  <c:v>1</c:v>
                </c:pt>
                <c:pt idx="299">
                  <c:v>1</c:v>
                </c:pt>
                <c:pt idx="300">
                  <c:v>1</c:v>
                </c:pt>
                <c:pt idx="301">
                  <c:v>1</c:v>
                </c:pt>
                <c:pt idx="302">
                  <c:v>1</c:v>
                </c:pt>
                <c:pt idx="303">
                  <c:v>1</c:v>
                </c:pt>
                <c:pt idx="304">
                  <c:v>1</c:v>
                </c:pt>
                <c:pt idx="305">
                  <c:v>1</c:v>
                </c:pt>
                <c:pt idx="306">
                  <c:v>1</c:v>
                </c:pt>
                <c:pt idx="307">
                  <c:v>1</c:v>
                </c:pt>
                <c:pt idx="308">
                  <c:v>1</c:v>
                </c:pt>
                <c:pt idx="309">
                  <c:v>1</c:v>
                </c:pt>
                <c:pt idx="310">
                  <c:v>1</c:v>
                </c:pt>
                <c:pt idx="311">
                  <c:v>1</c:v>
                </c:pt>
                <c:pt idx="312">
                  <c:v>1</c:v>
                </c:pt>
                <c:pt idx="313">
                  <c:v>1</c:v>
                </c:pt>
                <c:pt idx="314">
                  <c:v>1</c:v>
                </c:pt>
                <c:pt idx="315">
                  <c:v>1</c:v>
                </c:pt>
                <c:pt idx="316">
                  <c:v>1</c:v>
                </c:pt>
                <c:pt idx="317">
                  <c:v>1</c:v>
                </c:pt>
                <c:pt idx="318">
                  <c:v>1</c:v>
                </c:pt>
                <c:pt idx="319">
                  <c:v>1</c:v>
                </c:pt>
                <c:pt idx="320">
                  <c:v>1</c:v>
                </c:pt>
                <c:pt idx="321">
                  <c:v>1</c:v>
                </c:pt>
                <c:pt idx="322">
                  <c:v>1</c:v>
                </c:pt>
                <c:pt idx="323">
                  <c:v>1</c:v>
                </c:pt>
                <c:pt idx="324">
                  <c:v>1</c:v>
                </c:pt>
                <c:pt idx="325">
                  <c:v>1</c:v>
                </c:pt>
                <c:pt idx="326">
                  <c:v>1</c:v>
                </c:pt>
                <c:pt idx="327">
                  <c:v>1</c:v>
                </c:pt>
                <c:pt idx="328">
                  <c:v>1</c:v>
                </c:pt>
                <c:pt idx="329">
                  <c:v>1</c:v>
                </c:pt>
                <c:pt idx="330">
                  <c:v>1</c:v>
                </c:pt>
                <c:pt idx="331">
                  <c:v>1</c:v>
                </c:pt>
                <c:pt idx="332">
                  <c:v>1</c:v>
                </c:pt>
                <c:pt idx="333">
                  <c:v>1</c:v>
                </c:pt>
                <c:pt idx="334">
                  <c:v>1</c:v>
                </c:pt>
                <c:pt idx="335">
                  <c:v>1</c:v>
                </c:pt>
                <c:pt idx="336">
                  <c:v>1</c:v>
                </c:pt>
                <c:pt idx="337">
                  <c:v>1</c:v>
                </c:pt>
                <c:pt idx="338">
                  <c:v>1</c:v>
                </c:pt>
                <c:pt idx="339">
                  <c:v>1</c:v>
                </c:pt>
                <c:pt idx="340">
                  <c:v>1</c:v>
                </c:pt>
                <c:pt idx="341">
                  <c:v>1</c:v>
                </c:pt>
                <c:pt idx="342">
                  <c:v>1</c:v>
                </c:pt>
                <c:pt idx="343">
                  <c:v>1</c:v>
                </c:pt>
                <c:pt idx="344">
                  <c:v>1</c:v>
                </c:pt>
                <c:pt idx="345">
                  <c:v>1</c:v>
                </c:pt>
                <c:pt idx="346">
                  <c:v>1</c:v>
                </c:pt>
                <c:pt idx="347">
                  <c:v>1</c:v>
                </c:pt>
                <c:pt idx="348">
                  <c:v>1</c:v>
                </c:pt>
                <c:pt idx="349">
                  <c:v>1</c:v>
                </c:pt>
                <c:pt idx="350">
                  <c:v>1</c:v>
                </c:pt>
                <c:pt idx="351">
                  <c:v>1</c:v>
                </c:pt>
                <c:pt idx="352">
                  <c:v>1</c:v>
                </c:pt>
                <c:pt idx="353">
                  <c:v>1</c:v>
                </c:pt>
                <c:pt idx="354">
                  <c:v>1</c:v>
                </c:pt>
                <c:pt idx="355">
                  <c:v>1</c:v>
                </c:pt>
                <c:pt idx="356">
                  <c:v>1</c:v>
                </c:pt>
                <c:pt idx="357">
                  <c:v>1</c:v>
                </c:pt>
                <c:pt idx="358">
                  <c:v>1</c:v>
                </c:pt>
                <c:pt idx="359">
                  <c:v>1</c:v>
                </c:pt>
                <c:pt idx="360">
                  <c:v>1</c:v>
                </c:pt>
                <c:pt idx="361">
                  <c:v>1</c:v>
                </c:pt>
                <c:pt idx="362">
                  <c:v>1</c:v>
                </c:pt>
                <c:pt idx="363">
                  <c:v>1</c:v>
                </c:pt>
                <c:pt idx="364">
                  <c:v>1</c:v>
                </c:pt>
                <c:pt idx="365">
                  <c:v>1</c:v>
                </c:pt>
                <c:pt idx="366">
                  <c:v>1</c:v>
                </c:pt>
                <c:pt idx="367">
                  <c:v>1</c:v>
                </c:pt>
                <c:pt idx="368">
                  <c:v>1</c:v>
                </c:pt>
                <c:pt idx="369">
                  <c:v>1</c:v>
                </c:pt>
                <c:pt idx="370">
                  <c:v>1</c:v>
                </c:pt>
                <c:pt idx="371">
                  <c:v>1</c:v>
                </c:pt>
                <c:pt idx="372">
                  <c:v>1</c:v>
                </c:pt>
                <c:pt idx="373">
                  <c:v>1</c:v>
                </c:pt>
                <c:pt idx="374">
                  <c:v>1</c:v>
                </c:pt>
                <c:pt idx="375">
                  <c:v>1</c:v>
                </c:pt>
                <c:pt idx="376">
                  <c:v>1</c:v>
                </c:pt>
                <c:pt idx="377">
                  <c:v>1</c:v>
                </c:pt>
                <c:pt idx="378">
                  <c:v>1</c:v>
                </c:pt>
                <c:pt idx="379">
                  <c:v>1</c:v>
                </c:pt>
                <c:pt idx="380">
                  <c:v>1</c:v>
                </c:pt>
                <c:pt idx="381">
                  <c:v>1</c:v>
                </c:pt>
                <c:pt idx="382">
                  <c:v>1</c:v>
                </c:pt>
                <c:pt idx="383">
                  <c:v>1</c:v>
                </c:pt>
                <c:pt idx="384">
                  <c:v>1</c:v>
                </c:pt>
                <c:pt idx="385">
                  <c:v>1</c:v>
                </c:pt>
                <c:pt idx="386">
                  <c:v>1</c:v>
                </c:pt>
                <c:pt idx="387">
                  <c:v>1</c:v>
                </c:pt>
                <c:pt idx="388">
                  <c:v>1</c:v>
                </c:pt>
                <c:pt idx="389">
                  <c:v>1</c:v>
                </c:pt>
                <c:pt idx="390">
                  <c:v>1</c:v>
                </c:pt>
                <c:pt idx="391">
                  <c:v>1</c:v>
                </c:pt>
                <c:pt idx="392">
                  <c:v>1</c:v>
                </c:pt>
                <c:pt idx="393">
                  <c:v>1</c:v>
                </c:pt>
              </c:numCache>
            </c:numRef>
          </c:val>
          <c:extLst>
            <c:ext xmlns:c16="http://schemas.microsoft.com/office/drawing/2014/chart" uri="{C3380CC4-5D6E-409C-BE32-E72D297353CC}">
              <c16:uniqueId val="{00000025-4E27-D84C-97BA-B8CAA156D563}"/>
            </c:ext>
          </c:extLst>
        </c:ser>
        <c:dLbls>
          <c:showLegendKey val="0"/>
          <c:showVal val="0"/>
          <c:showCatName val="0"/>
          <c:showSerName val="0"/>
          <c:showPercent val="0"/>
          <c:showBubbleSize val="0"/>
        </c:dLbls>
        <c:gapWidth val="0"/>
        <c:overlap val="100"/>
        <c:axId val="1207535568"/>
        <c:axId val="1207600816"/>
      </c:barChart>
      <c:lineChart>
        <c:grouping val="standard"/>
        <c:varyColors val="0"/>
        <c:ser>
          <c:idx val="4"/>
          <c:order val="0"/>
          <c:tx>
            <c:v>linear growth</c:v>
          </c:tx>
          <c:spPr>
            <a:ln w="76200" cap="rnd">
              <a:solidFill>
                <a:schemeClr val="accent3"/>
              </a:solidFill>
              <a:round/>
            </a:ln>
            <a:effectLst/>
          </c:spPr>
          <c:marker>
            <c:symbol val="circle"/>
            <c:size val="5"/>
            <c:spPr>
              <a:solidFill>
                <a:schemeClr val="accent3"/>
              </a:solidFill>
              <a:ln w="76200">
                <a:solidFill>
                  <a:schemeClr val="accent1"/>
                </a:solidFill>
              </a:ln>
              <a:effectLst/>
            </c:spPr>
          </c:marker>
          <c:trendline>
            <c:spPr>
              <a:ln w="76200" cap="rnd">
                <a:solidFill>
                  <a:schemeClr val="accent5">
                    <a:alpha val="25000"/>
                  </a:schemeClr>
                </a:solidFill>
                <a:prstDash val="dash"/>
              </a:ln>
              <a:effectLst/>
            </c:spPr>
            <c:trendlineType val="linear"/>
            <c:forward val="360"/>
            <c:dispRSqr val="0"/>
            <c:dispEq val="0"/>
          </c:trendline>
          <c:cat>
            <c:numRef>
              <c:f>compute!$A$5:$A$10016</c:f>
              <c:numCache>
                <c:formatCode>d\-mmm</c:formatCode>
                <c:ptCount val="10012"/>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pt idx="26">
                  <c:v>43939</c:v>
                </c:pt>
                <c:pt idx="27">
                  <c:v>43940</c:v>
                </c:pt>
                <c:pt idx="28">
                  <c:v>43941</c:v>
                </c:pt>
                <c:pt idx="29">
                  <c:v>43942</c:v>
                </c:pt>
              </c:numCache>
            </c:numRef>
          </c:cat>
          <c:val>
            <c:numRef>
              <c:f>compute!$C$5:$C$35</c:f>
              <c:numCache>
                <c:formatCode>0.0%</c:formatCode>
                <c:ptCount val="31"/>
                <c:pt idx="0">
                  <c:v>3.5979851283281364E-4</c:v>
                </c:pt>
                <c:pt idx="1">
                  <c:v>5.0153732091846751E-4</c:v>
                </c:pt>
                <c:pt idx="2">
                  <c:v>6.8688806995355323E-4</c:v>
                </c:pt>
                <c:pt idx="3">
                  <c:v>8.2862687803920716E-4</c:v>
                </c:pt>
                <c:pt idx="4">
                  <c:v>9.8126867136221906E-4</c:v>
                </c:pt>
                <c:pt idx="5">
                  <c:v>1.2865522580082426E-3</c:v>
                </c:pt>
                <c:pt idx="6">
                  <c:v>1.7444776379772781E-3</c:v>
                </c:pt>
                <c:pt idx="7">
                  <c:v>2.1478880917595237E-3</c:v>
                </c:pt>
                <c:pt idx="8">
                  <c:v>2.5949104864912012E-3</c:v>
                </c:pt>
                <c:pt idx="9">
                  <c:v>2.900194073137225E-3</c:v>
                </c:pt>
                <c:pt idx="10">
                  <c:v>3.2054776597832488E-3</c:v>
                </c:pt>
                <c:pt idx="11">
                  <c:v>3.3799254235809765E-3</c:v>
                </c:pt>
                <c:pt idx="12">
                  <c:v>3.7833358773632221E-3</c:v>
                </c:pt>
                <c:pt idx="13">
                  <c:v>3.9795896116356661E-3</c:v>
                </c:pt>
                <c:pt idx="14">
                  <c:v>4.3175821539937634E-3</c:v>
                </c:pt>
                <c:pt idx="15">
                  <c:v>4.6664776815892187E-3</c:v>
                </c:pt>
                <c:pt idx="16">
                  <c:v>4.949955297760527E-3</c:v>
                </c:pt>
                <c:pt idx="17">
                  <c:v>5.1025970910835387E-3</c:v>
                </c:pt>
                <c:pt idx="18">
                  <c:v>5.3751717220174881E-3</c:v>
                </c:pt>
                <c:pt idx="19">
                  <c:v>5.6695523234261544E-3</c:v>
                </c:pt>
                <c:pt idx="20">
                  <c:v>5.833097101986524E-3</c:v>
                </c:pt>
                <c:pt idx="21">
                  <c:v>6.1165747181578314E-3</c:v>
                </c:pt>
                <c:pt idx="22">
                  <c:v>6.1928956148193373E-3</c:v>
                </c:pt>
                <c:pt idx="23">
                  <c:v>6.3564403933797069E-3</c:v>
                </c:pt>
                <c:pt idx="24">
                  <c:v>6.4000523343291397E-3</c:v>
                </c:pt>
                <c:pt idx="25">
                  <c:v>6.6181120390762993E-3</c:v>
                </c:pt>
                <c:pt idx="26">
                  <c:v>6.7053359209751631E-3</c:v>
                </c:pt>
                <c:pt idx="27">
                  <c:v>6.9342986109596806E-3</c:v>
                </c:pt>
                <c:pt idx="28">
                  <c:v>6.9888135371464705E-3</c:v>
                </c:pt>
                <c:pt idx="29">
                  <c:v>7.0978433895200503E-3</c:v>
                </c:pt>
              </c:numCache>
            </c:numRef>
          </c:val>
          <c:smooth val="0"/>
          <c:extLst>
            <c:ext xmlns:c16="http://schemas.microsoft.com/office/drawing/2014/chart" uri="{C3380CC4-5D6E-409C-BE32-E72D297353CC}">
              <c16:uniqueId val="{00000016-4E27-D84C-97BA-B8CAA156D563}"/>
            </c:ext>
          </c:extLst>
        </c:ser>
        <c:ser>
          <c:idx val="0"/>
          <c:order val="1"/>
          <c:tx>
            <c:v>exponential growth</c:v>
          </c:tx>
          <c:spPr>
            <a:ln w="25400" cap="rnd">
              <a:noFill/>
              <a:round/>
            </a:ln>
            <a:effectLst/>
          </c:spPr>
          <c:marker>
            <c:symbol val="circle"/>
            <c:size val="5"/>
            <c:spPr>
              <a:solidFill>
                <a:schemeClr val="accent1"/>
              </a:solidFill>
              <a:ln w="9525">
                <a:solidFill>
                  <a:schemeClr val="accent1"/>
                </a:solidFill>
              </a:ln>
              <a:effectLst/>
            </c:spPr>
          </c:marker>
          <c:trendline>
            <c:spPr>
              <a:ln w="76200" cap="rnd">
                <a:solidFill>
                  <a:srgbClr val="FF0000">
                    <a:alpha val="50000"/>
                  </a:srgbClr>
                </a:solidFill>
                <a:prstDash val="sysDot"/>
              </a:ln>
              <a:effectLst/>
            </c:spPr>
            <c:trendlineType val="exp"/>
            <c:forward val="360"/>
            <c:dispRSqr val="0"/>
            <c:dispEq val="0"/>
          </c:trendline>
          <c:val>
            <c:numRef>
              <c:f>compute!$C$5:$C$35</c:f>
              <c:numCache>
                <c:formatCode>0.0%</c:formatCode>
                <c:ptCount val="31"/>
                <c:pt idx="0">
                  <c:v>3.5979851283281364E-4</c:v>
                </c:pt>
                <c:pt idx="1">
                  <c:v>5.0153732091846751E-4</c:v>
                </c:pt>
                <c:pt idx="2">
                  <c:v>6.8688806995355323E-4</c:v>
                </c:pt>
                <c:pt idx="3">
                  <c:v>8.2862687803920716E-4</c:v>
                </c:pt>
                <c:pt idx="4">
                  <c:v>9.8126867136221906E-4</c:v>
                </c:pt>
                <c:pt idx="5">
                  <c:v>1.2865522580082426E-3</c:v>
                </c:pt>
                <c:pt idx="6">
                  <c:v>1.7444776379772781E-3</c:v>
                </c:pt>
                <c:pt idx="7">
                  <c:v>2.1478880917595237E-3</c:v>
                </c:pt>
                <c:pt idx="8">
                  <c:v>2.5949104864912012E-3</c:v>
                </c:pt>
                <c:pt idx="9">
                  <c:v>2.900194073137225E-3</c:v>
                </c:pt>
                <c:pt idx="10">
                  <c:v>3.2054776597832488E-3</c:v>
                </c:pt>
                <c:pt idx="11">
                  <c:v>3.3799254235809765E-3</c:v>
                </c:pt>
                <c:pt idx="12">
                  <c:v>3.7833358773632221E-3</c:v>
                </c:pt>
                <c:pt idx="13">
                  <c:v>3.9795896116356661E-3</c:v>
                </c:pt>
                <c:pt idx="14">
                  <c:v>4.3175821539937634E-3</c:v>
                </c:pt>
                <c:pt idx="15">
                  <c:v>4.6664776815892187E-3</c:v>
                </c:pt>
                <c:pt idx="16">
                  <c:v>4.949955297760527E-3</c:v>
                </c:pt>
                <c:pt idx="17">
                  <c:v>5.1025970910835387E-3</c:v>
                </c:pt>
                <c:pt idx="18">
                  <c:v>5.3751717220174881E-3</c:v>
                </c:pt>
                <c:pt idx="19">
                  <c:v>5.6695523234261544E-3</c:v>
                </c:pt>
                <c:pt idx="20">
                  <c:v>5.833097101986524E-3</c:v>
                </c:pt>
                <c:pt idx="21">
                  <c:v>6.1165747181578314E-3</c:v>
                </c:pt>
                <c:pt idx="22">
                  <c:v>6.1928956148193373E-3</c:v>
                </c:pt>
                <c:pt idx="23">
                  <c:v>6.3564403933797069E-3</c:v>
                </c:pt>
                <c:pt idx="24">
                  <c:v>6.4000523343291397E-3</c:v>
                </c:pt>
                <c:pt idx="25">
                  <c:v>6.6181120390762993E-3</c:v>
                </c:pt>
                <c:pt idx="26">
                  <c:v>6.7053359209751631E-3</c:v>
                </c:pt>
                <c:pt idx="27">
                  <c:v>6.9342986109596806E-3</c:v>
                </c:pt>
                <c:pt idx="28">
                  <c:v>6.9888135371464705E-3</c:v>
                </c:pt>
                <c:pt idx="29">
                  <c:v>7.0978433895200503E-3</c:v>
                </c:pt>
              </c:numCache>
            </c:numRef>
          </c:val>
          <c:smooth val="0"/>
          <c:extLst>
            <c:ext xmlns:c16="http://schemas.microsoft.com/office/drawing/2014/chart" uri="{C3380CC4-5D6E-409C-BE32-E72D297353CC}">
              <c16:uniqueId val="{00000017-4E27-D84C-97BA-B8CAA156D563}"/>
            </c:ext>
          </c:extLst>
        </c:ser>
        <c:dLbls>
          <c:showLegendKey val="0"/>
          <c:showVal val="0"/>
          <c:showCatName val="0"/>
          <c:showSerName val="0"/>
          <c:showPercent val="0"/>
          <c:showBubbleSize val="0"/>
        </c:dLbls>
        <c:marker val="1"/>
        <c:smooth val="0"/>
        <c:axId val="1207535568"/>
        <c:axId val="1207600816"/>
      </c:lineChart>
      <c:catAx>
        <c:axId val="1207535568"/>
        <c:scaling>
          <c:orientation val="minMax"/>
          <c:max val="374"/>
          <c:min val="1"/>
        </c:scaling>
        <c:delete val="0"/>
        <c:axPos val="b"/>
        <c:numFmt formatCode="m/d/yy" sourceLinked="1"/>
        <c:majorTickMark val="out"/>
        <c:minorTickMark val="none"/>
        <c:tickLblPos val="low"/>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600816"/>
        <c:crosses val="autoZero"/>
        <c:auto val="1"/>
        <c:lblAlgn val="ctr"/>
        <c:lblOffset val="100"/>
        <c:tickLblSkip val="90"/>
        <c:tickMarkSkip val="90"/>
        <c:noMultiLvlLbl val="0"/>
      </c:catAx>
      <c:valAx>
        <c:axId val="1207600816"/>
        <c:scaling>
          <c:orientation val="minMax"/>
          <c:max val="0.25"/>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535568"/>
        <c:crosses val="autoZero"/>
        <c:crossBetween val="between"/>
      </c:valAx>
      <c:spPr>
        <a:noFill/>
        <a:ln>
          <a:noFill/>
        </a:ln>
        <a:effectLst/>
      </c:spPr>
    </c:plotArea>
    <c:plotVisOnly val="1"/>
    <c:dispBlanksAs val="span"/>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6570665954891236E-2"/>
          <c:y val="0.14745762711864407"/>
          <c:w val="0.87122594421460031"/>
          <c:h val="0.73277966101694914"/>
        </c:manualLayout>
      </c:layout>
      <c:areaChart>
        <c:grouping val="stacked"/>
        <c:varyColors val="0"/>
        <c:ser>
          <c:idx val="3"/>
          <c:order val="0"/>
          <c:tx>
            <c:strRef>
              <c:f>compute!$L$4</c:f>
              <c:strCache>
                <c:ptCount val="1"/>
                <c:pt idx="0">
                  <c:v>infection percentage, low end of estimate range</c:v>
                </c:pt>
              </c:strCache>
            </c:strRef>
          </c:tx>
          <c:spPr>
            <a:solidFill>
              <a:schemeClr val="bg1"/>
            </a:solidFill>
            <a:ln>
              <a:noFill/>
            </a:ln>
            <a:effectLst/>
          </c:spPr>
          <c:cat>
            <c:numRef>
              <c:f>compute!$A$5:$A$34</c:f>
              <c:numCache>
                <c:formatCode>d\-mmm</c:formatCode>
                <c:ptCount val="30"/>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pt idx="26">
                  <c:v>43939</c:v>
                </c:pt>
                <c:pt idx="27">
                  <c:v>43940</c:v>
                </c:pt>
                <c:pt idx="28">
                  <c:v>43941</c:v>
                </c:pt>
                <c:pt idx="29">
                  <c:v>43942</c:v>
                </c:pt>
              </c:numCache>
            </c:numRef>
          </c:cat>
          <c:val>
            <c:numRef>
              <c:f>compute!$L$5:$L$34</c:f>
              <c:numCache>
                <c:formatCode>0.0%</c:formatCode>
                <c:ptCount val="30"/>
                <c:pt idx="0">
                  <c:v>1.3838404339723601E-3</c:v>
                </c:pt>
                <c:pt idx="1">
                  <c:v>1.9289896958402596E-3</c:v>
                </c:pt>
                <c:pt idx="2">
                  <c:v>2.6418771921290513E-3</c:v>
                </c:pt>
                <c:pt idx="3">
                  <c:v>3.1870264539969506E-3</c:v>
                </c:pt>
                <c:pt idx="4">
                  <c:v>3.7741102744700728E-3</c:v>
                </c:pt>
                <c:pt idx="5">
                  <c:v>4.9482779154163183E-3</c:v>
                </c:pt>
                <c:pt idx="6">
                  <c:v>6.7095293768356847E-3</c:v>
                </c:pt>
                <c:pt idx="7">
                  <c:v>8.2611080452289383E-3</c:v>
                </c:pt>
                <c:pt idx="8">
                  <c:v>9.9804249480430814E-3</c:v>
                </c:pt>
                <c:pt idx="9">
                  <c:v>1.1154592588989327E-2</c:v>
                </c:pt>
                <c:pt idx="10">
                  <c:v>1.2328760229935572E-2</c:v>
                </c:pt>
                <c:pt idx="11">
                  <c:v>1.299971316761914E-2</c:v>
                </c:pt>
                <c:pt idx="12">
                  <c:v>1.4551291836012392E-2</c:v>
                </c:pt>
                <c:pt idx="13">
                  <c:v>1.5306113890906407E-2</c:v>
                </c:pt>
                <c:pt idx="14">
                  <c:v>1.660608520766832E-2</c:v>
                </c:pt>
                <c:pt idx="15">
                  <c:v>1.7947991083035457E-2</c:v>
                </c:pt>
                <c:pt idx="16">
                  <c:v>1.9038289606771258E-2</c:v>
                </c:pt>
                <c:pt idx="17">
                  <c:v>1.962537342724438E-2</c:v>
                </c:pt>
                <c:pt idx="18">
                  <c:v>2.0673737392374957E-2</c:v>
                </c:pt>
                <c:pt idx="19">
                  <c:v>2.1805970474715976E-2</c:v>
                </c:pt>
                <c:pt idx="20">
                  <c:v>2.2434988853794323E-2</c:v>
                </c:pt>
                <c:pt idx="21">
                  <c:v>2.3525287377530121E-2</c:v>
                </c:pt>
                <c:pt idx="22">
                  <c:v>2.3818829287766685E-2</c:v>
                </c:pt>
                <c:pt idx="23">
                  <c:v>2.4447847666845029E-2</c:v>
                </c:pt>
                <c:pt idx="24">
                  <c:v>2.4615585901265918E-2</c:v>
                </c:pt>
                <c:pt idx="25">
                  <c:v>2.5454277073370384E-2</c:v>
                </c:pt>
                <c:pt idx="26">
                  <c:v>2.5789753542212163E-2</c:v>
                </c:pt>
                <c:pt idx="27">
                  <c:v>2.6670379272921849E-2</c:v>
                </c:pt>
                <c:pt idx="28">
                  <c:v>2.6880052065947964E-2</c:v>
                </c:pt>
                <c:pt idx="29">
                  <c:v>2.7299397652000193E-2</c:v>
                </c:pt>
              </c:numCache>
            </c:numRef>
          </c:val>
          <c:extLst>
            <c:ext xmlns:c16="http://schemas.microsoft.com/office/drawing/2014/chart" uri="{C3380CC4-5D6E-409C-BE32-E72D297353CC}">
              <c16:uniqueId val="{00000000-CB03-FA4F-BBF1-ECA24AC691AD}"/>
            </c:ext>
          </c:extLst>
        </c:ser>
        <c:ser>
          <c:idx val="1"/>
          <c:order val="1"/>
          <c:tx>
            <c:strRef>
              <c:f>compute!$N$4</c:f>
              <c:strCache>
                <c:ptCount val="1"/>
                <c:pt idx="0">
                  <c:v>infection percentage difference</c:v>
                </c:pt>
              </c:strCache>
            </c:strRef>
          </c:tx>
          <c:spPr>
            <a:solidFill>
              <a:schemeClr val="bg2"/>
            </a:solidFill>
            <a:ln w="25400">
              <a:noFill/>
            </a:ln>
            <a:effectLst/>
          </c:spPr>
          <c:cat>
            <c:numRef>
              <c:f>compute!$A$5:$A$34</c:f>
              <c:numCache>
                <c:formatCode>d\-mmm</c:formatCode>
                <c:ptCount val="30"/>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pt idx="26">
                  <c:v>43939</c:v>
                </c:pt>
                <c:pt idx="27">
                  <c:v>43940</c:v>
                </c:pt>
                <c:pt idx="28">
                  <c:v>43941</c:v>
                </c:pt>
                <c:pt idx="29">
                  <c:v>43942</c:v>
                </c:pt>
              </c:numCache>
            </c:numRef>
          </c:cat>
          <c:val>
            <c:numRef>
              <c:f>compute!$N$5:$N$34</c:f>
              <c:numCache>
                <c:formatCode>0.00%</c:formatCode>
                <c:ptCount val="30"/>
                <c:pt idx="0">
                  <c:v>1.8870551372350366E-3</c:v>
                </c:pt>
                <c:pt idx="1">
                  <c:v>2.630440494327627E-3</c:v>
                </c:pt>
                <c:pt idx="2">
                  <c:v>3.602559807448706E-3</c:v>
                </c:pt>
                <c:pt idx="3">
                  <c:v>4.3459451645412959E-3</c:v>
                </c:pt>
                <c:pt idx="4">
                  <c:v>5.1465140106410085E-3</c:v>
                </c:pt>
                <c:pt idx="5">
                  <c:v>6.7476517028404338E-3</c:v>
                </c:pt>
                <c:pt idx="6">
                  <c:v>9.1493582411395716E-3</c:v>
                </c:pt>
                <c:pt idx="7">
                  <c:v>1.1265147334403095E-2</c:v>
                </c:pt>
                <c:pt idx="8">
                  <c:v>1.3609670383695109E-2</c:v>
                </c:pt>
                <c:pt idx="9">
                  <c:v>1.5210808075894533E-2</c:v>
                </c:pt>
                <c:pt idx="10">
                  <c:v>1.6811945768093958E-2</c:v>
                </c:pt>
                <c:pt idx="11">
                  <c:v>1.7726881592207918E-2</c:v>
                </c:pt>
                <c:pt idx="12">
                  <c:v>1.9842670685471443E-2</c:v>
                </c:pt>
                <c:pt idx="13">
                  <c:v>2.0871973487599643E-2</c:v>
                </c:pt>
                <c:pt idx="14">
                  <c:v>2.2644661646820441E-2</c:v>
                </c:pt>
                <c:pt idx="15">
                  <c:v>2.4474533295048354E-2</c:v>
                </c:pt>
                <c:pt idx="16">
                  <c:v>2.5961304009233528E-2</c:v>
                </c:pt>
                <c:pt idx="17">
                  <c:v>2.6761872855333248E-2</c:v>
                </c:pt>
                <c:pt idx="18">
                  <c:v>2.8191460080511301E-2</c:v>
                </c:pt>
                <c:pt idx="19">
                  <c:v>2.9735414283703604E-2</c:v>
                </c:pt>
                <c:pt idx="20">
                  <c:v>3.0593166618810445E-2</c:v>
                </c:pt>
                <c:pt idx="21">
                  <c:v>3.207993733299562E-2</c:v>
                </c:pt>
                <c:pt idx="22">
                  <c:v>3.248022175604548E-2</c:v>
                </c:pt>
                <c:pt idx="23">
                  <c:v>3.3337974091152314E-2</c:v>
                </c:pt>
                <c:pt idx="24">
                  <c:v>3.3566708047180802E-2</c:v>
                </c:pt>
                <c:pt idx="25">
                  <c:v>3.4710377827323245E-2</c:v>
                </c:pt>
                <c:pt idx="26">
                  <c:v>3.5167845739380227E-2</c:v>
                </c:pt>
                <c:pt idx="27">
                  <c:v>3.6368699008529792E-2</c:v>
                </c:pt>
                <c:pt idx="28">
                  <c:v>3.6654616453565401E-2</c:v>
                </c:pt>
                <c:pt idx="29">
                  <c:v>3.7226451343636627E-2</c:v>
                </c:pt>
              </c:numCache>
            </c:numRef>
          </c:val>
          <c:extLst>
            <c:ext xmlns:c16="http://schemas.microsoft.com/office/drawing/2014/chart" uri="{C3380CC4-5D6E-409C-BE32-E72D297353CC}">
              <c16:uniqueId val="{00000001-CB03-FA4F-BBF1-ECA24AC691AD}"/>
            </c:ext>
          </c:extLst>
        </c:ser>
        <c:dLbls>
          <c:showLegendKey val="0"/>
          <c:showVal val="0"/>
          <c:showCatName val="0"/>
          <c:showSerName val="0"/>
          <c:showPercent val="0"/>
          <c:showBubbleSize val="0"/>
        </c:dLbls>
        <c:axId val="1207535568"/>
        <c:axId val="1207600816"/>
      </c:areaChart>
      <c:lineChart>
        <c:grouping val="standard"/>
        <c:varyColors val="0"/>
        <c:ser>
          <c:idx val="4"/>
          <c:order val="2"/>
          <c:tx>
            <c:strRef>
              <c:f>compute!$K$4</c:f>
              <c:strCache>
                <c:ptCount val="1"/>
                <c:pt idx="0">
                  <c:v>estimated infections as percentage</c:v>
                </c:pt>
              </c:strCache>
            </c:strRef>
          </c:tx>
          <c:spPr>
            <a:ln w="28575" cap="rnd">
              <a:solidFill>
                <a:schemeClr val="accent5"/>
              </a:solidFill>
              <a:round/>
            </a:ln>
            <a:effectLst/>
          </c:spPr>
          <c:marker>
            <c:symbol val="circle"/>
            <c:size val="5"/>
            <c:spPr>
              <a:solidFill>
                <a:schemeClr val="accent5"/>
              </a:solidFill>
              <a:ln w="38100">
                <a:solidFill>
                  <a:schemeClr val="accent4"/>
                </a:solidFill>
              </a:ln>
              <a:effectLst/>
            </c:spPr>
          </c:marker>
          <c:cat>
            <c:numRef>
              <c:f>compute!$A$5:$A$34</c:f>
              <c:numCache>
                <c:formatCode>d\-mmm</c:formatCode>
                <c:ptCount val="30"/>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pt idx="26">
                  <c:v>43939</c:v>
                </c:pt>
                <c:pt idx="27">
                  <c:v>43940</c:v>
                </c:pt>
                <c:pt idx="28">
                  <c:v>43941</c:v>
                </c:pt>
                <c:pt idx="29">
                  <c:v>43942</c:v>
                </c:pt>
              </c:numCache>
            </c:numRef>
          </c:cat>
          <c:val>
            <c:numRef>
              <c:f>compute!$K$5:$K$34</c:f>
              <c:numCache>
                <c:formatCode>0.0%</c:formatCode>
                <c:ptCount val="30"/>
                <c:pt idx="0">
                  <c:v>2.9983209402734468E-3</c:v>
                </c:pt>
                <c:pt idx="1">
                  <c:v>4.1794776743205621E-3</c:v>
                </c:pt>
                <c:pt idx="2">
                  <c:v>5.7240672496129442E-3</c:v>
                </c:pt>
                <c:pt idx="3">
                  <c:v>6.9052239836600599E-3</c:v>
                </c:pt>
                <c:pt idx="4">
                  <c:v>8.1772389280184918E-3</c:v>
                </c:pt>
                <c:pt idx="5">
                  <c:v>1.0721268816735356E-2</c:v>
                </c:pt>
                <c:pt idx="6">
                  <c:v>1.4537313649810651E-2</c:v>
                </c:pt>
                <c:pt idx="7">
                  <c:v>1.7899067431329366E-2</c:v>
                </c:pt>
                <c:pt idx="8">
                  <c:v>2.1624254054093343E-2</c:v>
                </c:pt>
                <c:pt idx="9">
                  <c:v>2.4168283942810207E-2</c:v>
                </c:pt>
                <c:pt idx="10">
                  <c:v>2.6712313831527071E-2</c:v>
                </c:pt>
                <c:pt idx="11">
                  <c:v>2.816604519650814E-2</c:v>
                </c:pt>
                <c:pt idx="12">
                  <c:v>3.152779897802685E-2</c:v>
                </c:pt>
                <c:pt idx="13">
                  <c:v>3.3163246763630548E-2</c:v>
                </c:pt>
                <c:pt idx="14">
                  <c:v>3.5979851283281364E-2</c:v>
                </c:pt>
                <c:pt idx="15">
                  <c:v>3.8887314013243489E-2</c:v>
                </c:pt>
                <c:pt idx="16">
                  <c:v>4.1249627481337724E-2</c:v>
                </c:pt>
                <c:pt idx="17">
                  <c:v>4.2521642425696157E-2</c:v>
                </c:pt>
                <c:pt idx="18">
                  <c:v>4.4793097683479069E-2</c:v>
                </c:pt>
                <c:pt idx="19">
                  <c:v>4.7246269361884613E-2</c:v>
                </c:pt>
                <c:pt idx="20">
                  <c:v>4.8609142516554363E-2</c:v>
                </c:pt>
                <c:pt idx="21">
                  <c:v>5.0971455984648598E-2</c:v>
                </c:pt>
                <c:pt idx="22">
                  <c:v>5.1607463456827811E-2</c:v>
                </c:pt>
                <c:pt idx="23">
                  <c:v>5.2970336611497561E-2</c:v>
                </c:pt>
                <c:pt idx="24">
                  <c:v>5.3333769452742832E-2</c:v>
                </c:pt>
                <c:pt idx="25">
                  <c:v>5.5150933658969156E-2</c:v>
                </c:pt>
                <c:pt idx="26">
                  <c:v>5.5877799341459693E-2</c:v>
                </c:pt>
                <c:pt idx="27">
                  <c:v>5.778582175799734E-2</c:v>
                </c:pt>
                <c:pt idx="28">
                  <c:v>5.8240112809553927E-2</c:v>
                </c:pt>
                <c:pt idx="29">
                  <c:v>5.9148694912667089E-2</c:v>
                </c:pt>
              </c:numCache>
            </c:numRef>
          </c:val>
          <c:smooth val="0"/>
          <c:extLst>
            <c:ext xmlns:c16="http://schemas.microsoft.com/office/drawing/2014/chart" uri="{C3380CC4-5D6E-409C-BE32-E72D297353CC}">
              <c16:uniqueId val="{00000015-CB03-FA4F-BBF1-ECA24AC691AD}"/>
            </c:ext>
          </c:extLst>
        </c:ser>
        <c:dLbls>
          <c:showLegendKey val="0"/>
          <c:showVal val="0"/>
          <c:showCatName val="0"/>
          <c:showSerName val="0"/>
          <c:showPercent val="0"/>
          <c:showBubbleSize val="0"/>
        </c:dLbls>
        <c:marker val="1"/>
        <c:smooth val="0"/>
        <c:axId val="1207535568"/>
        <c:axId val="1207600816"/>
      </c:lineChart>
      <c:dateAx>
        <c:axId val="1207535568"/>
        <c:scaling>
          <c:orientation val="minMax"/>
        </c:scaling>
        <c:delete val="0"/>
        <c:axPos val="b"/>
        <c:numFmt formatCode="d\-mmm" sourceLinked="1"/>
        <c:majorTickMark val="out"/>
        <c:minorTickMark val="none"/>
        <c:tickLblPos val="low"/>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600816"/>
        <c:crosses val="autoZero"/>
        <c:auto val="1"/>
        <c:lblOffset val="100"/>
        <c:baseTimeUnit val="days"/>
        <c:majorUnit val="7"/>
        <c:majorTimeUnit val="days"/>
      </c:dateAx>
      <c:valAx>
        <c:axId val="12076008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5355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707914053116243"/>
          <c:y val="0.14576271186440679"/>
          <c:w val="0.84241238489256642"/>
          <c:h val="0.73277966101694914"/>
        </c:manualLayout>
      </c:layout>
      <c:areaChart>
        <c:grouping val="stacked"/>
        <c:varyColors val="0"/>
        <c:ser>
          <c:idx val="0"/>
          <c:order val="1"/>
          <c:tx>
            <c:strRef>
              <c:f>'Infection Projection'!$L$2</c:f>
              <c:strCache>
                <c:ptCount val="1"/>
                <c:pt idx="0">
                  <c:v>red</c:v>
                </c:pt>
              </c:strCache>
            </c:strRef>
          </c:tx>
          <c:spPr>
            <a:noFill/>
            <a:ln w="25400">
              <a:noFill/>
            </a:ln>
            <a:effectLst/>
          </c:spPr>
          <c:cat>
            <c:numRef>
              <c:f>'Infection Projection'!$K$3:$K$396</c:f>
              <c:numCache>
                <c:formatCode>m/d/yy</c:formatCode>
                <c:ptCount val="394"/>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pt idx="26">
                  <c:v>43939</c:v>
                </c:pt>
                <c:pt idx="27">
                  <c:v>43940</c:v>
                </c:pt>
                <c:pt idx="28">
                  <c:v>43941</c:v>
                </c:pt>
                <c:pt idx="29">
                  <c:v>43942</c:v>
                </c:pt>
                <c:pt idx="30">
                  <c:v>43943</c:v>
                </c:pt>
                <c:pt idx="31">
                  <c:v>43944</c:v>
                </c:pt>
                <c:pt idx="32">
                  <c:v>43945</c:v>
                </c:pt>
                <c:pt idx="33">
                  <c:v>43946</c:v>
                </c:pt>
                <c:pt idx="34">
                  <c:v>43947</c:v>
                </c:pt>
                <c:pt idx="35">
                  <c:v>43948</c:v>
                </c:pt>
                <c:pt idx="36">
                  <c:v>43949</c:v>
                </c:pt>
                <c:pt idx="37">
                  <c:v>43950</c:v>
                </c:pt>
                <c:pt idx="38">
                  <c:v>43951</c:v>
                </c:pt>
                <c:pt idx="39">
                  <c:v>43952</c:v>
                </c:pt>
                <c:pt idx="40">
                  <c:v>43953</c:v>
                </c:pt>
                <c:pt idx="41">
                  <c:v>43954</c:v>
                </c:pt>
                <c:pt idx="42">
                  <c:v>43955</c:v>
                </c:pt>
                <c:pt idx="43">
                  <c:v>43956</c:v>
                </c:pt>
                <c:pt idx="44">
                  <c:v>43957</c:v>
                </c:pt>
                <c:pt idx="45">
                  <c:v>43958</c:v>
                </c:pt>
                <c:pt idx="46">
                  <c:v>43959</c:v>
                </c:pt>
                <c:pt idx="47">
                  <c:v>43960</c:v>
                </c:pt>
                <c:pt idx="48">
                  <c:v>43961</c:v>
                </c:pt>
                <c:pt idx="49">
                  <c:v>43962</c:v>
                </c:pt>
                <c:pt idx="50">
                  <c:v>43963</c:v>
                </c:pt>
                <c:pt idx="51">
                  <c:v>43964</c:v>
                </c:pt>
                <c:pt idx="52">
                  <c:v>43965</c:v>
                </c:pt>
                <c:pt idx="53">
                  <c:v>43966</c:v>
                </c:pt>
                <c:pt idx="54">
                  <c:v>43967</c:v>
                </c:pt>
                <c:pt idx="55">
                  <c:v>43968</c:v>
                </c:pt>
                <c:pt idx="56">
                  <c:v>43969</c:v>
                </c:pt>
                <c:pt idx="57">
                  <c:v>43970</c:v>
                </c:pt>
                <c:pt idx="58">
                  <c:v>43971</c:v>
                </c:pt>
                <c:pt idx="59">
                  <c:v>43972</c:v>
                </c:pt>
                <c:pt idx="60">
                  <c:v>43973</c:v>
                </c:pt>
                <c:pt idx="61">
                  <c:v>43974</c:v>
                </c:pt>
                <c:pt idx="62">
                  <c:v>43975</c:v>
                </c:pt>
                <c:pt idx="63">
                  <c:v>43976</c:v>
                </c:pt>
                <c:pt idx="64">
                  <c:v>43977</c:v>
                </c:pt>
                <c:pt idx="65">
                  <c:v>43978</c:v>
                </c:pt>
                <c:pt idx="66">
                  <c:v>43979</c:v>
                </c:pt>
                <c:pt idx="67">
                  <c:v>43980</c:v>
                </c:pt>
                <c:pt idx="68">
                  <c:v>43981</c:v>
                </c:pt>
                <c:pt idx="69">
                  <c:v>43982</c:v>
                </c:pt>
                <c:pt idx="70">
                  <c:v>43983</c:v>
                </c:pt>
                <c:pt idx="71">
                  <c:v>43984</c:v>
                </c:pt>
                <c:pt idx="72">
                  <c:v>43985</c:v>
                </c:pt>
                <c:pt idx="73">
                  <c:v>43986</c:v>
                </c:pt>
                <c:pt idx="74">
                  <c:v>43987</c:v>
                </c:pt>
                <c:pt idx="75">
                  <c:v>43988</c:v>
                </c:pt>
                <c:pt idx="76">
                  <c:v>43989</c:v>
                </c:pt>
                <c:pt idx="77">
                  <c:v>43990</c:v>
                </c:pt>
                <c:pt idx="78">
                  <c:v>43991</c:v>
                </c:pt>
                <c:pt idx="79">
                  <c:v>43992</c:v>
                </c:pt>
                <c:pt idx="80">
                  <c:v>43993</c:v>
                </c:pt>
                <c:pt idx="81">
                  <c:v>43994</c:v>
                </c:pt>
                <c:pt idx="82">
                  <c:v>43995</c:v>
                </c:pt>
                <c:pt idx="83">
                  <c:v>43996</c:v>
                </c:pt>
                <c:pt idx="84">
                  <c:v>43997</c:v>
                </c:pt>
                <c:pt idx="85">
                  <c:v>43998</c:v>
                </c:pt>
                <c:pt idx="86">
                  <c:v>43999</c:v>
                </c:pt>
                <c:pt idx="87">
                  <c:v>44000</c:v>
                </c:pt>
                <c:pt idx="88">
                  <c:v>44001</c:v>
                </c:pt>
                <c:pt idx="89">
                  <c:v>44002</c:v>
                </c:pt>
                <c:pt idx="90">
                  <c:v>44003</c:v>
                </c:pt>
                <c:pt idx="91">
                  <c:v>44004</c:v>
                </c:pt>
                <c:pt idx="92">
                  <c:v>44005</c:v>
                </c:pt>
                <c:pt idx="93">
                  <c:v>44006</c:v>
                </c:pt>
                <c:pt idx="94">
                  <c:v>44007</c:v>
                </c:pt>
                <c:pt idx="95">
                  <c:v>44008</c:v>
                </c:pt>
                <c:pt idx="96">
                  <c:v>44009</c:v>
                </c:pt>
                <c:pt idx="97">
                  <c:v>44010</c:v>
                </c:pt>
                <c:pt idx="98">
                  <c:v>44011</c:v>
                </c:pt>
                <c:pt idx="99">
                  <c:v>44012</c:v>
                </c:pt>
                <c:pt idx="100">
                  <c:v>44013</c:v>
                </c:pt>
                <c:pt idx="101">
                  <c:v>44014</c:v>
                </c:pt>
                <c:pt idx="102">
                  <c:v>44015</c:v>
                </c:pt>
                <c:pt idx="103">
                  <c:v>44016</c:v>
                </c:pt>
                <c:pt idx="104">
                  <c:v>44017</c:v>
                </c:pt>
                <c:pt idx="105">
                  <c:v>44018</c:v>
                </c:pt>
                <c:pt idx="106">
                  <c:v>44019</c:v>
                </c:pt>
                <c:pt idx="107">
                  <c:v>44020</c:v>
                </c:pt>
                <c:pt idx="108">
                  <c:v>44021</c:v>
                </c:pt>
                <c:pt idx="109">
                  <c:v>44022</c:v>
                </c:pt>
                <c:pt idx="110">
                  <c:v>44023</c:v>
                </c:pt>
                <c:pt idx="111">
                  <c:v>44024</c:v>
                </c:pt>
                <c:pt idx="112">
                  <c:v>44025</c:v>
                </c:pt>
                <c:pt idx="113">
                  <c:v>44026</c:v>
                </c:pt>
                <c:pt idx="114">
                  <c:v>44027</c:v>
                </c:pt>
                <c:pt idx="115">
                  <c:v>44028</c:v>
                </c:pt>
                <c:pt idx="116">
                  <c:v>44029</c:v>
                </c:pt>
                <c:pt idx="117">
                  <c:v>44030</c:v>
                </c:pt>
                <c:pt idx="118">
                  <c:v>44031</c:v>
                </c:pt>
                <c:pt idx="119">
                  <c:v>44032</c:v>
                </c:pt>
                <c:pt idx="120">
                  <c:v>44033</c:v>
                </c:pt>
                <c:pt idx="121">
                  <c:v>44034</c:v>
                </c:pt>
                <c:pt idx="122">
                  <c:v>44035</c:v>
                </c:pt>
                <c:pt idx="123">
                  <c:v>44036</c:v>
                </c:pt>
                <c:pt idx="124">
                  <c:v>44037</c:v>
                </c:pt>
                <c:pt idx="125">
                  <c:v>44038</c:v>
                </c:pt>
                <c:pt idx="126">
                  <c:v>44039</c:v>
                </c:pt>
                <c:pt idx="127">
                  <c:v>44040</c:v>
                </c:pt>
                <c:pt idx="128">
                  <c:v>44041</c:v>
                </c:pt>
                <c:pt idx="129">
                  <c:v>44042</c:v>
                </c:pt>
                <c:pt idx="130">
                  <c:v>44043</c:v>
                </c:pt>
                <c:pt idx="131">
                  <c:v>44044</c:v>
                </c:pt>
                <c:pt idx="132">
                  <c:v>44045</c:v>
                </c:pt>
                <c:pt idx="133">
                  <c:v>44046</c:v>
                </c:pt>
                <c:pt idx="134">
                  <c:v>44047</c:v>
                </c:pt>
                <c:pt idx="135">
                  <c:v>44048</c:v>
                </c:pt>
                <c:pt idx="136">
                  <c:v>44049</c:v>
                </c:pt>
                <c:pt idx="137">
                  <c:v>44050</c:v>
                </c:pt>
                <c:pt idx="138">
                  <c:v>44051</c:v>
                </c:pt>
                <c:pt idx="139">
                  <c:v>44052</c:v>
                </c:pt>
                <c:pt idx="140">
                  <c:v>44053</c:v>
                </c:pt>
                <c:pt idx="141">
                  <c:v>44054</c:v>
                </c:pt>
                <c:pt idx="142">
                  <c:v>44055</c:v>
                </c:pt>
                <c:pt idx="143">
                  <c:v>44056</c:v>
                </c:pt>
                <c:pt idx="144">
                  <c:v>44057</c:v>
                </c:pt>
                <c:pt idx="145">
                  <c:v>44058</c:v>
                </c:pt>
                <c:pt idx="146">
                  <c:v>44059</c:v>
                </c:pt>
                <c:pt idx="147">
                  <c:v>44060</c:v>
                </c:pt>
                <c:pt idx="148">
                  <c:v>44061</c:v>
                </c:pt>
                <c:pt idx="149">
                  <c:v>44062</c:v>
                </c:pt>
                <c:pt idx="150">
                  <c:v>44063</c:v>
                </c:pt>
                <c:pt idx="151">
                  <c:v>44064</c:v>
                </c:pt>
                <c:pt idx="152">
                  <c:v>44065</c:v>
                </c:pt>
                <c:pt idx="153">
                  <c:v>44066</c:v>
                </c:pt>
                <c:pt idx="154">
                  <c:v>44067</c:v>
                </c:pt>
                <c:pt idx="155">
                  <c:v>44068</c:v>
                </c:pt>
                <c:pt idx="156">
                  <c:v>44069</c:v>
                </c:pt>
                <c:pt idx="157">
                  <c:v>44070</c:v>
                </c:pt>
                <c:pt idx="158">
                  <c:v>44071</c:v>
                </c:pt>
                <c:pt idx="159">
                  <c:v>44072</c:v>
                </c:pt>
                <c:pt idx="160">
                  <c:v>44073</c:v>
                </c:pt>
                <c:pt idx="161">
                  <c:v>44074</c:v>
                </c:pt>
                <c:pt idx="162">
                  <c:v>44075</c:v>
                </c:pt>
                <c:pt idx="163">
                  <c:v>44076</c:v>
                </c:pt>
                <c:pt idx="164">
                  <c:v>44077</c:v>
                </c:pt>
                <c:pt idx="165">
                  <c:v>44078</c:v>
                </c:pt>
                <c:pt idx="166">
                  <c:v>44079</c:v>
                </c:pt>
                <c:pt idx="167">
                  <c:v>44080</c:v>
                </c:pt>
                <c:pt idx="168">
                  <c:v>44081</c:v>
                </c:pt>
                <c:pt idx="169">
                  <c:v>44082</c:v>
                </c:pt>
                <c:pt idx="170">
                  <c:v>44083</c:v>
                </c:pt>
                <c:pt idx="171">
                  <c:v>44084</c:v>
                </c:pt>
                <c:pt idx="172">
                  <c:v>44085</c:v>
                </c:pt>
                <c:pt idx="173">
                  <c:v>44086</c:v>
                </c:pt>
                <c:pt idx="174">
                  <c:v>44087</c:v>
                </c:pt>
                <c:pt idx="175">
                  <c:v>44088</c:v>
                </c:pt>
                <c:pt idx="176">
                  <c:v>44089</c:v>
                </c:pt>
                <c:pt idx="177">
                  <c:v>44090</c:v>
                </c:pt>
                <c:pt idx="178">
                  <c:v>44091</c:v>
                </c:pt>
                <c:pt idx="179">
                  <c:v>44092</c:v>
                </c:pt>
                <c:pt idx="180">
                  <c:v>44093</c:v>
                </c:pt>
                <c:pt idx="181">
                  <c:v>44094</c:v>
                </c:pt>
                <c:pt idx="182">
                  <c:v>44095</c:v>
                </c:pt>
                <c:pt idx="183">
                  <c:v>44096</c:v>
                </c:pt>
                <c:pt idx="184">
                  <c:v>44097</c:v>
                </c:pt>
                <c:pt idx="185">
                  <c:v>44098</c:v>
                </c:pt>
                <c:pt idx="186">
                  <c:v>44099</c:v>
                </c:pt>
                <c:pt idx="187">
                  <c:v>44100</c:v>
                </c:pt>
                <c:pt idx="188">
                  <c:v>44101</c:v>
                </c:pt>
                <c:pt idx="189">
                  <c:v>44102</c:v>
                </c:pt>
                <c:pt idx="190">
                  <c:v>44103</c:v>
                </c:pt>
                <c:pt idx="191">
                  <c:v>44104</c:v>
                </c:pt>
                <c:pt idx="192">
                  <c:v>44105</c:v>
                </c:pt>
                <c:pt idx="193">
                  <c:v>44106</c:v>
                </c:pt>
                <c:pt idx="194">
                  <c:v>44107</c:v>
                </c:pt>
                <c:pt idx="195">
                  <c:v>44108</c:v>
                </c:pt>
                <c:pt idx="196">
                  <c:v>44109</c:v>
                </c:pt>
                <c:pt idx="197">
                  <c:v>44110</c:v>
                </c:pt>
                <c:pt idx="198">
                  <c:v>44111</c:v>
                </c:pt>
                <c:pt idx="199">
                  <c:v>44112</c:v>
                </c:pt>
                <c:pt idx="200">
                  <c:v>44113</c:v>
                </c:pt>
                <c:pt idx="201">
                  <c:v>44114</c:v>
                </c:pt>
                <c:pt idx="202">
                  <c:v>44115</c:v>
                </c:pt>
                <c:pt idx="203">
                  <c:v>44116</c:v>
                </c:pt>
                <c:pt idx="204">
                  <c:v>44117</c:v>
                </c:pt>
                <c:pt idx="205">
                  <c:v>44118</c:v>
                </c:pt>
                <c:pt idx="206">
                  <c:v>44119</c:v>
                </c:pt>
                <c:pt idx="207">
                  <c:v>44120</c:v>
                </c:pt>
                <c:pt idx="208">
                  <c:v>44121</c:v>
                </c:pt>
                <c:pt idx="209">
                  <c:v>44122</c:v>
                </c:pt>
                <c:pt idx="210">
                  <c:v>44123</c:v>
                </c:pt>
                <c:pt idx="211">
                  <c:v>44124</c:v>
                </c:pt>
                <c:pt idx="212">
                  <c:v>44125</c:v>
                </c:pt>
                <c:pt idx="213">
                  <c:v>44126</c:v>
                </c:pt>
                <c:pt idx="214">
                  <c:v>44127</c:v>
                </c:pt>
                <c:pt idx="215">
                  <c:v>44128</c:v>
                </c:pt>
                <c:pt idx="216">
                  <c:v>44129</c:v>
                </c:pt>
                <c:pt idx="217">
                  <c:v>44130</c:v>
                </c:pt>
                <c:pt idx="218">
                  <c:v>44131</c:v>
                </c:pt>
                <c:pt idx="219">
                  <c:v>44132</c:v>
                </c:pt>
                <c:pt idx="220">
                  <c:v>44133</c:v>
                </c:pt>
                <c:pt idx="221">
                  <c:v>44134</c:v>
                </c:pt>
                <c:pt idx="222">
                  <c:v>44135</c:v>
                </c:pt>
                <c:pt idx="223">
                  <c:v>44136</c:v>
                </c:pt>
                <c:pt idx="224">
                  <c:v>44137</c:v>
                </c:pt>
                <c:pt idx="225">
                  <c:v>44138</c:v>
                </c:pt>
                <c:pt idx="226">
                  <c:v>44139</c:v>
                </c:pt>
                <c:pt idx="227">
                  <c:v>44140</c:v>
                </c:pt>
                <c:pt idx="228">
                  <c:v>44141</c:v>
                </c:pt>
                <c:pt idx="229">
                  <c:v>44142</c:v>
                </c:pt>
                <c:pt idx="230">
                  <c:v>44143</c:v>
                </c:pt>
                <c:pt idx="231">
                  <c:v>44144</c:v>
                </c:pt>
                <c:pt idx="232">
                  <c:v>44145</c:v>
                </c:pt>
                <c:pt idx="233">
                  <c:v>44146</c:v>
                </c:pt>
                <c:pt idx="234">
                  <c:v>44147</c:v>
                </c:pt>
                <c:pt idx="235">
                  <c:v>44148</c:v>
                </c:pt>
                <c:pt idx="236">
                  <c:v>44149</c:v>
                </c:pt>
                <c:pt idx="237">
                  <c:v>44150</c:v>
                </c:pt>
                <c:pt idx="238">
                  <c:v>44151</c:v>
                </c:pt>
                <c:pt idx="239">
                  <c:v>44152</c:v>
                </c:pt>
                <c:pt idx="240">
                  <c:v>44153</c:v>
                </c:pt>
                <c:pt idx="241">
                  <c:v>44154</c:v>
                </c:pt>
                <c:pt idx="242">
                  <c:v>44155</c:v>
                </c:pt>
                <c:pt idx="243">
                  <c:v>44156</c:v>
                </c:pt>
                <c:pt idx="244">
                  <c:v>44157</c:v>
                </c:pt>
                <c:pt idx="245">
                  <c:v>44158</c:v>
                </c:pt>
                <c:pt idx="246">
                  <c:v>44159</c:v>
                </c:pt>
                <c:pt idx="247">
                  <c:v>44160</c:v>
                </c:pt>
                <c:pt idx="248">
                  <c:v>44161</c:v>
                </c:pt>
                <c:pt idx="249">
                  <c:v>44162</c:v>
                </c:pt>
                <c:pt idx="250">
                  <c:v>44163</c:v>
                </c:pt>
                <c:pt idx="251">
                  <c:v>44164</c:v>
                </c:pt>
                <c:pt idx="252">
                  <c:v>44165</c:v>
                </c:pt>
                <c:pt idx="253">
                  <c:v>44166</c:v>
                </c:pt>
                <c:pt idx="254">
                  <c:v>44167</c:v>
                </c:pt>
                <c:pt idx="255">
                  <c:v>44168</c:v>
                </c:pt>
                <c:pt idx="256">
                  <c:v>44169</c:v>
                </c:pt>
                <c:pt idx="257">
                  <c:v>44170</c:v>
                </c:pt>
                <c:pt idx="258">
                  <c:v>44171</c:v>
                </c:pt>
                <c:pt idx="259">
                  <c:v>44172</c:v>
                </c:pt>
                <c:pt idx="260">
                  <c:v>44173</c:v>
                </c:pt>
                <c:pt idx="261">
                  <c:v>44174</c:v>
                </c:pt>
                <c:pt idx="262">
                  <c:v>44175</c:v>
                </c:pt>
                <c:pt idx="263">
                  <c:v>44176</c:v>
                </c:pt>
                <c:pt idx="264">
                  <c:v>44177</c:v>
                </c:pt>
                <c:pt idx="265">
                  <c:v>44178</c:v>
                </c:pt>
                <c:pt idx="266">
                  <c:v>44179</c:v>
                </c:pt>
                <c:pt idx="267">
                  <c:v>44180</c:v>
                </c:pt>
                <c:pt idx="268">
                  <c:v>44181</c:v>
                </c:pt>
                <c:pt idx="269">
                  <c:v>44182</c:v>
                </c:pt>
                <c:pt idx="270">
                  <c:v>44183</c:v>
                </c:pt>
                <c:pt idx="271">
                  <c:v>44184</c:v>
                </c:pt>
                <c:pt idx="272">
                  <c:v>44185</c:v>
                </c:pt>
                <c:pt idx="273">
                  <c:v>44186</c:v>
                </c:pt>
                <c:pt idx="274">
                  <c:v>44187</c:v>
                </c:pt>
                <c:pt idx="275">
                  <c:v>44188</c:v>
                </c:pt>
                <c:pt idx="276">
                  <c:v>44189</c:v>
                </c:pt>
                <c:pt idx="277">
                  <c:v>44190</c:v>
                </c:pt>
                <c:pt idx="278">
                  <c:v>44191</c:v>
                </c:pt>
                <c:pt idx="279">
                  <c:v>44192</c:v>
                </c:pt>
                <c:pt idx="280">
                  <c:v>44193</c:v>
                </c:pt>
                <c:pt idx="281">
                  <c:v>44194</c:v>
                </c:pt>
                <c:pt idx="282">
                  <c:v>44195</c:v>
                </c:pt>
                <c:pt idx="283">
                  <c:v>44196</c:v>
                </c:pt>
                <c:pt idx="284">
                  <c:v>44197</c:v>
                </c:pt>
                <c:pt idx="285">
                  <c:v>44198</c:v>
                </c:pt>
                <c:pt idx="286">
                  <c:v>44199</c:v>
                </c:pt>
                <c:pt idx="287">
                  <c:v>44200</c:v>
                </c:pt>
                <c:pt idx="288">
                  <c:v>44201</c:v>
                </c:pt>
                <c:pt idx="289">
                  <c:v>44202</c:v>
                </c:pt>
                <c:pt idx="290">
                  <c:v>44203</c:v>
                </c:pt>
                <c:pt idx="291">
                  <c:v>44204</c:v>
                </c:pt>
                <c:pt idx="292">
                  <c:v>44205</c:v>
                </c:pt>
                <c:pt idx="293">
                  <c:v>44206</c:v>
                </c:pt>
                <c:pt idx="294">
                  <c:v>44207</c:v>
                </c:pt>
                <c:pt idx="295">
                  <c:v>44208</c:v>
                </c:pt>
                <c:pt idx="296">
                  <c:v>44209</c:v>
                </c:pt>
                <c:pt idx="297">
                  <c:v>44210</c:v>
                </c:pt>
                <c:pt idx="298">
                  <c:v>44211</c:v>
                </c:pt>
                <c:pt idx="299">
                  <c:v>44212</c:v>
                </c:pt>
                <c:pt idx="300">
                  <c:v>44213</c:v>
                </c:pt>
                <c:pt idx="301">
                  <c:v>44214</c:v>
                </c:pt>
                <c:pt idx="302">
                  <c:v>44215</c:v>
                </c:pt>
                <c:pt idx="303">
                  <c:v>44216</c:v>
                </c:pt>
                <c:pt idx="304">
                  <c:v>44217</c:v>
                </c:pt>
                <c:pt idx="305">
                  <c:v>44218</c:v>
                </c:pt>
                <c:pt idx="306">
                  <c:v>44219</c:v>
                </c:pt>
                <c:pt idx="307">
                  <c:v>44220</c:v>
                </c:pt>
                <c:pt idx="308">
                  <c:v>44221</c:v>
                </c:pt>
                <c:pt idx="309">
                  <c:v>44222</c:v>
                </c:pt>
                <c:pt idx="310">
                  <c:v>44223</c:v>
                </c:pt>
                <c:pt idx="311">
                  <c:v>44224</c:v>
                </c:pt>
                <c:pt idx="312">
                  <c:v>44225</c:v>
                </c:pt>
                <c:pt idx="313">
                  <c:v>44226</c:v>
                </c:pt>
                <c:pt idx="314">
                  <c:v>44227</c:v>
                </c:pt>
                <c:pt idx="315">
                  <c:v>44228</c:v>
                </c:pt>
                <c:pt idx="316">
                  <c:v>44229</c:v>
                </c:pt>
                <c:pt idx="317">
                  <c:v>44230</c:v>
                </c:pt>
                <c:pt idx="318">
                  <c:v>44231</c:v>
                </c:pt>
                <c:pt idx="319">
                  <c:v>44232</c:v>
                </c:pt>
                <c:pt idx="320">
                  <c:v>44233</c:v>
                </c:pt>
                <c:pt idx="321">
                  <c:v>44234</c:v>
                </c:pt>
                <c:pt idx="322">
                  <c:v>44235</c:v>
                </c:pt>
                <c:pt idx="323">
                  <c:v>44236</c:v>
                </c:pt>
                <c:pt idx="324">
                  <c:v>44237</c:v>
                </c:pt>
                <c:pt idx="325">
                  <c:v>44238</c:v>
                </c:pt>
                <c:pt idx="326">
                  <c:v>44239</c:v>
                </c:pt>
                <c:pt idx="327">
                  <c:v>44240</c:v>
                </c:pt>
                <c:pt idx="328">
                  <c:v>44241</c:v>
                </c:pt>
                <c:pt idx="329">
                  <c:v>44242</c:v>
                </c:pt>
                <c:pt idx="330">
                  <c:v>44243</c:v>
                </c:pt>
                <c:pt idx="331">
                  <c:v>44244</c:v>
                </c:pt>
                <c:pt idx="332">
                  <c:v>44245</c:v>
                </c:pt>
                <c:pt idx="333">
                  <c:v>44246</c:v>
                </c:pt>
                <c:pt idx="334">
                  <c:v>44247</c:v>
                </c:pt>
                <c:pt idx="335">
                  <c:v>44248</c:v>
                </c:pt>
                <c:pt idx="336">
                  <c:v>44249</c:v>
                </c:pt>
                <c:pt idx="337">
                  <c:v>44250</c:v>
                </c:pt>
                <c:pt idx="338">
                  <c:v>44251</c:v>
                </c:pt>
                <c:pt idx="339">
                  <c:v>44252</c:v>
                </c:pt>
                <c:pt idx="340">
                  <c:v>44253</c:v>
                </c:pt>
                <c:pt idx="341">
                  <c:v>44254</c:v>
                </c:pt>
                <c:pt idx="342">
                  <c:v>44255</c:v>
                </c:pt>
                <c:pt idx="343">
                  <c:v>44256</c:v>
                </c:pt>
                <c:pt idx="344">
                  <c:v>44257</c:v>
                </c:pt>
                <c:pt idx="345">
                  <c:v>44258</c:v>
                </c:pt>
                <c:pt idx="346">
                  <c:v>44259</c:v>
                </c:pt>
                <c:pt idx="347">
                  <c:v>44260</c:v>
                </c:pt>
                <c:pt idx="348">
                  <c:v>44261</c:v>
                </c:pt>
                <c:pt idx="349">
                  <c:v>44262</c:v>
                </c:pt>
                <c:pt idx="350">
                  <c:v>44263</c:v>
                </c:pt>
                <c:pt idx="351">
                  <c:v>44264</c:v>
                </c:pt>
                <c:pt idx="352">
                  <c:v>44265</c:v>
                </c:pt>
                <c:pt idx="353">
                  <c:v>44266</c:v>
                </c:pt>
                <c:pt idx="354">
                  <c:v>44267</c:v>
                </c:pt>
                <c:pt idx="355">
                  <c:v>44268</c:v>
                </c:pt>
                <c:pt idx="356">
                  <c:v>44269</c:v>
                </c:pt>
                <c:pt idx="357">
                  <c:v>44270</c:v>
                </c:pt>
                <c:pt idx="358">
                  <c:v>44271</c:v>
                </c:pt>
                <c:pt idx="359">
                  <c:v>44272</c:v>
                </c:pt>
                <c:pt idx="360">
                  <c:v>44273</c:v>
                </c:pt>
                <c:pt idx="361">
                  <c:v>44274</c:v>
                </c:pt>
                <c:pt idx="362">
                  <c:v>44275</c:v>
                </c:pt>
                <c:pt idx="363">
                  <c:v>44276</c:v>
                </c:pt>
                <c:pt idx="364">
                  <c:v>44277</c:v>
                </c:pt>
                <c:pt idx="365">
                  <c:v>44278</c:v>
                </c:pt>
                <c:pt idx="366">
                  <c:v>44279</c:v>
                </c:pt>
                <c:pt idx="367">
                  <c:v>44280</c:v>
                </c:pt>
                <c:pt idx="368">
                  <c:v>44281</c:v>
                </c:pt>
                <c:pt idx="369">
                  <c:v>44282</c:v>
                </c:pt>
                <c:pt idx="370">
                  <c:v>44283</c:v>
                </c:pt>
                <c:pt idx="371">
                  <c:v>44284</c:v>
                </c:pt>
                <c:pt idx="372">
                  <c:v>44285</c:v>
                </c:pt>
                <c:pt idx="373">
                  <c:v>44286</c:v>
                </c:pt>
                <c:pt idx="374">
                  <c:v>44287</c:v>
                </c:pt>
                <c:pt idx="375">
                  <c:v>44288</c:v>
                </c:pt>
                <c:pt idx="376">
                  <c:v>44289</c:v>
                </c:pt>
                <c:pt idx="377">
                  <c:v>44290</c:v>
                </c:pt>
                <c:pt idx="378">
                  <c:v>44291</c:v>
                </c:pt>
                <c:pt idx="379">
                  <c:v>44292</c:v>
                </c:pt>
                <c:pt idx="380">
                  <c:v>44293</c:v>
                </c:pt>
                <c:pt idx="381">
                  <c:v>44294</c:v>
                </c:pt>
                <c:pt idx="382">
                  <c:v>44295</c:v>
                </c:pt>
                <c:pt idx="383">
                  <c:v>44296</c:v>
                </c:pt>
                <c:pt idx="384">
                  <c:v>44297</c:v>
                </c:pt>
                <c:pt idx="385">
                  <c:v>44298</c:v>
                </c:pt>
                <c:pt idx="386">
                  <c:v>44299</c:v>
                </c:pt>
                <c:pt idx="387">
                  <c:v>44300</c:v>
                </c:pt>
                <c:pt idx="388">
                  <c:v>44301</c:v>
                </c:pt>
                <c:pt idx="389">
                  <c:v>44302</c:v>
                </c:pt>
                <c:pt idx="390">
                  <c:v>44303</c:v>
                </c:pt>
                <c:pt idx="391">
                  <c:v>44304</c:v>
                </c:pt>
                <c:pt idx="392">
                  <c:v>44305</c:v>
                </c:pt>
                <c:pt idx="393">
                  <c:v>44306</c:v>
                </c:pt>
              </c:numCache>
            </c:numRef>
          </c:cat>
          <c:val>
            <c:numRef>
              <c:f>'Infection Projection'!$L$3:$L$396</c:f>
              <c:numCache>
                <c:formatCode>0%</c:formatCode>
                <c:ptCount val="394"/>
                <c:pt idx="0">
                  <c:v>0.5</c:v>
                </c:pt>
                <c:pt idx="1">
                  <c:v>0.5</c:v>
                </c:pt>
                <c:pt idx="2">
                  <c:v>0.5</c:v>
                </c:pt>
                <c:pt idx="3">
                  <c:v>0.5</c:v>
                </c:pt>
                <c:pt idx="4">
                  <c:v>0.5</c:v>
                </c:pt>
                <c:pt idx="5">
                  <c:v>0.5</c:v>
                </c:pt>
                <c:pt idx="6">
                  <c:v>0.5</c:v>
                </c:pt>
                <c:pt idx="7">
                  <c:v>0.5</c:v>
                </c:pt>
                <c:pt idx="8">
                  <c:v>0.5</c:v>
                </c:pt>
                <c:pt idx="9">
                  <c:v>0.5</c:v>
                </c:pt>
                <c:pt idx="10">
                  <c:v>0.5</c:v>
                </c:pt>
                <c:pt idx="11">
                  <c:v>0.5</c:v>
                </c:pt>
                <c:pt idx="12">
                  <c:v>0.5</c:v>
                </c:pt>
                <c:pt idx="13">
                  <c:v>0.5</c:v>
                </c:pt>
                <c:pt idx="14">
                  <c:v>0.5</c:v>
                </c:pt>
                <c:pt idx="15">
                  <c:v>0.5</c:v>
                </c:pt>
                <c:pt idx="16">
                  <c:v>0.5</c:v>
                </c:pt>
                <c:pt idx="17">
                  <c:v>0.5</c:v>
                </c:pt>
                <c:pt idx="18">
                  <c:v>0.5</c:v>
                </c:pt>
                <c:pt idx="19">
                  <c:v>0.5</c:v>
                </c:pt>
                <c:pt idx="20">
                  <c:v>0.5</c:v>
                </c:pt>
                <c:pt idx="21">
                  <c:v>0.5</c:v>
                </c:pt>
                <c:pt idx="22">
                  <c:v>0.5</c:v>
                </c:pt>
                <c:pt idx="23">
                  <c:v>0.5</c:v>
                </c:pt>
                <c:pt idx="24">
                  <c:v>0.5</c:v>
                </c:pt>
                <c:pt idx="25">
                  <c:v>0.5</c:v>
                </c:pt>
                <c:pt idx="26">
                  <c:v>0.5</c:v>
                </c:pt>
                <c:pt idx="27">
                  <c:v>0.5</c:v>
                </c:pt>
                <c:pt idx="28">
                  <c:v>0.5</c:v>
                </c:pt>
                <c:pt idx="29">
                  <c:v>0.5</c:v>
                </c:pt>
                <c:pt idx="30">
                  <c:v>0.5</c:v>
                </c:pt>
                <c:pt idx="31">
                  <c:v>0.5</c:v>
                </c:pt>
                <c:pt idx="32">
                  <c:v>0.5</c:v>
                </c:pt>
                <c:pt idx="33">
                  <c:v>0.5</c:v>
                </c:pt>
                <c:pt idx="34">
                  <c:v>0.5</c:v>
                </c:pt>
                <c:pt idx="35">
                  <c:v>0.5</c:v>
                </c:pt>
                <c:pt idx="36">
                  <c:v>0.5</c:v>
                </c:pt>
                <c:pt idx="37">
                  <c:v>0.5</c:v>
                </c:pt>
                <c:pt idx="38">
                  <c:v>0.5</c:v>
                </c:pt>
                <c:pt idx="39">
                  <c:v>0.5</c:v>
                </c:pt>
                <c:pt idx="40">
                  <c:v>0.5</c:v>
                </c:pt>
                <c:pt idx="41">
                  <c:v>0.5</c:v>
                </c:pt>
                <c:pt idx="42">
                  <c:v>0.5</c:v>
                </c:pt>
                <c:pt idx="43">
                  <c:v>0.5</c:v>
                </c:pt>
                <c:pt idx="44">
                  <c:v>0.5</c:v>
                </c:pt>
                <c:pt idx="45">
                  <c:v>0.5</c:v>
                </c:pt>
                <c:pt idx="46">
                  <c:v>0.5</c:v>
                </c:pt>
                <c:pt idx="47">
                  <c:v>0.5</c:v>
                </c:pt>
                <c:pt idx="48">
                  <c:v>0.5</c:v>
                </c:pt>
                <c:pt idx="49">
                  <c:v>0.5</c:v>
                </c:pt>
                <c:pt idx="50">
                  <c:v>0.5</c:v>
                </c:pt>
                <c:pt idx="51">
                  <c:v>0.5</c:v>
                </c:pt>
                <c:pt idx="52">
                  <c:v>0.5</c:v>
                </c:pt>
                <c:pt idx="53">
                  <c:v>0.5</c:v>
                </c:pt>
                <c:pt idx="54">
                  <c:v>0.5</c:v>
                </c:pt>
                <c:pt idx="55">
                  <c:v>0.5</c:v>
                </c:pt>
                <c:pt idx="56">
                  <c:v>0.5</c:v>
                </c:pt>
                <c:pt idx="57">
                  <c:v>0.5</c:v>
                </c:pt>
                <c:pt idx="58">
                  <c:v>0.5</c:v>
                </c:pt>
                <c:pt idx="59">
                  <c:v>0.5</c:v>
                </c:pt>
                <c:pt idx="60">
                  <c:v>0.5</c:v>
                </c:pt>
                <c:pt idx="61">
                  <c:v>0.5</c:v>
                </c:pt>
                <c:pt idx="62">
                  <c:v>0.5</c:v>
                </c:pt>
                <c:pt idx="63">
                  <c:v>0.5</c:v>
                </c:pt>
                <c:pt idx="64">
                  <c:v>0.5</c:v>
                </c:pt>
                <c:pt idx="65">
                  <c:v>0.5</c:v>
                </c:pt>
                <c:pt idx="66">
                  <c:v>0.5</c:v>
                </c:pt>
                <c:pt idx="67">
                  <c:v>0.5</c:v>
                </c:pt>
                <c:pt idx="68">
                  <c:v>0.5</c:v>
                </c:pt>
                <c:pt idx="69">
                  <c:v>0.5</c:v>
                </c:pt>
                <c:pt idx="70">
                  <c:v>0.5</c:v>
                </c:pt>
                <c:pt idx="71">
                  <c:v>0.5</c:v>
                </c:pt>
                <c:pt idx="72">
                  <c:v>0.5</c:v>
                </c:pt>
                <c:pt idx="73">
                  <c:v>0.5</c:v>
                </c:pt>
                <c:pt idx="74">
                  <c:v>0.5</c:v>
                </c:pt>
                <c:pt idx="75">
                  <c:v>0.5</c:v>
                </c:pt>
                <c:pt idx="76">
                  <c:v>0.5</c:v>
                </c:pt>
                <c:pt idx="77">
                  <c:v>0.5</c:v>
                </c:pt>
                <c:pt idx="78">
                  <c:v>0.5</c:v>
                </c:pt>
                <c:pt idx="79">
                  <c:v>0.5</c:v>
                </c:pt>
                <c:pt idx="80">
                  <c:v>0.5</c:v>
                </c:pt>
                <c:pt idx="81">
                  <c:v>0.5</c:v>
                </c:pt>
                <c:pt idx="82">
                  <c:v>0.5</c:v>
                </c:pt>
                <c:pt idx="83">
                  <c:v>0.5</c:v>
                </c:pt>
                <c:pt idx="84">
                  <c:v>0.5</c:v>
                </c:pt>
                <c:pt idx="85">
                  <c:v>0.5</c:v>
                </c:pt>
                <c:pt idx="86">
                  <c:v>0.5</c:v>
                </c:pt>
                <c:pt idx="87">
                  <c:v>0.5</c:v>
                </c:pt>
                <c:pt idx="88">
                  <c:v>0.5</c:v>
                </c:pt>
                <c:pt idx="89">
                  <c:v>0.5</c:v>
                </c:pt>
                <c:pt idx="90">
                  <c:v>0.5</c:v>
                </c:pt>
                <c:pt idx="91">
                  <c:v>0.5</c:v>
                </c:pt>
                <c:pt idx="92">
                  <c:v>0.5</c:v>
                </c:pt>
                <c:pt idx="93">
                  <c:v>0.5</c:v>
                </c:pt>
                <c:pt idx="94">
                  <c:v>0.5</c:v>
                </c:pt>
                <c:pt idx="95">
                  <c:v>0.5</c:v>
                </c:pt>
                <c:pt idx="96">
                  <c:v>0.5</c:v>
                </c:pt>
                <c:pt idx="97">
                  <c:v>0.5</c:v>
                </c:pt>
                <c:pt idx="98">
                  <c:v>0.5</c:v>
                </c:pt>
                <c:pt idx="99">
                  <c:v>0.5</c:v>
                </c:pt>
                <c:pt idx="100">
                  <c:v>0.5</c:v>
                </c:pt>
                <c:pt idx="101">
                  <c:v>0.5</c:v>
                </c:pt>
                <c:pt idx="102">
                  <c:v>0.5</c:v>
                </c:pt>
                <c:pt idx="103">
                  <c:v>0.5</c:v>
                </c:pt>
                <c:pt idx="104">
                  <c:v>0.5</c:v>
                </c:pt>
                <c:pt idx="105">
                  <c:v>0.5</c:v>
                </c:pt>
                <c:pt idx="106">
                  <c:v>0.5</c:v>
                </c:pt>
                <c:pt idx="107">
                  <c:v>0.5</c:v>
                </c:pt>
                <c:pt idx="108">
                  <c:v>0.5</c:v>
                </c:pt>
                <c:pt idx="109">
                  <c:v>0.5</c:v>
                </c:pt>
                <c:pt idx="110">
                  <c:v>0.5</c:v>
                </c:pt>
                <c:pt idx="111">
                  <c:v>0.5</c:v>
                </c:pt>
                <c:pt idx="112">
                  <c:v>0.5</c:v>
                </c:pt>
                <c:pt idx="113">
                  <c:v>0.5</c:v>
                </c:pt>
                <c:pt idx="114">
                  <c:v>0.5</c:v>
                </c:pt>
                <c:pt idx="115">
                  <c:v>0.5</c:v>
                </c:pt>
                <c:pt idx="116">
                  <c:v>0.5</c:v>
                </c:pt>
                <c:pt idx="117">
                  <c:v>0.5</c:v>
                </c:pt>
                <c:pt idx="118">
                  <c:v>0.5</c:v>
                </c:pt>
                <c:pt idx="119">
                  <c:v>0.5</c:v>
                </c:pt>
                <c:pt idx="120">
                  <c:v>0.5</c:v>
                </c:pt>
                <c:pt idx="121">
                  <c:v>0.5</c:v>
                </c:pt>
                <c:pt idx="122">
                  <c:v>0.5</c:v>
                </c:pt>
                <c:pt idx="123">
                  <c:v>0.5</c:v>
                </c:pt>
                <c:pt idx="124">
                  <c:v>0.5</c:v>
                </c:pt>
                <c:pt idx="125">
                  <c:v>0.5</c:v>
                </c:pt>
                <c:pt idx="126">
                  <c:v>0.5</c:v>
                </c:pt>
                <c:pt idx="127">
                  <c:v>0.5</c:v>
                </c:pt>
                <c:pt idx="128">
                  <c:v>0.5</c:v>
                </c:pt>
                <c:pt idx="129">
                  <c:v>0.5</c:v>
                </c:pt>
                <c:pt idx="130">
                  <c:v>0.5</c:v>
                </c:pt>
                <c:pt idx="131">
                  <c:v>0.5</c:v>
                </c:pt>
                <c:pt idx="132">
                  <c:v>0.5</c:v>
                </c:pt>
                <c:pt idx="133">
                  <c:v>0.5</c:v>
                </c:pt>
                <c:pt idx="134">
                  <c:v>0.5</c:v>
                </c:pt>
                <c:pt idx="135">
                  <c:v>0.5</c:v>
                </c:pt>
                <c:pt idx="136">
                  <c:v>0.5</c:v>
                </c:pt>
                <c:pt idx="137">
                  <c:v>0.5</c:v>
                </c:pt>
                <c:pt idx="138">
                  <c:v>0.5</c:v>
                </c:pt>
                <c:pt idx="139">
                  <c:v>0.5</c:v>
                </c:pt>
                <c:pt idx="140">
                  <c:v>0.5</c:v>
                </c:pt>
                <c:pt idx="141">
                  <c:v>0.5</c:v>
                </c:pt>
                <c:pt idx="142">
                  <c:v>0.5</c:v>
                </c:pt>
                <c:pt idx="143">
                  <c:v>0.5</c:v>
                </c:pt>
                <c:pt idx="144">
                  <c:v>0.5</c:v>
                </c:pt>
                <c:pt idx="145">
                  <c:v>0.5</c:v>
                </c:pt>
                <c:pt idx="146">
                  <c:v>0.5</c:v>
                </c:pt>
                <c:pt idx="147">
                  <c:v>0.5</c:v>
                </c:pt>
                <c:pt idx="148">
                  <c:v>0.5</c:v>
                </c:pt>
                <c:pt idx="149">
                  <c:v>0.5</c:v>
                </c:pt>
                <c:pt idx="150">
                  <c:v>0.5</c:v>
                </c:pt>
                <c:pt idx="151">
                  <c:v>0.5</c:v>
                </c:pt>
                <c:pt idx="152">
                  <c:v>0.5</c:v>
                </c:pt>
                <c:pt idx="153">
                  <c:v>0.5</c:v>
                </c:pt>
                <c:pt idx="154">
                  <c:v>0.5</c:v>
                </c:pt>
                <c:pt idx="155">
                  <c:v>0.5</c:v>
                </c:pt>
                <c:pt idx="156">
                  <c:v>0.5</c:v>
                </c:pt>
                <c:pt idx="157">
                  <c:v>0.5</c:v>
                </c:pt>
                <c:pt idx="158">
                  <c:v>0.5</c:v>
                </c:pt>
                <c:pt idx="159">
                  <c:v>0.5</c:v>
                </c:pt>
                <c:pt idx="160">
                  <c:v>0.5</c:v>
                </c:pt>
                <c:pt idx="161">
                  <c:v>0.5</c:v>
                </c:pt>
                <c:pt idx="162">
                  <c:v>0.5</c:v>
                </c:pt>
                <c:pt idx="163">
                  <c:v>0.5</c:v>
                </c:pt>
                <c:pt idx="164">
                  <c:v>0.5</c:v>
                </c:pt>
                <c:pt idx="165">
                  <c:v>0.5</c:v>
                </c:pt>
                <c:pt idx="166">
                  <c:v>0.5</c:v>
                </c:pt>
                <c:pt idx="167">
                  <c:v>0.5</c:v>
                </c:pt>
                <c:pt idx="168">
                  <c:v>0.5</c:v>
                </c:pt>
                <c:pt idx="169">
                  <c:v>0.5</c:v>
                </c:pt>
                <c:pt idx="170">
                  <c:v>0.5</c:v>
                </c:pt>
                <c:pt idx="171">
                  <c:v>0.5</c:v>
                </c:pt>
                <c:pt idx="172">
                  <c:v>0.5</c:v>
                </c:pt>
                <c:pt idx="173">
                  <c:v>0.5</c:v>
                </c:pt>
                <c:pt idx="174">
                  <c:v>0.5</c:v>
                </c:pt>
                <c:pt idx="175">
                  <c:v>0.5</c:v>
                </c:pt>
                <c:pt idx="176">
                  <c:v>0.5</c:v>
                </c:pt>
                <c:pt idx="177">
                  <c:v>0.5</c:v>
                </c:pt>
                <c:pt idx="178">
                  <c:v>0.5</c:v>
                </c:pt>
                <c:pt idx="179">
                  <c:v>0.5</c:v>
                </c:pt>
                <c:pt idx="180">
                  <c:v>0.5</c:v>
                </c:pt>
                <c:pt idx="181">
                  <c:v>0.5</c:v>
                </c:pt>
                <c:pt idx="182">
                  <c:v>0.5</c:v>
                </c:pt>
                <c:pt idx="183">
                  <c:v>0.5</c:v>
                </c:pt>
                <c:pt idx="184">
                  <c:v>0.5</c:v>
                </c:pt>
                <c:pt idx="185">
                  <c:v>0.5</c:v>
                </c:pt>
                <c:pt idx="186">
                  <c:v>0.5</c:v>
                </c:pt>
                <c:pt idx="187">
                  <c:v>0.5</c:v>
                </c:pt>
                <c:pt idx="188">
                  <c:v>0.5</c:v>
                </c:pt>
                <c:pt idx="189">
                  <c:v>0.5</c:v>
                </c:pt>
                <c:pt idx="190">
                  <c:v>0.5</c:v>
                </c:pt>
                <c:pt idx="191">
                  <c:v>0.5</c:v>
                </c:pt>
                <c:pt idx="192">
                  <c:v>0.5</c:v>
                </c:pt>
                <c:pt idx="193">
                  <c:v>0.5</c:v>
                </c:pt>
                <c:pt idx="194">
                  <c:v>0.5</c:v>
                </c:pt>
                <c:pt idx="195">
                  <c:v>0.5</c:v>
                </c:pt>
                <c:pt idx="196">
                  <c:v>0.5</c:v>
                </c:pt>
                <c:pt idx="197">
                  <c:v>0.5</c:v>
                </c:pt>
                <c:pt idx="198">
                  <c:v>0.5</c:v>
                </c:pt>
                <c:pt idx="199">
                  <c:v>0.5</c:v>
                </c:pt>
                <c:pt idx="200">
                  <c:v>0.5</c:v>
                </c:pt>
                <c:pt idx="201">
                  <c:v>0.5</c:v>
                </c:pt>
                <c:pt idx="202">
                  <c:v>0.5</c:v>
                </c:pt>
                <c:pt idx="203">
                  <c:v>0.5</c:v>
                </c:pt>
                <c:pt idx="204">
                  <c:v>0.5</c:v>
                </c:pt>
                <c:pt idx="205">
                  <c:v>0.5</c:v>
                </c:pt>
                <c:pt idx="206">
                  <c:v>0.5</c:v>
                </c:pt>
                <c:pt idx="207">
                  <c:v>0.5</c:v>
                </c:pt>
                <c:pt idx="208">
                  <c:v>0.5</c:v>
                </c:pt>
                <c:pt idx="209">
                  <c:v>0.5</c:v>
                </c:pt>
                <c:pt idx="210">
                  <c:v>0.5</c:v>
                </c:pt>
                <c:pt idx="211">
                  <c:v>0.5</c:v>
                </c:pt>
                <c:pt idx="212">
                  <c:v>0.5</c:v>
                </c:pt>
                <c:pt idx="213">
                  <c:v>0.5</c:v>
                </c:pt>
                <c:pt idx="214">
                  <c:v>0.5</c:v>
                </c:pt>
                <c:pt idx="215">
                  <c:v>0.5</c:v>
                </c:pt>
                <c:pt idx="216">
                  <c:v>0.5</c:v>
                </c:pt>
                <c:pt idx="217">
                  <c:v>0.5</c:v>
                </c:pt>
                <c:pt idx="218">
                  <c:v>0.5</c:v>
                </c:pt>
                <c:pt idx="219">
                  <c:v>0.5</c:v>
                </c:pt>
                <c:pt idx="220">
                  <c:v>0.5</c:v>
                </c:pt>
                <c:pt idx="221">
                  <c:v>0.5</c:v>
                </c:pt>
                <c:pt idx="222">
                  <c:v>0.5</c:v>
                </c:pt>
                <c:pt idx="223">
                  <c:v>0.5</c:v>
                </c:pt>
                <c:pt idx="224">
                  <c:v>0.5</c:v>
                </c:pt>
                <c:pt idx="225">
                  <c:v>0.5</c:v>
                </c:pt>
                <c:pt idx="226">
                  <c:v>0.5</c:v>
                </c:pt>
                <c:pt idx="227">
                  <c:v>0.5</c:v>
                </c:pt>
                <c:pt idx="228">
                  <c:v>0.5</c:v>
                </c:pt>
                <c:pt idx="229">
                  <c:v>0.5</c:v>
                </c:pt>
                <c:pt idx="230">
                  <c:v>0.5</c:v>
                </c:pt>
                <c:pt idx="231">
                  <c:v>0.5</c:v>
                </c:pt>
                <c:pt idx="232">
                  <c:v>0.5</c:v>
                </c:pt>
                <c:pt idx="233">
                  <c:v>0.5</c:v>
                </c:pt>
                <c:pt idx="234">
                  <c:v>0.5</c:v>
                </c:pt>
                <c:pt idx="235">
                  <c:v>0.5</c:v>
                </c:pt>
                <c:pt idx="236">
                  <c:v>0.5</c:v>
                </c:pt>
                <c:pt idx="237">
                  <c:v>0.5</c:v>
                </c:pt>
                <c:pt idx="238">
                  <c:v>0.5</c:v>
                </c:pt>
                <c:pt idx="239">
                  <c:v>0.5</c:v>
                </c:pt>
                <c:pt idx="240">
                  <c:v>0.5</c:v>
                </c:pt>
                <c:pt idx="241">
                  <c:v>0.5</c:v>
                </c:pt>
                <c:pt idx="242">
                  <c:v>0.5</c:v>
                </c:pt>
                <c:pt idx="243">
                  <c:v>0.5</c:v>
                </c:pt>
                <c:pt idx="244">
                  <c:v>0.5</c:v>
                </c:pt>
                <c:pt idx="245">
                  <c:v>0.5</c:v>
                </c:pt>
                <c:pt idx="246">
                  <c:v>0.5</c:v>
                </c:pt>
                <c:pt idx="247">
                  <c:v>0.5</c:v>
                </c:pt>
                <c:pt idx="248">
                  <c:v>0.5</c:v>
                </c:pt>
                <c:pt idx="249">
                  <c:v>0.5</c:v>
                </c:pt>
                <c:pt idx="250">
                  <c:v>0.5</c:v>
                </c:pt>
                <c:pt idx="251">
                  <c:v>0.5</c:v>
                </c:pt>
                <c:pt idx="252">
                  <c:v>0.5</c:v>
                </c:pt>
                <c:pt idx="253">
                  <c:v>0.5</c:v>
                </c:pt>
                <c:pt idx="254">
                  <c:v>0.5</c:v>
                </c:pt>
                <c:pt idx="255">
                  <c:v>0.5</c:v>
                </c:pt>
                <c:pt idx="256">
                  <c:v>0.5</c:v>
                </c:pt>
                <c:pt idx="257">
                  <c:v>0.5</c:v>
                </c:pt>
                <c:pt idx="258">
                  <c:v>0.5</c:v>
                </c:pt>
                <c:pt idx="259">
                  <c:v>0.5</c:v>
                </c:pt>
                <c:pt idx="260">
                  <c:v>0.5</c:v>
                </c:pt>
                <c:pt idx="261">
                  <c:v>0.5</c:v>
                </c:pt>
                <c:pt idx="262">
                  <c:v>0.5</c:v>
                </c:pt>
                <c:pt idx="263">
                  <c:v>0.5</c:v>
                </c:pt>
                <c:pt idx="264">
                  <c:v>0.5</c:v>
                </c:pt>
                <c:pt idx="265">
                  <c:v>0.5</c:v>
                </c:pt>
                <c:pt idx="266">
                  <c:v>0.5</c:v>
                </c:pt>
                <c:pt idx="267">
                  <c:v>0.5</c:v>
                </c:pt>
                <c:pt idx="268">
                  <c:v>0.5</c:v>
                </c:pt>
                <c:pt idx="269">
                  <c:v>0.5</c:v>
                </c:pt>
                <c:pt idx="270">
                  <c:v>0.5</c:v>
                </c:pt>
                <c:pt idx="271">
                  <c:v>0.5</c:v>
                </c:pt>
                <c:pt idx="272">
                  <c:v>0.5</c:v>
                </c:pt>
                <c:pt idx="273">
                  <c:v>0.5</c:v>
                </c:pt>
                <c:pt idx="274">
                  <c:v>0.5</c:v>
                </c:pt>
                <c:pt idx="275">
                  <c:v>0.5</c:v>
                </c:pt>
                <c:pt idx="276">
                  <c:v>0.5</c:v>
                </c:pt>
                <c:pt idx="277">
                  <c:v>0.5</c:v>
                </c:pt>
                <c:pt idx="278">
                  <c:v>0.5</c:v>
                </c:pt>
                <c:pt idx="279">
                  <c:v>0.5</c:v>
                </c:pt>
                <c:pt idx="280">
                  <c:v>0.5</c:v>
                </c:pt>
                <c:pt idx="281">
                  <c:v>0.5</c:v>
                </c:pt>
                <c:pt idx="282">
                  <c:v>0.5</c:v>
                </c:pt>
                <c:pt idx="283">
                  <c:v>0.5</c:v>
                </c:pt>
                <c:pt idx="284">
                  <c:v>0.5</c:v>
                </c:pt>
                <c:pt idx="285">
                  <c:v>0.5</c:v>
                </c:pt>
                <c:pt idx="286">
                  <c:v>0.5</c:v>
                </c:pt>
                <c:pt idx="287">
                  <c:v>0.5</c:v>
                </c:pt>
                <c:pt idx="288">
                  <c:v>0.5</c:v>
                </c:pt>
                <c:pt idx="289">
                  <c:v>0.5</c:v>
                </c:pt>
                <c:pt idx="290">
                  <c:v>0.5</c:v>
                </c:pt>
                <c:pt idx="291">
                  <c:v>0.5</c:v>
                </c:pt>
                <c:pt idx="292">
                  <c:v>0.5</c:v>
                </c:pt>
                <c:pt idx="293">
                  <c:v>0.5</c:v>
                </c:pt>
                <c:pt idx="294">
                  <c:v>0.5</c:v>
                </c:pt>
                <c:pt idx="295">
                  <c:v>0.5</c:v>
                </c:pt>
                <c:pt idx="296">
                  <c:v>0.5</c:v>
                </c:pt>
                <c:pt idx="297">
                  <c:v>0.5</c:v>
                </c:pt>
                <c:pt idx="298">
                  <c:v>0.5</c:v>
                </c:pt>
                <c:pt idx="299">
                  <c:v>0.5</c:v>
                </c:pt>
                <c:pt idx="300">
                  <c:v>0.5</c:v>
                </c:pt>
                <c:pt idx="301">
                  <c:v>0.5</c:v>
                </c:pt>
                <c:pt idx="302">
                  <c:v>0.5</c:v>
                </c:pt>
                <c:pt idx="303">
                  <c:v>0.5</c:v>
                </c:pt>
                <c:pt idx="304">
                  <c:v>0.5</c:v>
                </c:pt>
                <c:pt idx="305">
                  <c:v>0.5</c:v>
                </c:pt>
                <c:pt idx="306">
                  <c:v>0.5</c:v>
                </c:pt>
                <c:pt idx="307">
                  <c:v>0.5</c:v>
                </c:pt>
                <c:pt idx="308">
                  <c:v>0.5</c:v>
                </c:pt>
                <c:pt idx="309">
                  <c:v>0.5</c:v>
                </c:pt>
                <c:pt idx="310">
                  <c:v>0.5</c:v>
                </c:pt>
                <c:pt idx="311">
                  <c:v>0.5</c:v>
                </c:pt>
                <c:pt idx="312">
                  <c:v>0.5</c:v>
                </c:pt>
                <c:pt idx="313">
                  <c:v>0.5</c:v>
                </c:pt>
                <c:pt idx="314">
                  <c:v>0.5</c:v>
                </c:pt>
                <c:pt idx="315">
                  <c:v>0.5</c:v>
                </c:pt>
                <c:pt idx="316">
                  <c:v>0.5</c:v>
                </c:pt>
                <c:pt idx="317">
                  <c:v>0.5</c:v>
                </c:pt>
                <c:pt idx="318">
                  <c:v>0.5</c:v>
                </c:pt>
                <c:pt idx="319">
                  <c:v>0.5</c:v>
                </c:pt>
                <c:pt idx="320">
                  <c:v>0.5</c:v>
                </c:pt>
                <c:pt idx="321">
                  <c:v>0.5</c:v>
                </c:pt>
                <c:pt idx="322">
                  <c:v>0.5</c:v>
                </c:pt>
                <c:pt idx="323">
                  <c:v>0.5</c:v>
                </c:pt>
                <c:pt idx="324">
                  <c:v>0.5</c:v>
                </c:pt>
                <c:pt idx="325">
                  <c:v>0.5</c:v>
                </c:pt>
                <c:pt idx="326">
                  <c:v>0.5</c:v>
                </c:pt>
                <c:pt idx="327">
                  <c:v>0.5</c:v>
                </c:pt>
                <c:pt idx="328">
                  <c:v>0.5</c:v>
                </c:pt>
                <c:pt idx="329">
                  <c:v>0.5</c:v>
                </c:pt>
                <c:pt idx="330">
                  <c:v>0.5</c:v>
                </c:pt>
                <c:pt idx="331">
                  <c:v>0.5</c:v>
                </c:pt>
                <c:pt idx="332">
                  <c:v>0.5</c:v>
                </c:pt>
                <c:pt idx="333">
                  <c:v>0.5</c:v>
                </c:pt>
                <c:pt idx="334">
                  <c:v>0.5</c:v>
                </c:pt>
                <c:pt idx="335">
                  <c:v>0.5</c:v>
                </c:pt>
                <c:pt idx="336">
                  <c:v>0.5</c:v>
                </c:pt>
                <c:pt idx="337">
                  <c:v>0.5</c:v>
                </c:pt>
                <c:pt idx="338">
                  <c:v>0.5</c:v>
                </c:pt>
                <c:pt idx="339">
                  <c:v>0.5</c:v>
                </c:pt>
                <c:pt idx="340">
                  <c:v>0.5</c:v>
                </c:pt>
                <c:pt idx="341">
                  <c:v>0.5</c:v>
                </c:pt>
                <c:pt idx="342">
                  <c:v>0.5</c:v>
                </c:pt>
                <c:pt idx="343">
                  <c:v>0.5</c:v>
                </c:pt>
                <c:pt idx="344">
                  <c:v>0.5</c:v>
                </c:pt>
                <c:pt idx="345">
                  <c:v>0.5</c:v>
                </c:pt>
                <c:pt idx="346">
                  <c:v>0.5</c:v>
                </c:pt>
                <c:pt idx="347">
                  <c:v>0.5</c:v>
                </c:pt>
                <c:pt idx="348">
                  <c:v>0.5</c:v>
                </c:pt>
                <c:pt idx="349">
                  <c:v>0.5</c:v>
                </c:pt>
                <c:pt idx="350">
                  <c:v>0.5</c:v>
                </c:pt>
                <c:pt idx="351">
                  <c:v>0.5</c:v>
                </c:pt>
                <c:pt idx="352">
                  <c:v>0.5</c:v>
                </c:pt>
                <c:pt idx="353">
                  <c:v>0.5</c:v>
                </c:pt>
                <c:pt idx="354">
                  <c:v>0.5</c:v>
                </c:pt>
                <c:pt idx="355">
                  <c:v>0.5</c:v>
                </c:pt>
                <c:pt idx="356">
                  <c:v>0.5</c:v>
                </c:pt>
                <c:pt idx="357">
                  <c:v>0.5</c:v>
                </c:pt>
                <c:pt idx="358">
                  <c:v>0.5</c:v>
                </c:pt>
                <c:pt idx="359">
                  <c:v>0.5</c:v>
                </c:pt>
                <c:pt idx="360">
                  <c:v>0.5</c:v>
                </c:pt>
                <c:pt idx="361">
                  <c:v>0.5</c:v>
                </c:pt>
                <c:pt idx="362">
                  <c:v>0.5</c:v>
                </c:pt>
                <c:pt idx="363">
                  <c:v>0.5</c:v>
                </c:pt>
                <c:pt idx="364">
                  <c:v>0.5</c:v>
                </c:pt>
                <c:pt idx="365">
                  <c:v>0.5</c:v>
                </c:pt>
                <c:pt idx="366">
                  <c:v>0.5</c:v>
                </c:pt>
                <c:pt idx="367">
                  <c:v>0.5</c:v>
                </c:pt>
                <c:pt idx="368">
                  <c:v>0.5</c:v>
                </c:pt>
                <c:pt idx="369">
                  <c:v>0.5</c:v>
                </c:pt>
                <c:pt idx="370">
                  <c:v>0.5</c:v>
                </c:pt>
                <c:pt idx="371">
                  <c:v>0.5</c:v>
                </c:pt>
                <c:pt idx="372">
                  <c:v>0.5</c:v>
                </c:pt>
                <c:pt idx="373">
                  <c:v>0.5</c:v>
                </c:pt>
                <c:pt idx="374">
                  <c:v>0.5</c:v>
                </c:pt>
                <c:pt idx="375">
                  <c:v>0.5</c:v>
                </c:pt>
                <c:pt idx="376">
                  <c:v>0.5</c:v>
                </c:pt>
                <c:pt idx="377">
                  <c:v>0.5</c:v>
                </c:pt>
                <c:pt idx="378">
                  <c:v>0.5</c:v>
                </c:pt>
                <c:pt idx="379">
                  <c:v>0.5</c:v>
                </c:pt>
                <c:pt idx="380">
                  <c:v>0.5</c:v>
                </c:pt>
                <c:pt idx="381">
                  <c:v>0.5</c:v>
                </c:pt>
                <c:pt idx="382">
                  <c:v>0.5</c:v>
                </c:pt>
                <c:pt idx="383">
                  <c:v>0.5</c:v>
                </c:pt>
                <c:pt idx="384">
                  <c:v>0.5</c:v>
                </c:pt>
                <c:pt idx="385">
                  <c:v>0.5</c:v>
                </c:pt>
                <c:pt idx="386">
                  <c:v>0.5</c:v>
                </c:pt>
                <c:pt idx="387">
                  <c:v>0.5</c:v>
                </c:pt>
                <c:pt idx="388">
                  <c:v>0.5</c:v>
                </c:pt>
                <c:pt idx="389">
                  <c:v>0.5</c:v>
                </c:pt>
                <c:pt idx="390">
                  <c:v>0.5</c:v>
                </c:pt>
                <c:pt idx="391">
                  <c:v>0.5</c:v>
                </c:pt>
                <c:pt idx="392">
                  <c:v>0.5</c:v>
                </c:pt>
                <c:pt idx="393">
                  <c:v>0.5</c:v>
                </c:pt>
              </c:numCache>
            </c:numRef>
          </c:val>
          <c:extLst>
            <c:ext xmlns:c16="http://schemas.microsoft.com/office/drawing/2014/chart" uri="{C3380CC4-5D6E-409C-BE32-E72D297353CC}">
              <c16:uniqueId val="{00000007-E4ED-2D40-BB0C-D5284EA7E854}"/>
            </c:ext>
          </c:extLst>
        </c:ser>
        <c:ser>
          <c:idx val="1"/>
          <c:order val="2"/>
          <c:tx>
            <c:strRef>
              <c:f>'Infection Projection'!$M$2</c:f>
              <c:strCache>
                <c:ptCount val="1"/>
                <c:pt idx="0">
                  <c:v>green</c:v>
                </c:pt>
              </c:strCache>
            </c:strRef>
          </c:tx>
          <c:spPr>
            <a:solidFill>
              <a:srgbClr val="00B050">
                <a:alpha val="20000"/>
              </a:srgbClr>
            </a:solidFill>
            <a:ln w="25400">
              <a:noFill/>
            </a:ln>
            <a:effectLst/>
          </c:spPr>
          <c:cat>
            <c:numRef>
              <c:f>'Infection Projection'!$K$3:$K$396</c:f>
              <c:numCache>
                <c:formatCode>m/d/yy</c:formatCode>
                <c:ptCount val="394"/>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pt idx="26">
                  <c:v>43939</c:v>
                </c:pt>
                <c:pt idx="27">
                  <c:v>43940</c:v>
                </c:pt>
                <c:pt idx="28">
                  <c:v>43941</c:v>
                </c:pt>
                <c:pt idx="29">
                  <c:v>43942</c:v>
                </c:pt>
                <c:pt idx="30">
                  <c:v>43943</c:v>
                </c:pt>
                <c:pt idx="31">
                  <c:v>43944</c:v>
                </c:pt>
                <c:pt idx="32">
                  <c:v>43945</c:v>
                </c:pt>
                <c:pt idx="33">
                  <c:v>43946</c:v>
                </c:pt>
                <c:pt idx="34">
                  <c:v>43947</c:v>
                </c:pt>
                <c:pt idx="35">
                  <c:v>43948</c:v>
                </c:pt>
                <c:pt idx="36">
                  <c:v>43949</c:v>
                </c:pt>
                <c:pt idx="37">
                  <c:v>43950</c:v>
                </c:pt>
                <c:pt idx="38">
                  <c:v>43951</c:v>
                </c:pt>
                <c:pt idx="39">
                  <c:v>43952</c:v>
                </c:pt>
                <c:pt idx="40">
                  <c:v>43953</c:v>
                </c:pt>
                <c:pt idx="41">
                  <c:v>43954</c:v>
                </c:pt>
                <c:pt idx="42">
                  <c:v>43955</c:v>
                </c:pt>
                <c:pt idx="43">
                  <c:v>43956</c:v>
                </c:pt>
                <c:pt idx="44">
                  <c:v>43957</c:v>
                </c:pt>
                <c:pt idx="45">
                  <c:v>43958</c:v>
                </c:pt>
                <c:pt idx="46">
                  <c:v>43959</c:v>
                </c:pt>
                <c:pt idx="47">
                  <c:v>43960</c:v>
                </c:pt>
                <c:pt idx="48">
                  <c:v>43961</c:v>
                </c:pt>
                <c:pt idx="49">
                  <c:v>43962</c:v>
                </c:pt>
                <c:pt idx="50">
                  <c:v>43963</c:v>
                </c:pt>
                <c:pt idx="51">
                  <c:v>43964</c:v>
                </c:pt>
                <c:pt idx="52">
                  <c:v>43965</c:v>
                </c:pt>
                <c:pt idx="53">
                  <c:v>43966</c:v>
                </c:pt>
                <c:pt idx="54">
                  <c:v>43967</c:v>
                </c:pt>
                <c:pt idx="55">
                  <c:v>43968</c:v>
                </c:pt>
                <c:pt idx="56">
                  <c:v>43969</c:v>
                </c:pt>
                <c:pt idx="57">
                  <c:v>43970</c:v>
                </c:pt>
                <c:pt idx="58">
                  <c:v>43971</c:v>
                </c:pt>
                <c:pt idx="59">
                  <c:v>43972</c:v>
                </c:pt>
                <c:pt idx="60">
                  <c:v>43973</c:v>
                </c:pt>
                <c:pt idx="61">
                  <c:v>43974</c:v>
                </c:pt>
                <c:pt idx="62">
                  <c:v>43975</c:v>
                </c:pt>
                <c:pt idx="63">
                  <c:v>43976</c:v>
                </c:pt>
                <c:pt idx="64">
                  <c:v>43977</c:v>
                </c:pt>
                <c:pt idx="65">
                  <c:v>43978</c:v>
                </c:pt>
                <c:pt idx="66">
                  <c:v>43979</c:v>
                </c:pt>
                <c:pt idx="67">
                  <c:v>43980</c:v>
                </c:pt>
                <c:pt idx="68">
                  <c:v>43981</c:v>
                </c:pt>
                <c:pt idx="69">
                  <c:v>43982</c:v>
                </c:pt>
                <c:pt idx="70">
                  <c:v>43983</c:v>
                </c:pt>
                <c:pt idx="71">
                  <c:v>43984</c:v>
                </c:pt>
                <c:pt idx="72">
                  <c:v>43985</c:v>
                </c:pt>
                <c:pt idx="73">
                  <c:v>43986</c:v>
                </c:pt>
                <c:pt idx="74">
                  <c:v>43987</c:v>
                </c:pt>
                <c:pt idx="75">
                  <c:v>43988</c:v>
                </c:pt>
                <c:pt idx="76">
                  <c:v>43989</c:v>
                </c:pt>
                <c:pt idx="77">
                  <c:v>43990</c:v>
                </c:pt>
                <c:pt idx="78">
                  <c:v>43991</c:v>
                </c:pt>
                <c:pt idx="79">
                  <c:v>43992</c:v>
                </c:pt>
                <c:pt idx="80">
                  <c:v>43993</c:v>
                </c:pt>
                <c:pt idx="81">
                  <c:v>43994</c:v>
                </c:pt>
                <c:pt idx="82">
                  <c:v>43995</c:v>
                </c:pt>
                <c:pt idx="83">
                  <c:v>43996</c:v>
                </c:pt>
                <c:pt idx="84">
                  <c:v>43997</c:v>
                </c:pt>
                <c:pt idx="85">
                  <c:v>43998</c:v>
                </c:pt>
                <c:pt idx="86">
                  <c:v>43999</c:v>
                </c:pt>
                <c:pt idx="87">
                  <c:v>44000</c:v>
                </c:pt>
                <c:pt idx="88">
                  <c:v>44001</c:v>
                </c:pt>
                <c:pt idx="89">
                  <c:v>44002</c:v>
                </c:pt>
                <c:pt idx="90">
                  <c:v>44003</c:v>
                </c:pt>
                <c:pt idx="91">
                  <c:v>44004</c:v>
                </c:pt>
                <c:pt idx="92">
                  <c:v>44005</c:v>
                </c:pt>
                <c:pt idx="93">
                  <c:v>44006</c:v>
                </c:pt>
                <c:pt idx="94">
                  <c:v>44007</c:v>
                </c:pt>
                <c:pt idx="95">
                  <c:v>44008</c:v>
                </c:pt>
                <c:pt idx="96">
                  <c:v>44009</c:v>
                </c:pt>
                <c:pt idx="97">
                  <c:v>44010</c:v>
                </c:pt>
                <c:pt idx="98">
                  <c:v>44011</c:v>
                </c:pt>
                <c:pt idx="99">
                  <c:v>44012</c:v>
                </c:pt>
                <c:pt idx="100">
                  <c:v>44013</c:v>
                </c:pt>
                <c:pt idx="101">
                  <c:v>44014</c:v>
                </c:pt>
                <c:pt idx="102">
                  <c:v>44015</c:v>
                </c:pt>
                <c:pt idx="103">
                  <c:v>44016</c:v>
                </c:pt>
                <c:pt idx="104">
                  <c:v>44017</c:v>
                </c:pt>
                <c:pt idx="105">
                  <c:v>44018</c:v>
                </c:pt>
                <c:pt idx="106">
                  <c:v>44019</c:v>
                </c:pt>
                <c:pt idx="107">
                  <c:v>44020</c:v>
                </c:pt>
                <c:pt idx="108">
                  <c:v>44021</c:v>
                </c:pt>
                <c:pt idx="109">
                  <c:v>44022</c:v>
                </c:pt>
                <c:pt idx="110">
                  <c:v>44023</c:v>
                </c:pt>
                <c:pt idx="111">
                  <c:v>44024</c:v>
                </c:pt>
                <c:pt idx="112">
                  <c:v>44025</c:v>
                </c:pt>
                <c:pt idx="113">
                  <c:v>44026</c:v>
                </c:pt>
                <c:pt idx="114">
                  <c:v>44027</c:v>
                </c:pt>
                <c:pt idx="115">
                  <c:v>44028</c:v>
                </c:pt>
                <c:pt idx="116">
                  <c:v>44029</c:v>
                </c:pt>
                <c:pt idx="117">
                  <c:v>44030</c:v>
                </c:pt>
                <c:pt idx="118">
                  <c:v>44031</c:v>
                </c:pt>
                <c:pt idx="119">
                  <c:v>44032</c:v>
                </c:pt>
                <c:pt idx="120">
                  <c:v>44033</c:v>
                </c:pt>
                <c:pt idx="121">
                  <c:v>44034</c:v>
                </c:pt>
                <c:pt idx="122">
                  <c:v>44035</c:v>
                </c:pt>
                <c:pt idx="123">
                  <c:v>44036</c:v>
                </c:pt>
                <c:pt idx="124">
                  <c:v>44037</c:v>
                </c:pt>
                <c:pt idx="125">
                  <c:v>44038</c:v>
                </c:pt>
                <c:pt idx="126">
                  <c:v>44039</c:v>
                </c:pt>
                <c:pt idx="127">
                  <c:v>44040</c:v>
                </c:pt>
                <c:pt idx="128">
                  <c:v>44041</c:v>
                </c:pt>
                <c:pt idx="129">
                  <c:v>44042</c:v>
                </c:pt>
                <c:pt idx="130">
                  <c:v>44043</c:v>
                </c:pt>
                <c:pt idx="131">
                  <c:v>44044</c:v>
                </c:pt>
                <c:pt idx="132">
                  <c:v>44045</c:v>
                </c:pt>
                <c:pt idx="133">
                  <c:v>44046</c:v>
                </c:pt>
                <c:pt idx="134">
                  <c:v>44047</c:v>
                </c:pt>
                <c:pt idx="135">
                  <c:v>44048</c:v>
                </c:pt>
                <c:pt idx="136">
                  <c:v>44049</c:v>
                </c:pt>
                <c:pt idx="137">
                  <c:v>44050</c:v>
                </c:pt>
                <c:pt idx="138">
                  <c:v>44051</c:v>
                </c:pt>
                <c:pt idx="139">
                  <c:v>44052</c:v>
                </c:pt>
                <c:pt idx="140">
                  <c:v>44053</c:v>
                </c:pt>
                <c:pt idx="141">
                  <c:v>44054</c:v>
                </c:pt>
                <c:pt idx="142">
                  <c:v>44055</c:v>
                </c:pt>
                <c:pt idx="143">
                  <c:v>44056</c:v>
                </c:pt>
                <c:pt idx="144">
                  <c:v>44057</c:v>
                </c:pt>
                <c:pt idx="145">
                  <c:v>44058</c:v>
                </c:pt>
                <c:pt idx="146">
                  <c:v>44059</c:v>
                </c:pt>
                <c:pt idx="147">
                  <c:v>44060</c:v>
                </c:pt>
                <c:pt idx="148">
                  <c:v>44061</c:v>
                </c:pt>
                <c:pt idx="149">
                  <c:v>44062</c:v>
                </c:pt>
                <c:pt idx="150">
                  <c:v>44063</c:v>
                </c:pt>
                <c:pt idx="151">
                  <c:v>44064</c:v>
                </c:pt>
                <c:pt idx="152">
                  <c:v>44065</c:v>
                </c:pt>
                <c:pt idx="153">
                  <c:v>44066</c:v>
                </c:pt>
                <c:pt idx="154">
                  <c:v>44067</c:v>
                </c:pt>
                <c:pt idx="155">
                  <c:v>44068</c:v>
                </c:pt>
                <c:pt idx="156">
                  <c:v>44069</c:v>
                </c:pt>
                <c:pt idx="157">
                  <c:v>44070</c:v>
                </c:pt>
                <c:pt idx="158">
                  <c:v>44071</c:v>
                </c:pt>
                <c:pt idx="159">
                  <c:v>44072</c:v>
                </c:pt>
                <c:pt idx="160">
                  <c:v>44073</c:v>
                </c:pt>
                <c:pt idx="161">
                  <c:v>44074</c:v>
                </c:pt>
                <c:pt idx="162">
                  <c:v>44075</c:v>
                </c:pt>
                <c:pt idx="163">
                  <c:v>44076</c:v>
                </c:pt>
                <c:pt idx="164">
                  <c:v>44077</c:v>
                </c:pt>
                <c:pt idx="165">
                  <c:v>44078</c:v>
                </c:pt>
                <c:pt idx="166">
                  <c:v>44079</c:v>
                </c:pt>
                <c:pt idx="167">
                  <c:v>44080</c:v>
                </c:pt>
                <c:pt idx="168">
                  <c:v>44081</c:v>
                </c:pt>
                <c:pt idx="169">
                  <c:v>44082</c:v>
                </c:pt>
                <c:pt idx="170">
                  <c:v>44083</c:v>
                </c:pt>
                <c:pt idx="171">
                  <c:v>44084</c:v>
                </c:pt>
                <c:pt idx="172">
                  <c:v>44085</c:v>
                </c:pt>
                <c:pt idx="173">
                  <c:v>44086</c:v>
                </c:pt>
                <c:pt idx="174">
                  <c:v>44087</c:v>
                </c:pt>
                <c:pt idx="175">
                  <c:v>44088</c:v>
                </c:pt>
                <c:pt idx="176">
                  <c:v>44089</c:v>
                </c:pt>
                <c:pt idx="177">
                  <c:v>44090</c:v>
                </c:pt>
                <c:pt idx="178">
                  <c:v>44091</c:v>
                </c:pt>
                <c:pt idx="179">
                  <c:v>44092</c:v>
                </c:pt>
                <c:pt idx="180">
                  <c:v>44093</c:v>
                </c:pt>
                <c:pt idx="181">
                  <c:v>44094</c:v>
                </c:pt>
                <c:pt idx="182">
                  <c:v>44095</c:v>
                </c:pt>
                <c:pt idx="183">
                  <c:v>44096</c:v>
                </c:pt>
                <c:pt idx="184">
                  <c:v>44097</c:v>
                </c:pt>
                <c:pt idx="185">
                  <c:v>44098</c:v>
                </c:pt>
                <c:pt idx="186">
                  <c:v>44099</c:v>
                </c:pt>
                <c:pt idx="187">
                  <c:v>44100</c:v>
                </c:pt>
                <c:pt idx="188">
                  <c:v>44101</c:v>
                </c:pt>
                <c:pt idx="189">
                  <c:v>44102</c:v>
                </c:pt>
                <c:pt idx="190">
                  <c:v>44103</c:v>
                </c:pt>
                <c:pt idx="191">
                  <c:v>44104</c:v>
                </c:pt>
                <c:pt idx="192">
                  <c:v>44105</c:v>
                </c:pt>
                <c:pt idx="193">
                  <c:v>44106</c:v>
                </c:pt>
                <c:pt idx="194">
                  <c:v>44107</c:v>
                </c:pt>
                <c:pt idx="195">
                  <c:v>44108</c:v>
                </c:pt>
                <c:pt idx="196">
                  <c:v>44109</c:v>
                </c:pt>
                <c:pt idx="197">
                  <c:v>44110</c:v>
                </c:pt>
                <c:pt idx="198">
                  <c:v>44111</c:v>
                </c:pt>
                <c:pt idx="199">
                  <c:v>44112</c:v>
                </c:pt>
                <c:pt idx="200">
                  <c:v>44113</c:v>
                </c:pt>
                <c:pt idx="201">
                  <c:v>44114</c:v>
                </c:pt>
                <c:pt idx="202">
                  <c:v>44115</c:v>
                </c:pt>
                <c:pt idx="203">
                  <c:v>44116</c:v>
                </c:pt>
                <c:pt idx="204">
                  <c:v>44117</c:v>
                </c:pt>
                <c:pt idx="205">
                  <c:v>44118</c:v>
                </c:pt>
                <c:pt idx="206">
                  <c:v>44119</c:v>
                </c:pt>
                <c:pt idx="207">
                  <c:v>44120</c:v>
                </c:pt>
                <c:pt idx="208">
                  <c:v>44121</c:v>
                </c:pt>
                <c:pt idx="209">
                  <c:v>44122</c:v>
                </c:pt>
                <c:pt idx="210">
                  <c:v>44123</c:v>
                </c:pt>
                <c:pt idx="211">
                  <c:v>44124</c:v>
                </c:pt>
                <c:pt idx="212">
                  <c:v>44125</c:v>
                </c:pt>
                <c:pt idx="213">
                  <c:v>44126</c:v>
                </c:pt>
                <c:pt idx="214">
                  <c:v>44127</c:v>
                </c:pt>
                <c:pt idx="215">
                  <c:v>44128</c:v>
                </c:pt>
                <c:pt idx="216">
                  <c:v>44129</c:v>
                </c:pt>
                <c:pt idx="217">
                  <c:v>44130</c:v>
                </c:pt>
                <c:pt idx="218">
                  <c:v>44131</c:v>
                </c:pt>
                <c:pt idx="219">
                  <c:v>44132</c:v>
                </c:pt>
                <c:pt idx="220">
                  <c:v>44133</c:v>
                </c:pt>
                <c:pt idx="221">
                  <c:v>44134</c:v>
                </c:pt>
                <c:pt idx="222">
                  <c:v>44135</c:v>
                </c:pt>
                <c:pt idx="223">
                  <c:v>44136</c:v>
                </c:pt>
                <c:pt idx="224">
                  <c:v>44137</c:v>
                </c:pt>
                <c:pt idx="225">
                  <c:v>44138</c:v>
                </c:pt>
                <c:pt idx="226">
                  <c:v>44139</c:v>
                </c:pt>
                <c:pt idx="227">
                  <c:v>44140</c:v>
                </c:pt>
                <c:pt idx="228">
                  <c:v>44141</c:v>
                </c:pt>
                <c:pt idx="229">
                  <c:v>44142</c:v>
                </c:pt>
                <c:pt idx="230">
                  <c:v>44143</c:v>
                </c:pt>
                <c:pt idx="231">
                  <c:v>44144</c:v>
                </c:pt>
                <c:pt idx="232">
                  <c:v>44145</c:v>
                </c:pt>
                <c:pt idx="233">
                  <c:v>44146</c:v>
                </c:pt>
                <c:pt idx="234">
                  <c:v>44147</c:v>
                </c:pt>
                <c:pt idx="235">
                  <c:v>44148</c:v>
                </c:pt>
                <c:pt idx="236">
                  <c:v>44149</c:v>
                </c:pt>
                <c:pt idx="237">
                  <c:v>44150</c:v>
                </c:pt>
                <c:pt idx="238">
                  <c:v>44151</c:v>
                </c:pt>
                <c:pt idx="239">
                  <c:v>44152</c:v>
                </c:pt>
                <c:pt idx="240">
                  <c:v>44153</c:v>
                </c:pt>
                <c:pt idx="241">
                  <c:v>44154</c:v>
                </c:pt>
                <c:pt idx="242">
                  <c:v>44155</c:v>
                </c:pt>
                <c:pt idx="243">
                  <c:v>44156</c:v>
                </c:pt>
                <c:pt idx="244">
                  <c:v>44157</c:v>
                </c:pt>
                <c:pt idx="245">
                  <c:v>44158</c:v>
                </c:pt>
                <c:pt idx="246">
                  <c:v>44159</c:v>
                </c:pt>
                <c:pt idx="247">
                  <c:v>44160</c:v>
                </c:pt>
                <c:pt idx="248">
                  <c:v>44161</c:v>
                </c:pt>
                <c:pt idx="249">
                  <c:v>44162</c:v>
                </c:pt>
                <c:pt idx="250">
                  <c:v>44163</c:v>
                </c:pt>
                <c:pt idx="251">
                  <c:v>44164</c:v>
                </c:pt>
                <c:pt idx="252">
                  <c:v>44165</c:v>
                </c:pt>
                <c:pt idx="253">
                  <c:v>44166</c:v>
                </c:pt>
                <c:pt idx="254">
                  <c:v>44167</c:v>
                </c:pt>
                <c:pt idx="255">
                  <c:v>44168</c:v>
                </c:pt>
                <c:pt idx="256">
                  <c:v>44169</c:v>
                </c:pt>
                <c:pt idx="257">
                  <c:v>44170</c:v>
                </c:pt>
                <c:pt idx="258">
                  <c:v>44171</c:v>
                </c:pt>
                <c:pt idx="259">
                  <c:v>44172</c:v>
                </c:pt>
                <c:pt idx="260">
                  <c:v>44173</c:v>
                </c:pt>
                <c:pt idx="261">
                  <c:v>44174</c:v>
                </c:pt>
                <c:pt idx="262">
                  <c:v>44175</c:v>
                </c:pt>
                <c:pt idx="263">
                  <c:v>44176</c:v>
                </c:pt>
                <c:pt idx="264">
                  <c:v>44177</c:v>
                </c:pt>
                <c:pt idx="265">
                  <c:v>44178</c:v>
                </c:pt>
                <c:pt idx="266">
                  <c:v>44179</c:v>
                </c:pt>
                <c:pt idx="267">
                  <c:v>44180</c:v>
                </c:pt>
                <c:pt idx="268">
                  <c:v>44181</c:v>
                </c:pt>
                <c:pt idx="269">
                  <c:v>44182</c:v>
                </c:pt>
                <c:pt idx="270">
                  <c:v>44183</c:v>
                </c:pt>
                <c:pt idx="271">
                  <c:v>44184</c:v>
                </c:pt>
                <c:pt idx="272">
                  <c:v>44185</c:v>
                </c:pt>
                <c:pt idx="273">
                  <c:v>44186</c:v>
                </c:pt>
                <c:pt idx="274">
                  <c:v>44187</c:v>
                </c:pt>
                <c:pt idx="275">
                  <c:v>44188</c:v>
                </c:pt>
                <c:pt idx="276">
                  <c:v>44189</c:v>
                </c:pt>
                <c:pt idx="277">
                  <c:v>44190</c:v>
                </c:pt>
                <c:pt idx="278">
                  <c:v>44191</c:v>
                </c:pt>
                <c:pt idx="279">
                  <c:v>44192</c:v>
                </c:pt>
                <c:pt idx="280">
                  <c:v>44193</c:v>
                </c:pt>
                <c:pt idx="281">
                  <c:v>44194</c:v>
                </c:pt>
                <c:pt idx="282">
                  <c:v>44195</c:v>
                </c:pt>
                <c:pt idx="283">
                  <c:v>44196</c:v>
                </c:pt>
                <c:pt idx="284">
                  <c:v>44197</c:v>
                </c:pt>
                <c:pt idx="285">
                  <c:v>44198</c:v>
                </c:pt>
                <c:pt idx="286">
                  <c:v>44199</c:v>
                </c:pt>
                <c:pt idx="287">
                  <c:v>44200</c:v>
                </c:pt>
                <c:pt idx="288">
                  <c:v>44201</c:v>
                </c:pt>
                <c:pt idx="289">
                  <c:v>44202</c:v>
                </c:pt>
                <c:pt idx="290">
                  <c:v>44203</c:v>
                </c:pt>
                <c:pt idx="291">
                  <c:v>44204</c:v>
                </c:pt>
                <c:pt idx="292">
                  <c:v>44205</c:v>
                </c:pt>
                <c:pt idx="293">
                  <c:v>44206</c:v>
                </c:pt>
                <c:pt idx="294">
                  <c:v>44207</c:v>
                </c:pt>
                <c:pt idx="295">
                  <c:v>44208</c:v>
                </c:pt>
                <c:pt idx="296">
                  <c:v>44209</c:v>
                </c:pt>
                <c:pt idx="297">
                  <c:v>44210</c:v>
                </c:pt>
                <c:pt idx="298">
                  <c:v>44211</c:v>
                </c:pt>
                <c:pt idx="299">
                  <c:v>44212</c:v>
                </c:pt>
                <c:pt idx="300">
                  <c:v>44213</c:v>
                </c:pt>
                <c:pt idx="301">
                  <c:v>44214</c:v>
                </c:pt>
                <c:pt idx="302">
                  <c:v>44215</c:v>
                </c:pt>
                <c:pt idx="303">
                  <c:v>44216</c:v>
                </c:pt>
                <c:pt idx="304">
                  <c:v>44217</c:v>
                </c:pt>
                <c:pt idx="305">
                  <c:v>44218</c:v>
                </c:pt>
                <c:pt idx="306">
                  <c:v>44219</c:v>
                </c:pt>
                <c:pt idx="307">
                  <c:v>44220</c:v>
                </c:pt>
                <c:pt idx="308">
                  <c:v>44221</c:v>
                </c:pt>
                <c:pt idx="309">
                  <c:v>44222</c:v>
                </c:pt>
                <c:pt idx="310">
                  <c:v>44223</c:v>
                </c:pt>
                <c:pt idx="311">
                  <c:v>44224</c:v>
                </c:pt>
                <c:pt idx="312">
                  <c:v>44225</c:v>
                </c:pt>
                <c:pt idx="313">
                  <c:v>44226</c:v>
                </c:pt>
                <c:pt idx="314">
                  <c:v>44227</c:v>
                </c:pt>
                <c:pt idx="315">
                  <c:v>44228</c:v>
                </c:pt>
                <c:pt idx="316">
                  <c:v>44229</c:v>
                </c:pt>
                <c:pt idx="317">
                  <c:v>44230</c:v>
                </c:pt>
                <c:pt idx="318">
                  <c:v>44231</c:v>
                </c:pt>
                <c:pt idx="319">
                  <c:v>44232</c:v>
                </c:pt>
                <c:pt idx="320">
                  <c:v>44233</c:v>
                </c:pt>
                <c:pt idx="321">
                  <c:v>44234</c:v>
                </c:pt>
                <c:pt idx="322">
                  <c:v>44235</c:v>
                </c:pt>
                <c:pt idx="323">
                  <c:v>44236</c:v>
                </c:pt>
                <c:pt idx="324">
                  <c:v>44237</c:v>
                </c:pt>
                <c:pt idx="325">
                  <c:v>44238</c:v>
                </c:pt>
                <c:pt idx="326">
                  <c:v>44239</c:v>
                </c:pt>
                <c:pt idx="327">
                  <c:v>44240</c:v>
                </c:pt>
                <c:pt idx="328">
                  <c:v>44241</c:v>
                </c:pt>
                <c:pt idx="329">
                  <c:v>44242</c:v>
                </c:pt>
                <c:pt idx="330">
                  <c:v>44243</c:v>
                </c:pt>
                <c:pt idx="331">
                  <c:v>44244</c:v>
                </c:pt>
                <c:pt idx="332">
                  <c:v>44245</c:v>
                </c:pt>
                <c:pt idx="333">
                  <c:v>44246</c:v>
                </c:pt>
                <c:pt idx="334">
                  <c:v>44247</c:v>
                </c:pt>
                <c:pt idx="335">
                  <c:v>44248</c:v>
                </c:pt>
                <c:pt idx="336">
                  <c:v>44249</c:v>
                </c:pt>
                <c:pt idx="337">
                  <c:v>44250</c:v>
                </c:pt>
                <c:pt idx="338">
                  <c:v>44251</c:v>
                </c:pt>
                <c:pt idx="339">
                  <c:v>44252</c:v>
                </c:pt>
                <c:pt idx="340">
                  <c:v>44253</c:v>
                </c:pt>
                <c:pt idx="341">
                  <c:v>44254</c:v>
                </c:pt>
                <c:pt idx="342">
                  <c:v>44255</c:v>
                </c:pt>
                <c:pt idx="343">
                  <c:v>44256</c:v>
                </c:pt>
                <c:pt idx="344">
                  <c:v>44257</c:v>
                </c:pt>
                <c:pt idx="345">
                  <c:v>44258</c:v>
                </c:pt>
                <c:pt idx="346">
                  <c:v>44259</c:v>
                </c:pt>
                <c:pt idx="347">
                  <c:v>44260</c:v>
                </c:pt>
                <c:pt idx="348">
                  <c:v>44261</c:v>
                </c:pt>
                <c:pt idx="349">
                  <c:v>44262</c:v>
                </c:pt>
                <c:pt idx="350">
                  <c:v>44263</c:v>
                </c:pt>
                <c:pt idx="351">
                  <c:v>44264</c:v>
                </c:pt>
                <c:pt idx="352">
                  <c:v>44265</c:v>
                </c:pt>
                <c:pt idx="353">
                  <c:v>44266</c:v>
                </c:pt>
                <c:pt idx="354">
                  <c:v>44267</c:v>
                </c:pt>
                <c:pt idx="355">
                  <c:v>44268</c:v>
                </c:pt>
                <c:pt idx="356">
                  <c:v>44269</c:v>
                </c:pt>
                <c:pt idx="357">
                  <c:v>44270</c:v>
                </c:pt>
                <c:pt idx="358">
                  <c:v>44271</c:v>
                </c:pt>
                <c:pt idx="359">
                  <c:v>44272</c:v>
                </c:pt>
                <c:pt idx="360">
                  <c:v>44273</c:v>
                </c:pt>
                <c:pt idx="361">
                  <c:v>44274</c:v>
                </c:pt>
                <c:pt idx="362">
                  <c:v>44275</c:v>
                </c:pt>
                <c:pt idx="363">
                  <c:v>44276</c:v>
                </c:pt>
                <c:pt idx="364">
                  <c:v>44277</c:v>
                </c:pt>
                <c:pt idx="365">
                  <c:v>44278</c:v>
                </c:pt>
                <c:pt idx="366">
                  <c:v>44279</c:v>
                </c:pt>
                <c:pt idx="367">
                  <c:v>44280</c:v>
                </c:pt>
                <c:pt idx="368">
                  <c:v>44281</c:v>
                </c:pt>
                <c:pt idx="369">
                  <c:v>44282</c:v>
                </c:pt>
                <c:pt idx="370">
                  <c:v>44283</c:v>
                </c:pt>
                <c:pt idx="371">
                  <c:v>44284</c:v>
                </c:pt>
                <c:pt idx="372">
                  <c:v>44285</c:v>
                </c:pt>
                <c:pt idx="373">
                  <c:v>44286</c:v>
                </c:pt>
                <c:pt idx="374">
                  <c:v>44287</c:v>
                </c:pt>
                <c:pt idx="375">
                  <c:v>44288</c:v>
                </c:pt>
                <c:pt idx="376">
                  <c:v>44289</c:v>
                </c:pt>
                <c:pt idx="377">
                  <c:v>44290</c:v>
                </c:pt>
                <c:pt idx="378">
                  <c:v>44291</c:v>
                </c:pt>
                <c:pt idx="379">
                  <c:v>44292</c:v>
                </c:pt>
                <c:pt idx="380">
                  <c:v>44293</c:v>
                </c:pt>
                <c:pt idx="381">
                  <c:v>44294</c:v>
                </c:pt>
                <c:pt idx="382">
                  <c:v>44295</c:v>
                </c:pt>
                <c:pt idx="383">
                  <c:v>44296</c:v>
                </c:pt>
                <c:pt idx="384">
                  <c:v>44297</c:v>
                </c:pt>
                <c:pt idx="385">
                  <c:v>44298</c:v>
                </c:pt>
                <c:pt idx="386">
                  <c:v>44299</c:v>
                </c:pt>
                <c:pt idx="387">
                  <c:v>44300</c:v>
                </c:pt>
                <c:pt idx="388">
                  <c:v>44301</c:v>
                </c:pt>
                <c:pt idx="389">
                  <c:v>44302</c:v>
                </c:pt>
                <c:pt idx="390">
                  <c:v>44303</c:v>
                </c:pt>
                <c:pt idx="391">
                  <c:v>44304</c:v>
                </c:pt>
                <c:pt idx="392">
                  <c:v>44305</c:v>
                </c:pt>
                <c:pt idx="393">
                  <c:v>44306</c:v>
                </c:pt>
              </c:numCache>
            </c:numRef>
          </c:cat>
          <c:val>
            <c:numRef>
              <c:f>'Infection Projection'!$M$3:$M$396</c:f>
              <c:numCache>
                <c:formatCode>0%</c:formatCode>
                <c:ptCount val="394"/>
                <c:pt idx="0">
                  <c:v>0.16</c:v>
                </c:pt>
                <c:pt idx="1">
                  <c:v>0.16</c:v>
                </c:pt>
                <c:pt idx="2">
                  <c:v>0.16</c:v>
                </c:pt>
                <c:pt idx="3">
                  <c:v>0.16</c:v>
                </c:pt>
                <c:pt idx="4">
                  <c:v>0.16</c:v>
                </c:pt>
                <c:pt idx="5">
                  <c:v>0.16</c:v>
                </c:pt>
                <c:pt idx="6">
                  <c:v>0.16</c:v>
                </c:pt>
                <c:pt idx="7">
                  <c:v>0.16</c:v>
                </c:pt>
                <c:pt idx="8">
                  <c:v>0.16</c:v>
                </c:pt>
                <c:pt idx="9">
                  <c:v>0.16</c:v>
                </c:pt>
                <c:pt idx="10">
                  <c:v>0.16</c:v>
                </c:pt>
                <c:pt idx="11">
                  <c:v>0.16</c:v>
                </c:pt>
                <c:pt idx="12">
                  <c:v>0.16</c:v>
                </c:pt>
                <c:pt idx="13">
                  <c:v>0.16</c:v>
                </c:pt>
                <c:pt idx="14">
                  <c:v>0.16</c:v>
                </c:pt>
                <c:pt idx="15">
                  <c:v>0.16</c:v>
                </c:pt>
                <c:pt idx="16">
                  <c:v>0.16</c:v>
                </c:pt>
                <c:pt idx="17">
                  <c:v>0.16</c:v>
                </c:pt>
                <c:pt idx="18">
                  <c:v>0.16</c:v>
                </c:pt>
                <c:pt idx="19">
                  <c:v>0.16</c:v>
                </c:pt>
                <c:pt idx="20">
                  <c:v>0.16</c:v>
                </c:pt>
                <c:pt idx="21">
                  <c:v>0.16</c:v>
                </c:pt>
                <c:pt idx="22">
                  <c:v>0.16</c:v>
                </c:pt>
                <c:pt idx="23">
                  <c:v>0.16</c:v>
                </c:pt>
                <c:pt idx="24">
                  <c:v>0.16</c:v>
                </c:pt>
                <c:pt idx="25">
                  <c:v>0.16</c:v>
                </c:pt>
                <c:pt idx="26">
                  <c:v>0.16</c:v>
                </c:pt>
                <c:pt idx="27">
                  <c:v>0.16</c:v>
                </c:pt>
                <c:pt idx="28">
                  <c:v>0.16</c:v>
                </c:pt>
                <c:pt idx="29">
                  <c:v>0.16</c:v>
                </c:pt>
                <c:pt idx="30">
                  <c:v>0.16</c:v>
                </c:pt>
                <c:pt idx="31">
                  <c:v>0.16</c:v>
                </c:pt>
                <c:pt idx="32">
                  <c:v>0.16</c:v>
                </c:pt>
                <c:pt idx="33">
                  <c:v>0.16</c:v>
                </c:pt>
                <c:pt idx="34">
                  <c:v>0.16</c:v>
                </c:pt>
                <c:pt idx="35">
                  <c:v>0.16</c:v>
                </c:pt>
                <c:pt idx="36">
                  <c:v>0.16</c:v>
                </c:pt>
                <c:pt idx="37">
                  <c:v>0.16</c:v>
                </c:pt>
                <c:pt idx="38">
                  <c:v>0.16</c:v>
                </c:pt>
                <c:pt idx="39">
                  <c:v>0.16</c:v>
                </c:pt>
                <c:pt idx="40">
                  <c:v>0.16</c:v>
                </c:pt>
                <c:pt idx="41">
                  <c:v>0.16</c:v>
                </c:pt>
                <c:pt idx="42">
                  <c:v>0.16</c:v>
                </c:pt>
                <c:pt idx="43">
                  <c:v>0.16</c:v>
                </c:pt>
                <c:pt idx="44">
                  <c:v>0.16</c:v>
                </c:pt>
                <c:pt idx="45">
                  <c:v>0.16</c:v>
                </c:pt>
                <c:pt idx="46">
                  <c:v>0.16</c:v>
                </c:pt>
                <c:pt idx="47">
                  <c:v>0.16</c:v>
                </c:pt>
                <c:pt idx="48">
                  <c:v>0.16</c:v>
                </c:pt>
                <c:pt idx="49">
                  <c:v>0.16</c:v>
                </c:pt>
                <c:pt idx="50">
                  <c:v>0.16</c:v>
                </c:pt>
                <c:pt idx="51">
                  <c:v>0.16</c:v>
                </c:pt>
                <c:pt idx="52">
                  <c:v>0.16</c:v>
                </c:pt>
                <c:pt idx="53">
                  <c:v>0.16</c:v>
                </c:pt>
                <c:pt idx="54">
                  <c:v>0.16</c:v>
                </c:pt>
                <c:pt idx="55">
                  <c:v>0.16</c:v>
                </c:pt>
                <c:pt idx="56">
                  <c:v>0.16</c:v>
                </c:pt>
                <c:pt idx="57">
                  <c:v>0.16</c:v>
                </c:pt>
                <c:pt idx="58">
                  <c:v>0.16</c:v>
                </c:pt>
                <c:pt idx="59">
                  <c:v>0.16</c:v>
                </c:pt>
                <c:pt idx="60">
                  <c:v>0.16</c:v>
                </c:pt>
                <c:pt idx="61">
                  <c:v>0.16</c:v>
                </c:pt>
                <c:pt idx="62">
                  <c:v>0.16</c:v>
                </c:pt>
                <c:pt idx="63">
                  <c:v>0.16</c:v>
                </c:pt>
                <c:pt idx="64">
                  <c:v>0.16</c:v>
                </c:pt>
                <c:pt idx="65">
                  <c:v>0.16</c:v>
                </c:pt>
                <c:pt idx="66">
                  <c:v>0.16</c:v>
                </c:pt>
                <c:pt idx="67">
                  <c:v>0.16</c:v>
                </c:pt>
                <c:pt idx="68">
                  <c:v>0.16</c:v>
                </c:pt>
                <c:pt idx="69">
                  <c:v>0.16</c:v>
                </c:pt>
                <c:pt idx="70">
                  <c:v>0.16</c:v>
                </c:pt>
                <c:pt idx="71">
                  <c:v>0.16</c:v>
                </c:pt>
                <c:pt idx="72">
                  <c:v>0.16</c:v>
                </c:pt>
                <c:pt idx="73">
                  <c:v>0.16</c:v>
                </c:pt>
                <c:pt idx="74">
                  <c:v>0.16</c:v>
                </c:pt>
                <c:pt idx="75">
                  <c:v>0.16</c:v>
                </c:pt>
                <c:pt idx="76">
                  <c:v>0.16</c:v>
                </c:pt>
                <c:pt idx="77">
                  <c:v>0.16</c:v>
                </c:pt>
                <c:pt idx="78">
                  <c:v>0.16</c:v>
                </c:pt>
                <c:pt idx="79">
                  <c:v>0.16</c:v>
                </c:pt>
                <c:pt idx="80">
                  <c:v>0.16</c:v>
                </c:pt>
                <c:pt idx="81">
                  <c:v>0.16</c:v>
                </c:pt>
                <c:pt idx="82">
                  <c:v>0.16</c:v>
                </c:pt>
                <c:pt idx="83">
                  <c:v>0.16</c:v>
                </c:pt>
                <c:pt idx="84">
                  <c:v>0.16</c:v>
                </c:pt>
                <c:pt idx="85">
                  <c:v>0.16</c:v>
                </c:pt>
                <c:pt idx="86">
                  <c:v>0.16</c:v>
                </c:pt>
                <c:pt idx="87">
                  <c:v>0.16</c:v>
                </c:pt>
                <c:pt idx="88">
                  <c:v>0.16</c:v>
                </c:pt>
                <c:pt idx="89">
                  <c:v>0.16</c:v>
                </c:pt>
                <c:pt idx="90">
                  <c:v>0.16</c:v>
                </c:pt>
                <c:pt idx="91">
                  <c:v>0.16</c:v>
                </c:pt>
                <c:pt idx="92">
                  <c:v>0.16</c:v>
                </c:pt>
                <c:pt idx="93">
                  <c:v>0.16</c:v>
                </c:pt>
                <c:pt idx="94">
                  <c:v>0.16</c:v>
                </c:pt>
                <c:pt idx="95">
                  <c:v>0.16</c:v>
                </c:pt>
                <c:pt idx="96">
                  <c:v>0.16</c:v>
                </c:pt>
                <c:pt idx="97">
                  <c:v>0.16</c:v>
                </c:pt>
                <c:pt idx="98">
                  <c:v>0.16</c:v>
                </c:pt>
                <c:pt idx="99">
                  <c:v>0.16</c:v>
                </c:pt>
                <c:pt idx="100">
                  <c:v>0.16</c:v>
                </c:pt>
                <c:pt idx="101">
                  <c:v>0.16</c:v>
                </c:pt>
                <c:pt idx="102">
                  <c:v>0.16</c:v>
                </c:pt>
                <c:pt idx="103">
                  <c:v>0.16</c:v>
                </c:pt>
                <c:pt idx="104">
                  <c:v>0.16</c:v>
                </c:pt>
                <c:pt idx="105">
                  <c:v>0.16</c:v>
                </c:pt>
                <c:pt idx="106">
                  <c:v>0.16</c:v>
                </c:pt>
                <c:pt idx="107">
                  <c:v>0.16</c:v>
                </c:pt>
                <c:pt idx="108">
                  <c:v>0.16</c:v>
                </c:pt>
                <c:pt idx="109">
                  <c:v>0.16</c:v>
                </c:pt>
                <c:pt idx="110">
                  <c:v>0.16</c:v>
                </c:pt>
                <c:pt idx="111">
                  <c:v>0.16</c:v>
                </c:pt>
                <c:pt idx="112">
                  <c:v>0.16</c:v>
                </c:pt>
                <c:pt idx="113">
                  <c:v>0.16</c:v>
                </c:pt>
                <c:pt idx="114">
                  <c:v>0.16</c:v>
                </c:pt>
                <c:pt idx="115">
                  <c:v>0.16</c:v>
                </c:pt>
                <c:pt idx="116">
                  <c:v>0.16</c:v>
                </c:pt>
                <c:pt idx="117">
                  <c:v>0.16</c:v>
                </c:pt>
                <c:pt idx="118">
                  <c:v>0.16</c:v>
                </c:pt>
                <c:pt idx="119">
                  <c:v>0.16</c:v>
                </c:pt>
                <c:pt idx="120">
                  <c:v>0.16</c:v>
                </c:pt>
                <c:pt idx="121">
                  <c:v>0.16</c:v>
                </c:pt>
                <c:pt idx="122">
                  <c:v>0.16</c:v>
                </c:pt>
                <c:pt idx="123">
                  <c:v>0.16</c:v>
                </c:pt>
                <c:pt idx="124">
                  <c:v>0.16</c:v>
                </c:pt>
                <c:pt idx="125">
                  <c:v>0.16</c:v>
                </c:pt>
                <c:pt idx="126">
                  <c:v>0.16</c:v>
                </c:pt>
                <c:pt idx="127">
                  <c:v>0.16</c:v>
                </c:pt>
                <c:pt idx="128">
                  <c:v>0.16</c:v>
                </c:pt>
                <c:pt idx="129">
                  <c:v>0.16</c:v>
                </c:pt>
                <c:pt idx="130">
                  <c:v>0.16</c:v>
                </c:pt>
                <c:pt idx="131">
                  <c:v>0.16</c:v>
                </c:pt>
                <c:pt idx="132">
                  <c:v>0.16</c:v>
                </c:pt>
                <c:pt idx="133">
                  <c:v>0.16</c:v>
                </c:pt>
                <c:pt idx="134">
                  <c:v>0.16</c:v>
                </c:pt>
                <c:pt idx="135">
                  <c:v>0.16</c:v>
                </c:pt>
                <c:pt idx="136">
                  <c:v>0.16</c:v>
                </c:pt>
                <c:pt idx="137">
                  <c:v>0.16</c:v>
                </c:pt>
                <c:pt idx="138">
                  <c:v>0.16</c:v>
                </c:pt>
                <c:pt idx="139">
                  <c:v>0.16</c:v>
                </c:pt>
                <c:pt idx="140">
                  <c:v>0.16</c:v>
                </c:pt>
                <c:pt idx="141">
                  <c:v>0.16</c:v>
                </c:pt>
                <c:pt idx="142">
                  <c:v>0.16</c:v>
                </c:pt>
                <c:pt idx="143">
                  <c:v>0.16</c:v>
                </c:pt>
                <c:pt idx="144">
                  <c:v>0.16</c:v>
                </c:pt>
                <c:pt idx="145">
                  <c:v>0.16</c:v>
                </c:pt>
                <c:pt idx="146">
                  <c:v>0.16</c:v>
                </c:pt>
                <c:pt idx="147">
                  <c:v>0.16</c:v>
                </c:pt>
                <c:pt idx="148">
                  <c:v>0.16</c:v>
                </c:pt>
                <c:pt idx="149">
                  <c:v>0.16</c:v>
                </c:pt>
                <c:pt idx="150">
                  <c:v>0.16</c:v>
                </c:pt>
                <c:pt idx="151">
                  <c:v>0.16</c:v>
                </c:pt>
                <c:pt idx="152">
                  <c:v>0.16</c:v>
                </c:pt>
                <c:pt idx="153">
                  <c:v>0.16</c:v>
                </c:pt>
                <c:pt idx="154">
                  <c:v>0.16</c:v>
                </c:pt>
                <c:pt idx="155">
                  <c:v>0.16</c:v>
                </c:pt>
                <c:pt idx="156">
                  <c:v>0.16</c:v>
                </c:pt>
                <c:pt idx="157">
                  <c:v>0.16</c:v>
                </c:pt>
                <c:pt idx="158">
                  <c:v>0.16</c:v>
                </c:pt>
                <c:pt idx="159">
                  <c:v>0.16</c:v>
                </c:pt>
                <c:pt idx="160">
                  <c:v>0.16</c:v>
                </c:pt>
                <c:pt idx="161">
                  <c:v>0.16</c:v>
                </c:pt>
                <c:pt idx="162">
                  <c:v>0.16</c:v>
                </c:pt>
                <c:pt idx="163">
                  <c:v>0.16</c:v>
                </c:pt>
                <c:pt idx="164">
                  <c:v>0.16</c:v>
                </c:pt>
                <c:pt idx="165">
                  <c:v>0.16</c:v>
                </c:pt>
                <c:pt idx="166">
                  <c:v>0.16</c:v>
                </c:pt>
                <c:pt idx="167">
                  <c:v>0.16</c:v>
                </c:pt>
                <c:pt idx="168">
                  <c:v>0.16</c:v>
                </c:pt>
                <c:pt idx="169">
                  <c:v>0.16</c:v>
                </c:pt>
                <c:pt idx="170">
                  <c:v>0.16</c:v>
                </c:pt>
                <c:pt idx="171">
                  <c:v>0.16</c:v>
                </c:pt>
                <c:pt idx="172">
                  <c:v>0.16</c:v>
                </c:pt>
                <c:pt idx="173">
                  <c:v>0.16</c:v>
                </c:pt>
                <c:pt idx="174">
                  <c:v>0.16</c:v>
                </c:pt>
                <c:pt idx="175">
                  <c:v>0.16</c:v>
                </c:pt>
                <c:pt idx="176">
                  <c:v>0.16</c:v>
                </c:pt>
                <c:pt idx="177">
                  <c:v>0.16</c:v>
                </c:pt>
                <c:pt idx="178">
                  <c:v>0.16</c:v>
                </c:pt>
                <c:pt idx="179">
                  <c:v>0.16</c:v>
                </c:pt>
                <c:pt idx="180">
                  <c:v>0.16</c:v>
                </c:pt>
                <c:pt idx="181">
                  <c:v>0.16</c:v>
                </c:pt>
                <c:pt idx="182">
                  <c:v>0.16</c:v>
                </c:pt>
                <c:pt idx="183">
                  <c:v>0.16</c:v>
                </c:pt>
                <c:pt idx="184">
                  <c:v>0.16</c:v>
                </c:pt>
                <c:pt idx="185">
                  <c:v>0.16</c:v>
                </c:pt>
                <c:pt idx="186">
                  <c:v>0.16</c:v>
                </c:pt>
                <c:pt idx="187">
                  <c:v>0.16</c:v>
                </c:pt>
                <c:pt idx="188">
                  <c:v>0.16</c:v>
                </c:pt>
                <c:pt idx="189">
                  <c:v>0.16</c:v>
                </c:pt>
                <c:pt idx="190">
                  <c:v>0.16</c:v>
                </c:pt>
                <c:pt idx="191">
                  <c:v>0.16</c:v>
                </c:pt>
                <c:pt idx="192">
                  <c:v>0.16</c:v>
                </c:pt>
                <c:pt idx="193">
                  <c:v>0.16</c:v>
                </c:pt>
                <c:pt idx="194">
                  <c:v>0.16</c:v>
                </c:pt>
                <c:pt idx="195">
                  <c:v>0.16</c:v>
                </c:pt>
                <c:pt idx="196">
                  <c:v>0.16</c:v>
                </c:pt>
                <c:pt idx="197">
                  <c:v>0.16</c:v>
                </c:pt>
                <c:pt idx="198">
                  <c:v>0.16</c:v>
                </c:pt>
                <c:pt idx="199">
                  <c:v>0.16</c:v>
                </c:pt>
                <c:pt idx="200">
                  <c:v>0.16</c:v>
                </c:pt>
                <c:pt idx="201">
                  <c:v>0.16</c:v>
                </c:pt>
                <c:pt idx="202">
                  <c:v>0.16</c:v>
                </c:pt>
                <c:pt idx="203">
                  <c:v>0.16</c:v>
                </c:pt>
                <c:pt idx="204">
                  <c:v>0.16</c:v>
                </c:pt>
                <c:pt idx="205">
                  <c:v>0.16</c:v>
                </c:pt>
                <c:pt idx="206">
                  <c:v>0.16</c:v>
                </c:pt>
                <c:pt idx="207">
                  <c:v>0.16</c:v>
                </c:pt>
                <c:pt idx="208">
                  <c:v>0.16</c:v>
                </c:pt>
                <c:pt idx="209">
                  <c:v>0.16</c:v>
                </c:pt>
                <c:pt idx="210">
                  <c:v>0.16</c:v>
                </c:pt>
                <c:pt idx="211">
                  <c:v>0.16</c:v>
                </c:pt>
                <c:pt idx="212">
                  <c:v>0.16</c:v>
                </c:pt>
                <c:pt idx="213">
                  <c:v>0.16</c:v>
                </c:pt>
                <c:pt idx="214">
                  <c:v>0.16</c:v>
                </c:pt>
                <c:pt idx="215">
                  <c:v>0.16</c:v>
                </c:pt>
                <c:pt idx="216">
                  <c:v>0.16</c:v>
                </c:pt>
                <c:pt idx="217">
                  <c:v>0.16</c:v>
                </c:pt>
                <c:pt idx="218">
                  <c:v>0.16</c:v>
                </c:pt>
                <c:pt idx="219">
                  <c:v>0.16</c:v>
                </c:pt>
                <c:pt idx="220">
                  <c:v>0.16</c:v>
                </c:pt>
                <c:pt idx="221">
                  <c:v>0.16</c:v>
                </c:pt>
                <c:pt idx="222">
                  <c:v>0.16</c:v>
                </c:pt>
                <c:pt idx="223">
                  <c:v>0.16</c:v>
                </c:pt>
                <c:pt idx="224">
                  <c:v>0.16</c:v>
                </c:pt>
                <c:pt idx="225">
                  <c:v>0.16</c:v>
                </c:pt>
                <c:pt idx="226">
                  <c:v>0.16</c:v>
                </c:pt>
                <c:pt idx="227">
                  <c:v>0.16</c:v>
                </c:pt>
                <c:pt idx="228">
                  <c:v>0.16</c:v>
                </c:pt>
                <c:pt idx="229">
                  <c:v>0.16</c:v>
                </c:pt>
                <c:pt idx="230">
                  <c:v>0.16</c:v>
                </c:pt>
                <c:pt idx="231">
                  <c:v>0.16</c:v>
                </c:pt>
                <c:pt idx="232">
                  <c:v>0.16</c:v>
                </c:pt>
                <c:pt idx="233">
                  <c:v>0.16</c:v>
                </c:pt>
                <c:pt idx="234">
                  <c:v>0.16</c:v>
                </c:pt>
                <c:pt idx="235">
                  <c:v>0.16</c:v>
                </c:pt>
                <c:pt idx="236">
                  <c:v>0.16</c:v>
                </c:pt>
                <c:pt idx="237">
                  <c:v>0.16</c:v>
                </c:pt>
                <c:pt idx="238">
                  <c:v>0.16</c:v>
                </c:pt>
                <c:pt idx="239">
                  <c:v>0.16</c:v>
                </c:pt>
                <c:pt idx="240">
                  <c:v>0.16</c:v>
                </c:pt>
                <c:pt idx="241">
                  <c:v>0.16</c:v>
                </c:pt>
                <c:pt idx="242">
                  <c:v>0.16</c:v>
                </c:pt>
                <c:pt idx="243">
                  <c:v>0.16</c:v>
                </c:pt>
                <c:pt idx="244">
                  <c:v>0.16</c:v>
                </c:pt>
                <c:pt idx="245">
                  <c:v>0.16</c:v>
                </c:pt>
                <c:pt idx="246">
                  <c:v>0.16</c:v>
                </c:pt>
                <c:pt idx="247">
                  <c:v>0.16</c:v>
                </c:pt>
                <c:pt idx="248">
                  <c:v>0.16</c:v>
                </c:pt>
                <c:pt idx="249">
                  <c:v>0.16</c:v>
                </c:pt>
                <c:pt idx="250">
                  <c:v>0.16</c:v>
                </c:pt>
                <c:pt idx="251">
                  <c:v>0.16</c:v>
                </c:pt>
                <c:pt idx="252">
                  <c:v>0.16</c:v>
                </c:pt>
                <c:pt idx="253">
                  <c:v>0.16</c:v>
                </c:pt>
                <c:pt idx="254">
                  <c:v>0.16</c:v>
                </c:pt>
                <c:pt idx="255">
                  <c:v>0.16</c:v>
                </c:pt>
                <c:pt idx="256">
                  <c:v>0.16</c:v>
                </c:pt>
                <c:pt idx="257">
                  <c:v>0.16</c:v>
                </c:pt>
                <c:pt idx="258">
                  <c:v>0.16</c:v>
                </c:pt>
                <c:pt idx="259">
                  <c:v>0.16</c:v>
                </c:pt>
                <c:pt idx="260">
                  <c:v>0.16</c:v>
                </c:pt>
                <c:pt idx="261">
                  <c:v>0.16</c:v>
                </c:pt>
                <c:pt idx="262">
                  <c:v>0.16</c:v>
                </c:pt>
                <c:pt idx="263">
                  <c:v>0.16</c:v>
                </c:pt>
                <c:pt idx="264">
                  <c:v>0.16</c:v>
                </c:pt>
                <c:pt idx="265">
                  <c:v>0.16</c:v>
                </c:pt>
                <c:pt idx="266">
                  <c:v>0.16</c:v>
                </c:pt>
                <c:pt idx="267">
                  <c:v>0.16</c:v>
                </c:pt>
                <c:pt idx="268">
                  <c:v>0.16</c:v>
                </c:pt>
                <c:pt idx="269">
                  <c:v>0.16</c:v>
                </c:pt>
                <c:pt idx="270">
                  <c:v>0.16</c:v>
                </c:pt>
                <c:pt idx="271">
                  <c:v>0.16</c:v>
                </c:pt>
                <c:pt idx="272">
                  <c:v>0.16</c:v>
                </c:pt>
                <c:pt idx="273">
                  <c:v>0.16</c:v>
                </c:pt>
                <c:pt idx="274">
                  <c:v>0.16</c:v>
                </c:pt>
                <c:pt idx="275">
                  <c:v>0.16</c:v>
                </c:pt>
                <c:pt idx="276">
                  <c:v>0.16</c:v>
                </c:pt>
                <c:pt idx="277">
                  <c:v>0.16</c:v>
                </c:pt>
                <c:pt idx="278">
                  <c:v>0.16</c:v>
                </c:pt>
                <c:pt idx="279">
                  <c:v>0.16</c:v>
                </c:pt>
                <c:pt idx="280">
                  <c:v>0.16</c:v>
                </c:pt>
                <c:pt idx="281">
                  <c:v>0.16</c:v>
                </c:pt>
                <c:pt idx="282">
                  <c:v>0.16</c:v>
                </c:pt>
                <c:pt idx="283">
                  <c:v>0.16</c:v>
                </c:pt>
                <c:pt idx="284">
                  <c:v>0.16</c:v>
                </c:pt>
                <c:pt idx="285">
                  <c:v>0.16</c:v>
                </c:pt>
                <c:pt idx="286">
                  <c:v>0.16</c:v>
                </c:pt>
                <c:pt idx="287">
                  <c:v>0.16</c:v>
                </c:pt>
                <c:pt idx="288">
                  <c:v>0.16</c:v>
                </c:pt>
                <c:pt idx="289">
                  <c:v>0.16</c:v>
                </c:pt>
                <c:pt idx="290">
                  <c:v>0.16</c:v>
                </c:pt>
                <c:pt idx="291">
                  <c:v>0.16</c:v>
                </c:pt>
                <c:pt idx="292">
                  <c:v>0.16</c:v>
                </c:pt>
                <c:pt idx="293">
                  <c:v>0.16</c:v>
                </c:pt>
                <c:pt idx="294">
                  <c:v>0.16</c:v>
                </c:pt>
                <c:pt idx="295">
                  <c:v>0.16</c:v>
                </c:pt>
                <c:pt idx="296">
                  <c:v>0.16</c:v>
                </c:pt>
                <c:pt idx="297">
                  <c:v>0.16</c:v>
                </c:pt>
                <c:pt idx="298">
                  <c:v>0.16</c:v>
                </c:pt>
                <c:pt idx="299">
                  <c:v>0.16</c:v>
                </c:pt>
                <c:pt idx="300">
                  <c:v>0.16</c:v>
                </c:pt>
                <c:pt idx="301">
                  <c:v>0.16</c:v>
                </c:pt>
                <c:pt idx="302">
                  <c:v>0.16</c:v>
                </c:pt>
                <c:pt idx="303">
                  <c:v>0.16</c:v>
                </c:pt>
                <c:pt idx="304">
                  <c:v>0.16</c:v>
                </c:pt>
                <c:pt idx="305">
                  <c:v>0.16</c:v>
                </c:pt>
                <c:pt idx="306">
                  <c:v>0.16</c:v>
                </c:pt>
                <c:pt idx="307">
                  <c:v>0.16</c:v>
                </c:pt>
                <c:pt idx="308">
                  <c:v>0.16</c:v>
                </c:pt>
                <c:pt idx="309">
                  <c:v>0.16</c:v>
                </c:pt>
                <c:pt idx="310">
                  <c:v>0.16</c:v>
                </c:pt>
                <c:pt idx="311">
                  <c:v>0.16</c:v>
                </c:pt>
                <c:pt idx="312">
                  <c:v>0.16</c:v>
                </c:pt>
                <c:pt idx="313">
                  <c:v>0.16</c:v>
                </c:pt>
                <c:pt idx="314">
                  <c:v>0.16</c:v>
                </c:pt>
                <c:pt idx="315">
                  <c:v>0.16</c:v>
                </c:pt>
                <c:pt idx="316">
                  <c:v>0.16</c:v>
                </c:pt>
                <c:pt idx="317">
                  <c:v>0.16</c:v>
                </c:pt>
                <c:pt idx="318">
                  <c:v>0.16</c:v>
                </c:pt>
                <c:pt idx="319">
                  <c:v>0.16</c:v>
                </c:pt>
                <c:pt idx="320">
                  <c:v>0.16</c:v>
                </c:pt>
                <c:pt idx="321">
                  <c:v>0.16</c:v>
                </c:pt>
                <c:pt idx="322">
                  <c:v>0.16</c:v>
                </c:pt>
                <c:pt idx="323">
                  <c:v>0.16</c:v>
                </c:pt>
                <c:pt idx="324">
                  <c:v>0.16</c:v>
                </c:pt>
                <c:pt idx="325">
                  <c:v>0.16</c:v>
                </c:pt>
                <c:pt idx="326">
                  <c:v>0.16</c:v>
                </c:pt>
                <c:pt idx="327">
                  <c:v>0.16</c:v>
                </c:pt>
                <c:pt idx="328">
                  <c:v>0.16</c:v>
                </c:pt>
                <c:pt idx="329">
                  <c:v>0.16</c:v>
                </c:pt>
                <c:pt idx="330">
                  <c:v>0.16</c:v>
                </c:pt>
                <c:pt idx="331">
                  <c:v>0.16</c:v>
                </c:pt>
                <c:pt idx="332">
                  <c:v>0.16</c:v>
                </c:pt>
                <c:pt idx="333">
                  <c:v>0.16</c:v>
                </c:pt>
                <c:pt idx="334">
                  <c:v>0.16</c:v>
                </c:pt>
                <c:pt idx="335">
                  <c:v>0.16</c:v>
                </c:pt>
                <c:pt idx="336">
                  <c:v>0.16</c:v>
                </c:pt>
                <c:pt idx="337">
                  <c:v>0.16</c:v>
                </c:pt>
                <c:pt idx="338">
                  <c:v>0.16</c:v>
                </c:pt>
                <c:pt idx="339">
                  <c:v>0.16</c:v>
                </c:pt>
                <c:pt idx="340">
                  <c:v>0.16</c:v>
                </c:pt>
                <c:pt idx="341">
                  <c:v>0.16</c:v>
                </c:pt>
                <c:pt idx="342">
                  <c:v>0.16</c:v>
                </c:pt>
                <c:pt idx="343">
                  <c:v>0.16</c:v>
                </c:pt>
                <c:pt idx="344">
                  <c:v>0.16</c:v>
                </c:pt>
                <c:pt idx="345">
                  <c:v>0.16</c:v>
                </c:pt>
                <c:pt idx="346">
                  <c:v>0.16</c:v>
                </c:pt>
                <c:pt idx="347">
                  <c:v>0.16</c:v>
                </c:pt>
                <c:pt idx="348">
                  <c:v>0.16</c:v>
                </c:pt>
                <c:pt idx="349">
                  <c:v>0.16</c:v>
                </c:pt>
                <c:pt idx="350">
                  <c:v>0.16</c:v>
                </c:pt>
                <c:pt idx="351">
                  <c:v>0.16</c:v>
                </c:pt>
                <c:pt idx="352">
                  <c:v>0.16</c:v>
                </c:pt>
                <c:pt idx="353">
                  <c:v>0.16</c:v>
                </c:pt>
                <c:pt idx="354">
                  <c:v>0.16</c:v>
                </c:pt>
                <c:pt idx="355">
                  <c:v>0.16</c:v>
                </c:pt>
                <c:pt idx="356">
                  <c:v>0.16</c:v>
                </c:pt>
                <c:pt idx="357">
                  <c:v>0.16</c:v>
                </c:pt>
                <c:pt idx="358">
                  <c:v>0.16</c:v>
                </c:pt>
                <c:pt idx="359">
                  <c:v>0.16</c:v>
                </c:pt>
                <c:pt idx="360">
                  <c:v>0.16</c:v>
                </c:pt>
                <c:pt idx="361">
                  <c:v>0.16</c:v>
                </c:pt>
                <c:pt idx="362">
                  <c:v>0.16</c:v>
                </c:pt>
                <c:pt idx="363">
                  <c:v>0.16</c:v>
                </c:pt>
                <c:pt idx="364">
                  <c:v>0.16</c:v>
                </c:pt>
                <c:pt idx="365">
                  <c:v>0.16</c:v>
                </c:pt>
                <c:pt idx="366">
                  <c:v>0.16</c:v>
                </c:pt>
                <c:pt idx="367">
                  <c:v>0.16</c:v>
                </c:pt>
                <c:pt idx="368">
                  <c:v>0.16</c:v>
                </c:pt>
                <c:pt idx="369">
                  <c:v>0.16</c:v>
                </c:pt>
                <c:pt idx="370">
                  <c:v>0.16</c:v>
                </c:pt>
                <c:pt idx="371">
                  <c:v>0.16</c:v>
                </c:pt>
                <c:pt idx="372">
                  <c:v>0.16</c:v>
                </c:pt>
                <c:pt idx="373">
                  <c:v>0.16</c:v>
                </c:pt>
                <c:pt idx="374">
                  <c:v>0.16</c:v>
                </c:pt>
                <c:pt idx="375">
                  <c:v>0.16</c:v>
                </c:pt>
                <c:pt idx="376">
                  <c:v>0.16</c:v>
                </c:pt>
                <c:pt idx="377">
                  <c:v>0.16</c:v>
                </c:pt>
                <c:pt idx="378">
                  <c:v>0.16</c:v>
                </c:pt>
                <c:pt idx="379">
                  <c:v>0.16</c:v>
                </c:pt>
                <c:pt idx="380">
                  <c:v>0.16</c:v>
                </c:pt>
                <c:pt idx="381">
                  <c:v>0.16</c:v>
                </c:pt>
                <c:pt idx="382">
                  <c:v>0.16</c:v>
                </c:pt>
                <c:pt idx="383">
                  <c:v>0.16</c:v>
                </c:pt>
                <c:pt idx="384">
                  <c:v>0.16</c:v>
                </c:pt>
                <c:pt idx="385">
                  <c:v>0.16</c:v>
                </c:pt>
                <c:pt idx="386">
                  <c:v>0.16</c:v>
                </c:pt>
                <c:pt idx="387">
                  <c:v>0.16</c:v>
                </c:pt>
                <c:pt idx="388">
                  <c:v>0.16</c:v>
                </c:pt>
                <c:pt idx="389">
                  <c:v>0.16</c:v>
                </c:pt>
                <c:pt idx="390">
                  <c:v>0.16</c:v>
                </c:pt>
                <c:pt idx="391">
                  <c:v>0.16</c:v>
                </c:pt>
                <c:pt idx="392">
                  <c:v>0.16</c:v>
                </c:pt>
                <c:pt idx="393">
                  <c:v>0.16</c:v>
                </c:pt>
              </c:numCache>
            </c:numRef>
          </c:val>
          <c:extLst>
            <c:ext xmlns:c16="http://schemas.microsoft.com/office/drawing/2014/chart" uri="{C3380CC4-5D6E-409C-BE32-E72D297353CC}">
              <c16:uniqueId val="{00000008-E4ED-2D40-BB0C-D5284EA7E854}"/>
            </c:ext>
          </c:extLst>
        </c:ser>
        <c:dLbls>
          <c:showLegendKey val="0"/>
          <c:showVal val="0"/>
          <c:showCatName val="0"/>
          <c:showSerName val="0"/>
          <c:showPercent val="0"/>
          <c:showBubbleSize val="0"/>
        </c:dLbls>
        <c:axId val="1207535568"/>
        <c:axId val="1207600816"/>
      </c:areaChart>
      <c:lineChart>
        <c:grouping val="standard"/>
        <c:varyColors val="0"/>
        <c:ser>
          <c:idx val="4"/>
          <c:order val="0"/>
          <c:tx>
            <c:strRef>
              <c:f>compute!$K$4</c:f>
              <c:strCache>
                <c:ptCount val="1"/>
                <c:pt idx="0">
                  <c:v>estimated infections as percentage</c:v>
                </c:pt>
              </c:strCache>
            </c:strRef>
          </c:tx>
          <c:spPr>
            <a:ln w="25400" cap="rnd">
              <a:noFill/>
              <a:round/>
            </a:ln>
            <a:effectLst/>
          </c:spPr>
          <c:marker>
            <c:symbol val="circle"/>
            <c:size val="5"/>
            <c:spPr>
              <a:solidFill>
                <a:schemeClr val="accent5"/>
              </a:solidFill>
              <a:ln w="38100">
                <a:solidFill>
                  <a:schemeClr val="accent1"/>
                </a:solidFill>
              </a:ln>
              <a:effectLst/>
            </c:spPr>
          </c:marker>
          <c:trendline>
            <c:spPr>
              <a:ln w="76200" cap="rnd">
                <a:noFill/>
                <a:prstDash val="sysDot"/>
              </a:ln>
              <a:effectLst/>
            </c:spPr>
            <c:trendlineType val="linear"/>
            <c:forward val="360"/>
            <c:dispRSqr val="0"/>
            <c:dispEq val="0"/>
          </c:trendline>
          <c:trendline>
            <c:spPr>
              <a:ln w="38100" cap="rnd">
                <a:solidFill>
                  <a:schemeClr val="accent4">
                    <a:alpha val="50000"/>
                  </a:schemeClr>
                </a:solidFill>
                <a:prstDash val="sysDot"/>
              </a:ln>
              <a:effectLst/>
            </c:spPr>
            <c:trendlineType val="linear"/>
            <c:forward val="360"/>
            <c:dispRSqr val="0"/>
            <c:dispEq val="0"/>
          </c:trendline>
          <c:cat>
            <c:numRef>
              <c:f>compute!$A$5:$A$10016</c:f>
              <c:numCache>
                <c:formatCode>d\-mmm</c:formatCode>
                <c:ptCount val="10012"/>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pt idx="26">
                  <c:v>43939</c:v>
                </c:pt>
                <c:pt idx="27">
                  <c:v>43940</c:v>
                </c:pt>
                <c:pt idx="28">
                  <c:v>43941</c:v>
                </c:pt>
                <c:pt idx="29">
                  <c:v>43942</c:v>
                </c:pt>
              </c:numCache>
            </c:numRef>
          </c:cat>
          <c:val>
            <c:numRef>
              <c:f>compute!$K$5:$K$34</c:f>
              <c:numCache>
                <c:formatCode>0.0%</c:formatCode>
                <c:ptCount val="30"/>
                <c:pt idx="0">
                  <c:v>2.9983209402734468E-3</c:v>
                </c:pt>
                <c:pt idx="1">
                  <c:v>4.1794776743205621E-3</c:v>
                </c:pt>
                <c:pt idx="2">
                  <c:v>5.7240672496129442E-3</c:v>
                </c:pt>
                <c:pt idx="3">
                  <c:v>6.9052239836600599E-3</c:v>
                </c:pt>
                <c:pt idx="4">
                  <c:v>8.1772389280184918E-3</c:v>
                </c:pt>
                <c:pt idx="5">
                  <c:v>1.0721268816735356E-2</c:v>
                </c:pt>
                <c:pt idx="6">
                  <c:v>1.4537313649810651E-2</c:v>
                </c:pt>
                <c:pt idx="7">
                  <c:v>1.7899067431329366E-2</c:v>
                </c:pt>
                <c:pt idx="8">
                  <c:v>2.1624254054093343E-2</c:v>
                </c:pt>
                <c:pt idx="9">
                  <c:v>2.4168283942810207E-2</c:v>
                </c:pt>
                <c:pt idx="10">
                  <c:v>2.6712313831527071E-2</c:v>
                </c:pt>
                <c:pt idx="11">
                  <c:v>2.816604519650814E-2</c:v>
                </c:pt>
                <c:pt idx="12">
                  <c:v>3.152779897802685E-2</c:v>
                </c:pt>
                <c:pt idx="13">
                  <c:v>3.3163246763630548E-2</c:v>
                </c:pt>
                <c:pt idx="14">
                  <c:v>3.5979851283281364E-2</c:v>
                </c:pt>
                <c:pt idx="15">
                  <c:v>3.8887314013243489E-2</c:v>
                </c:pt>
                <c:pt idx="16">
                  <c:v>4.1249627481337724E-2</c:v>
                </c:pt>
                <c:pt idx="17">
                  <c:v>4.2521642425696157E-2</c:v>
                </c:pt>
                <c:pt idx="18">
                  <c:v>4.4793097683479069E-2</c:v>
                </c:pt>
                <c:pt idx="19">
                  <c:v>4.7246269361884613E-2</c:v>
                </c:pt>
                <c:pt idx="20">
                  <c:v>4.8609142516554363E-2</c:v>
                </c:pt>
                <c:pt idx="21">
                  <c:v>5.0971455984648598E-2</c:v>
                </c:pt>
                <c:pt idx="22">
                  <c:v>5.1607463456827811E-2</c:v>
                </c:pt>
                <c:pt idx="23">
                  <c:v>5.2970336611497561E-2</c:v>
                </c:pt>
                <c:pt idx="24">
                  <c:v>5.3333769452742832E-2</c:v>
                </c:pt>
                <c:pt idx="25">
                  <c:v>5.5150933658969156E-2</c:v>
                </c:pt>
                <c:pt idx="26">
                  <c:v>5.5877799341459693E-2</c:v>
                </c:pt>
                <c:pt idx="27">
                  <c:v>5.778582175799734E-2</c:v>
                </c:pt>
                <c:pt idx="28">
                  <c:v>5.8240112809553927E-2</c:v>
                </c:pt>
                <c:pt idx="29">
                  <c:v>5.9148694912667089E-2</c:v>
                </c:pt>
              </c:numCache>
            </c:numRef>
          </c:val>
          <c:smooth val="0"/>
          <c:extLst>
            <c:ext xmlns:c16="http://schemas.microsoft.com/office/drawing/2014/chart" uri="{C3380CC4-5D6E-409C-BE32-E72D297353CC}">
              <c16:uniqueId val="{00000008-E7E6-984F-B4E4-5660F27577B3}"/>
            </c:ext>
          </c:extLst>
        </c:ser>
        <c:dLbls>
          <c:showLegendKey val="0"/>
          <c:showVal val="0"/>
          <c:showCatName val="0"/>
          <c:showSerName val="0"/>
          <c:showPercent val="0"/>
          <c:showBubbleSize val="0"/>
        </c:dLbls>
        <c:marker val="1"/>
        <c:smooth val="0"/>
        <c:axId val="1207535568"/>
        <c:axId val="1207600816"/>
      </c:lineChart>
      <c:dateAx>
        <c:axId val="1207535568"/>
        <c:scaling>
          <c:orientation val="minMax"/>
          <c:max val="44306"/>
          <c:min val="43913"/>
        </c:scaling>
        <c:delete val="0"/>
        <c:axPos val="b"/>
        <c:numFmt formatCode="[$-409]mmm\-yy;@" sourceLinked="0"/>
        <c:majorTickMark val="out"/>
        <c:minorTickMark val="none"/>
        <c:tickLblPos val="low"/>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600816"/>
        <c:crosses val="autoZero"/>
        <c:auto val="1"/>
        <c:lblOffset val="100"/>
        <c:baseTimeUnit val="days"/>
        <c:majorUnit val="90"/>
        <c:majorTimeUnit val="days"/>
      </c:dateAx>
      <c:valAx>
        <c:axId val="1207600816"/>
        <c:scaling>
          <c:orientation val="minMax"/>
          <c:max val="0.66000000000000014"/>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5355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001427999466168"/>
          <c:y val="0.13728813559322034"/>
          <c:w val="0.87575150140130786"/>
          <c:h val="0.74633898305084734"/>
        </c:manualLayout>
      </c:layout>
      <c:areaChart>
        <c:grouping val="stacked"/>
        <c:varyColors val="0"/>
        <c:ser>
          <c:idx val="3"/>
          <c:order val="0"/>
          <c:tx>
            <c:strRef>
              <c:f>compute!$Q$4</c:f>
              <c:strCache>
                <c:ptCount val="1"/>
                <c:pt idx="0">
                  <c:v>1-in-X odds, estimating 7x cases infected</c:v>
                </c:pt>
              </c:strCache>
            </c:strRef>
          </c:tx>
          <c:spPr>
            <a:noFill/>
            <a:ln>
              <a:noFill/>
            </a:ln>
            <a:effectLst/>
          </c:spPr>
          <c:cat>
            <c:numRef>
              <c:f>compute!$A$5:$A$10016</c:f>
              <c:numCache>
                <c:formatCode>d\-mmm</c:formatCode>
                <c:ptCount val="10012"/>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pt idx="26">
                  <c:v>43939</c:v>
                </c:pt>
                <c:pt idx="27">
                  <c:v>43940</c:v>
                </c:pt>
                <c:pt idx="28">
                  <c:v>43941</c:v>
                </c:pt>
                <c:pt idx="29">
                  <c:v>43942</c:v>
                </c:pt>
              </c:numCache>
            </c:numRef>
          </c:cat>
          <c:val>
            <c:numRef>
              <c:f>compute!$Q$5:$Q$10016</c:f>
              <c:numCache>
                <c:formatCode>0</c:formatCode>
                <c:ptCount val="10012"/>
                <c:pt idx="0">
                  <c:v>397.04761904761904</c:v>
                </c:pt>
                <c:pt idx="1">
                  <c:v>284.83850931677017</c:v>
                </c:pt>
                <c:pt idx="2">
                  <c:v>207.97732426303855</c:v>
                </c:pt>
                <c:pt idx="3">
                  <c:v>172.40225563909775</c:v>
                </c:pt>
                <c:pt idx="4">
                  <c:v>145.58412698412698</c:v>
                </c:pt>
                <c:pt idx="5">
                  <c:v>111.03874092009686</c:v>
                </c:pt>
                <c:pt idx="6">
                  <c:v>81.891071428571422</c:v>
                </c:pt>
                <c:pt idx="7">
                  <c:v>66.510514865844812</c:v>
                </c:pt>
                <c:pt idx="8">
                  <c:v>55.052821128451377</c:v>
                </c:pt>
                <c:pt idx="9">
                  <c:v>49.257787325456498</c:v>
                </c:pt>
                <c:pt idx="10">
                  <c:v>44.566569484936835</c:v>
                </c:pt>
                <c:pt idx="11">
                  <c:v>42.266359447004611</c:v>
                </c:pt>
                <c:pt idx="12">
                  <c:v>37.759571840263483</c:v>
                </c:pt>
                <c:pt idx="13">
                  <c:v>35.897455968688845</c:v>
                </c:pt>
                <c:pt idx="14">
                  <c:v>33.087301587301589</c:v>
                </c:pt>
                <c:pt idx="15">
                  <c:v>30.613484646194927</c:v>
                </c:pt>
                <c:pt idx="16">
                  <c:v>28.860289490245439</c:v>
                </c:pt>
                <c:pt idx="17">
                  <c:v>27.996947496947495</c:v>
                </c:pt>
                <c:pt idx="18">
                  <c:v>26.577223993045493</c:v>
                </c:pt>
                <c:pt idx="19">
                  <c:v>25.197252747252747</c:v>
                </c:pt>
                <c:pt idx="20">
                  <c:v>24.490787716955943</c:v>
                </c:pt>
                <c:pt idx="21">
                  <c:v>23.355742296918766</c:v>
                </c:pt>
                <c:pt idx="22">
                  <c:v>23.067907444668009</c:v>
                </c:pt>
                <c:pt idx="23">
                  <c:v>22.474393530997304</c:v>
                </c:pt>
                <c:pt idx="24">
                  <c:v>22.321246045266488</c:v>
                </c:pt>
                <c:pt idx="25">
                  <c:v>21.585784890562486</c:v>
                </c:pt>
                <c:pt idx="26">
                  <c:v>21.304994192799072</c:v>
                </c:pt>
                <c:pt idx="27">
                  <c:v>20.601527403414195</c:v>
                </c:pt>
                <c:pt idx="28">
                  <c:v>20.440829061733897</c:v>
                </c:pt>
                <c:pt idx="29">
                  <c:v>20.126837831906958</c:v>
                </c:pt>
              </c:numCache>
            </c:numRef>
          </c:val>
          <c:extLst>
            <c:ext xmlns:c16="http://schemas.microsoft.com/office/drawing/2014/chart" uri="{C3380CC4-5D6E-409C-BE32-E72D297353CC}">
              <c16:uniqueId val="{00000006-9841-3245-911E-DFF54223F946}"/>
            </c:ext>
          </c:extLst>
        </c:ser>
        <c:ser>
          <c:idx val="1"/>
          <c:order val="1"/>
          <c:tx>
            <c:strRef>
              <c:f>compute!$R$4</c:f>
              <c:strCache>
                <c:ptCount val="1"/>
                <c:pt idx="0">
                  <c:v>1-in-X odds difference</c:v>
                </c:pt>
              </c:strCache>
            </c:strRef>
          </c:tx>
          <c:spPr>
            <a:solidFill>
              <a:schemeClr val="bg2"/>
            </a:solidFill>
            <a:ln>
              <a:noFill/>
            </a:ln>
            <a:effectLst/>
          </c:spPr>
          <c:cat>
            <c:numRef>
              <c:f>compute!$A$5:$A$10016</c:f>
              <c:numCache>
                <c:formatCode>d\-mmm</c:formatCode>
                <c:ptCount val="10012"/>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pt idx="26">
                  <c:v>43939</c:v>
                </c:pt>
                <c:pt idx="27">
                  <c:v>43940</c:v>
                </c:pt>
                <c:pt idx="28">
                  <c:v>43941</c:v>
                </c:pt>
                <c:pt idx="29">
                  <c:v>43942</c:v>
                </c:pt>
              </c:numCache>
            </c:numRef>
          </c:cat>
          <c:val>
            <c:numRef>
              <c:f>compute!$R$5:$R$10016</c:f>
              <c:numCache>
                <c:formatCode>0</c:formatCode>
                <c:ptCount val="10012"/>
                <c:pt idx="0">
                  <c:v>158.81904761904764</c:v>
                </c:pt>
                <c:pt idx="1">
                  <c:v>113.9354037267081</c:v>
                </c:pt>
                <c:pt idx="2">
                  <c:v>83.19092970521541</c:v>
                </c:pt>
                <c:pt idx="3">
                  <c:v>68.960902255639098</c:v>
                </c:pt>
                <c:pt idx="4">
                  <c:v>58.23365079365081</c:v>
                </c:pt>
                <c:pt idx="5">
                  <c:v>44.415496368038745</c:v>
                </c:pt>
                <c:pt idx="6">
                  <c:v>32.756428571428572</c:v>
                </c:pt>
                <c:pt idx="7">
                  <c:v>26.604205946337927</c:v>
                </c:pt>
                <c:pt idx="8">
                  <c:v>22.021128451380555</c:v>
                </c:pt>
                <c:pt idx="9">
                  <c:v>19.703114930182601</c:v>
                </c:pt>
                <c:pt idx="10">
                  <c:v>17.82662779397473</c:v>
                </c:pt>
                <c:pt idx="11">
                  <c:v>16.90654377880184</c:v>
                </c:pt>
                <c:pt idx="12">
                  <c:v>15.103828736105392</c:v>
                </c:pt>
                <c:pt idx="13">
                  <c:v>14.358982387475535</c:v>
                </c:pt>
                <c:pt idx="14">
                  <c:v>13.234920634920634</c:v>
                </c:pt>
                <c:pt idx="15">
                  <c:v>12.245393858477968</c:v>
                </c:pt>
                <c:pt idx="16">
                  <c:v>11.544115796098172</c:v>
                </c:pt>
                <c:pt idx="17">
                  <c:v>11.198778998779002</c:v>
                </c:pt>
                <c:pt idx="18">
                  <c:v>10.6308895972182</c:v>
                </c:pt>
                <c:pt idx="19">
                  <c:v>10.078901098901099</c:v>
                </c:pt>
                <c:pt idx="20">
                  <c:v>9.7963150867823785</c:v>
                </c:pt>
                <c:pt idx="21">
                  <c:v>9.3422969187675058</c:v>
                </c:pt>
                <c:pt idx="22">
                  <c:v>9.2271629778672022</c:v>
                </c:pt>
                <c:pt idx="23">
                  <c:v>8.989757412398923</c:v>
                </c:pt>
                <c:pt idx="24">
                  <c:v>8.9284984181065958</c:v>
                </c:pt>
                <c:pt idx="25">
                  <c:v>8.6343139562249931</c:v>
                </c:pt>
                <c:pt idx="26">
                  <c:v>8.5219976771196286</c:v>
                </c:pt>
                <c:pt idx="27">
                  <c:v>8.2406109613656788</c:v>
                </c:pt>
                <c:pt idx="28">
                  <c:v>8.1763316246935602</c:v>
                </c:pt>
                <c:pt idx="29">
                  <c:v>8.0507351327627816</c:v>
                </c:pt>
              </c:numCache>
            </c:numRef>
          </c:val>
          <c:extLst>
            <c:ext xmlns:c16="http://schemas.microsoft.com/office/drawing/2014/chart" uri="{C3380CC4-5D6E-409C-BE32-E72D297353CC}">
              <c16:uniqueId val="{00000008-9841-3245-911E-DFF54223F946}"/>
            </c:ext>
          </c:extLst>
        </c:ser>
        <c:dLbls>
          <c:showLegendKey val="0"/>
          <c:showVal val="0"/>
          <c:showCatName val="0"/>
          <c:showSerName val="0"/>
          <c:showPercent val="0"/>
          <c:showBubbleSize val="0"/>
        </c:dLbls>
        <c:axId val="1207535568"/>
        <c:axId val="1207600816"/>
      </c:areaChart>
      <c:lineChart>
        <c:grouping val="standard"/>
        <c:varyColors val="0"/>
        <c:ser>
          <c:idx val="4"/>
          <c:order val="2"/>
          <c:tx>
            <c:strRef>
              <c:f>compute!$S$4</c:f>
              <c:strCache>
                <c:ptCount val="1"/>
                <c:pt idx="0">
                  <c:v>average 1-in-X odds</c:v>
                </c:pt>
              </c:strCache>
            </c:strRef>
          </c:tx>
          <c:spPr>
            <a:ln w="38100" cap="rnd">
              <a:solidFill>
                <a:schemeClr val="accent4"/>
              </a:solidFill>
              <a:prstDash val="sysDot"/>
              <a:round/>
            </a:ln>
            <a:effectLst/>
          </c:spPr>
          <c:marker>
            <c:symbol val="circle"/>
            <c:size val="5"/>
            <c:spPr>
              <a:solidFill>
                <a:schemeClr val="accent5"/>
              </a:solidFill>
              <a:ln w="38100">
                <a:solidFill>
                  <a:schemeClr val="accent4"/>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0-622F-4144-9EFF-E347736B2CB7}"/>
                </c:ext>
              </c:extLst>
            </c:dLbl>
            <c:dLbl>
              <c:idx val="1"/>
              <c:delete val="1"/>
              <c:extLst>
                <c:ext xmlns:c15="http://schemas.microsoft.com/office/drawing/2012/chart" uri="{CE6537A1-D6FC-4f65-9D91-7224C49458BB}"/>
                <c:ext xmlns:c16="http://schemas.microsoft.com/office/drawing/2014/chart" uri="{C3380CC4-5D6E-409C-BE32-E72D297353CC}">
                  <c16:uniqueId val="{00000001-622F-4144-9EFF-E347736B2CB7}"/>
                </c:ext>
              </c:extLst>
            </c:dLbl>
            <c:dLbl>
              <c:idx val="2"/>
              <c:delete val="1"/>
              <c:extLst>
                <c:ext xmlns:c15="http://schemas.microsoft.com/office/drawing/2012/chart" uri="{CE6537A1-D6FC-4f65-9D91-7224C49458BB}"/>
                <c:ext xmlns:c16="http://schemas.microsoft.com/office/drawing/2014/chart" uri="{C3380CC4-5D6E-409C-BE32-E72D297353CC}">
                  <c16:uniqueId val="{00000002-622F-4144-9EFF-E347736B2CB7}"/>
                </c:ext>
              </c:extLst>
            </c:dLbl>
            <c:dLbl>
              <c:idx val="3"/>
              <c:delete val="1"/>
              <c:extLst>
                <c:ext xmlns:c15="http://schemas.microsoft.com/office/drawing/2012/chart" uri="{CE6537A1-D6FC-4f65-9D91-7224C49458BB}"/>
                <c:ext xmlns:c16="http://schemas.microsoft.com/office/drawing/2014/chart" uri="{C3380CC4-5D6E-409C-BE32-E72D297353CC}">
                  <c16:uniqueId val="{00000003-622F-4144-9EFF-E347736B2CB7}"/>
                </c:ext>
              </c:extLst>
            </c:dLbl>
            <c:dLbl>
              <c:idx val="4"/>
              <c:delete val="1"/>
              <c:extLst>
                <c:ext xmlns:c15="http://schemas.microsoft.com/office/drawing/2012/chart" uri="{CE6537A1-D6FC-4f65-9D91-7224C49458BB}"/>
                <c:ext xmlns:c16="http://schemas.microsoft.com/office/drawing/2014/chart" uri="{C3380CC4-5D6E-409C-BE32-E72D297353CC}">
                  <c16:uniqueId val="{00000004-622F-4144-9EFF-E347736B2CB7}"/>
                </c:ext>
              </c:extLst>
            </c:dLbl>
            <c:dLbl>
              <c:idx val="5"/>
              <c:delete val="1"/>
              <c:extLst>
                <c:ext xmlns:c15="http://schemas.microsoft.com/office/drawing/2012/chart" uri="{CE6537A1-D6FC-4f65-9D91-7224C49458BB}"/>
                <c:ext xmlns:c16="http://schemas.microsoft.com/office/drawing/2014/chart" uri="{C3380CC4-5D6E-409C-BE32-E72D297353CC}">
                  <c16:uniqueId val="{00000005-622F-4144-9EFF-E347736B2CB7}"/>
                </c:ext>
              </c:extLst>
            </c:dLbl>
            <c:dLbl>
              <c:idx val="6"/>
              <c:delete val="1"/>
              <c:extLst>
                <c:ext xmlns:c15="http://schemas.microsoft.com/office/drawing/2012/chart" uri="{CE6537A1-D6FC-4f65-9D91-7224C49458BB}"/>
                <c:ext xmlns:c16="http://schemas.microsoft.com/office/drawing/2014/chart" uri="{C3380CC4-5D6E-409C-BE32-E72D297353CC}">
                  <c16:uniqueId val="{00000006-622F-4144-9EFF-E347736B2CB7}"/>
                </c:ext>
              </c:extLst>
            </c:dLbl>
            <c:dLbl>
              <c:idx val="7"/>
              <c:delete val="1"/>
              <c:extLst>
                <c:ext xmlns:c15="http://schemas.microsoft.com/office/drawing/2012/chart" uri="{CE6537A1-D6FC-4f65-9D91-7224C49458BB}"/>
                <c:ext xmlns:c16="http://schemas.microsoft.com/office/drawing/2014/chart" uri="{C3380CC4-5D6E-409C-BE32-E72D297353CC}">
                  <c16:uniqueId val="{00000007-622F-4144-9EFF-E347736B2CB7}"/>
                </c:ext>
              </c:extLst>
            </c:dLbl>
            <c:dLbl>
              <c:idx val="8"/>
              <c:delete val="1"/>
              <c:extLst>
                <c:ext xmlns:c15="http://schemas.microsoft.com/office/drawing/2012/chart" uri="{CE6537A1-D6FC-4f65-9D91-7224C49458BB}"/>
                <c:ext xmlns:c16="http://schemas.microsoft.com/office/drawing/2014/chart" uri="{C3380CC4-5D6E-409C-BE32-E72D297353CC}">
                  <c16:uniqueId val="{00000008-622F-4144-9EFF-E347736B2CB7}"/>
                </c:ext>
              </c:extLst>
            </c:dLbl>
            <c:dLbl>
              <c:idx val="9"/>
              <c:delete val="1"/>
              <c:extLst>
                <c:ext xmlns:c15="http://schemas.microsoft.com/office/drawing/2012/chart" uri="{CE6537A1-D6FC-4f65-9D91-7224C49458BB}"/>
                <c:ext xmlns:c16="http://schemas.microsoft.com/office/drawing/2014/chart" uri="{C3380CC4-5D6E-409C-BE32-E72D297353CC}">
                  <c16:uniqueId val="{00000009-622F-4144-9EFF-E347736B2CB7}"/>
                </c:ext>
              </c:extLst>
            </c:dLbl>
            <c:dLbl>
              <c:idx val="10"/>
              <c:delete val="1"/>
              <c:extLst>
                <c:ext xmlns:c15="http://schemas.microsoft.com/office/drawing/2012/chart" uri="{CE6537A1-D6FC-4f65-9D91-7224C49458BB}"/>
                <c:ext xmlns:c16="http://schemas.microsoft.com/office/drawing/2014/chart" uri="{C3380CC4-5D6E-409C-BE32-E72D297353CC}">
                  <c16:uniqueId val="{0000000A-622F-4144-9EFF-E347736B2CB7}"/>
                </c:ext>
              </c:extLst>
            </c:dLbl>
            <c:dLbl>
              <c:idx val="11"/>
              <c:delete val="1"/>
              <c:extLst>
                <c:ext xmlns:c15="http://schemas.microsoft.com/office/drawing/2012/chart" uri="{CE6537A1-D6FC-4f65-9D91-7224C49458BB}"/>
                <c:ext xmlns:c16="http://schemas.microsoft.com/office/drawing/2014/chart" uri="{C3380CC4-5D6E-409C-BE32-E72D297353CC}">
                  <c16:uniqueId val="{0000000B-622F-4144-9EFF-E347736B2CB7}"/>
                </c:ext>
              </c:extLst>
            </c:dLbl>
            <c:dLbl>
              <c:idx val="12"/>
              <c:delete val="1"/>
              <c:extLst>
                <c:ext xmlns:c15="http://schemas.microsoft.com/office/drawing/2012/chart" uri="{CE6537A1-D6FC-4f65-9D91-7224C49458BB}"/>
                <c:ext xmlns:c16="http://schemas.microsoft.com/office/drawing/2014/chart" uri="{C3380CC4-5D6E-409C-BE32-E72D297353CC}">
                  <c16:uniqueId val="{00000002-C553-D445-B33F-413FEAB8BC84}"/>
                </c:ext>
              </c:extLst>
            </c:dLbl>
            <c:dLbl>
              <c:idx val="13"/>
              <c:delete val="1"/>
              <c:extLst>
                <c:ext xmlns:c15="http://schemas.microsoft.com/office/drawing/2012/chart" uri="{CE6537A1-D6FC-4f65-9D91-7224C49458BB}">
                  <c15:layout>
                    <c:manualLayout>
                      <c:w val="4.7881355932203391E-2"/>
                      <c:h val="3.7288135593220341E-2"/>
                    </c:manualLayout>
                  </c15:layout>
                </c:ext>
                <c:ext xmlns:c16="http://schemas.microsoft.com/office/drawing/2014/chart" uri="{C3380CC4-5D6E-409C-BE32-E72D297353CC}">
                  <c16:uniqueId val="{00000001-C553-D445-B33F-413FEAB8BC84}"/>
                </c:ext>
              </c:extLst>
            </c:dLbl>
            <c:dLbl>
              <c:idx val="14"/>
              <c:delete val="1"/>
              <c:extLst>
                <c:ext xmlns:c15="http://schemas.microsoft.com/office/drawing/2012/chart" uri="{CE6537A1-D6FC-4f65-9D91-7224C49458BB}"/>
                <c:ext xmlns:c16="http://schemas.microsoft.com/office/drawing/2014/chart" uri="{C3380CC4-5D6E-409C-BE32-E72D297353CC}">
                  <c16:uniqueId val="{00000000-C553-D445-B33F-413FEAB8BC84}"/>
                </c:ext>
              </c:extLst>
            </c:dLbl>
            <c:dLbl>
              <c:idx val="15"/>
              <c:delete val="1"/>
              <c:extLst>
                <c:ext xmlns:c15="http://schemas.microsoft.com/office/drawing/2012/chart" uri="{CE6537A1-D6FC-4f65-9D91-7224C49458BB}"/>
                <c:ext xmlns:c16="http://schemas.microsoft.com/office/drawing/2014/chart" uri="{C3380CC4-5D6E-409C-BE32-E72D297353CC}">
                  <c16:uniqueId val="{0000000C-622F-4144-9EFF-E347736B2CB7}"/>
                </c:ext>
              </c:extLst>
            </c:dLbl>
            <c:dLbl>
              <c:idx val="16"/>
              <c:delete val="1"/>
              <c:extLst>
                <c:ext xmlns:c15="http://schemas.microsoft.com/office/drawing/2012/chart" uri="{CE6537A1-D6FC-4f65-9D91-7224C49458BB}"/>
                <c:ext xmlns:c16="http://schemas.microsoft.com/office/drawing/2014/chart" uri="{C3380CC4-5D6E-409C-BE32-E72D297353CC}">
                  <c16:uniqueId val="{00000000-3D67-6A4F-A927-DFEED01F98DA}"/>
                </c:ext>
              </c:extLst>
            </c:dLbl>
            <c:dLbl>
              <c:idx val="17"/>
              <c:delete val="1"/>
              <c:extLst>
                <c:ext xmlns:c15="http://schemas.microsoft.com/office/drawing/2012/chart" uri="{CE6537A1-D6FC-4f65-9D91-7224C49458BB}"/>
                <c:ext xmlns:c16="http://schemas.microsoft.com/office/drawing/2014/chart" uri="{C3380CC4-5D6E-409C-BE32-E72D297353CC}">
                  <c16:uniqueId val="{00000000-868A-EB42-B020-DA5065627720}"/>
                </c:ext>
              </c:extLst>
            </c:dLbl>
            <c:dLbl>
              <c:idx val="18"/>
              <c:delete val="1"/>
              <c:extLst>
                <c:ext xmlns:c15="http://schemas.microsoft.com/office/drawing/2012/chart" uri="{CE6537A1-D6FC-4f65-9D91-7224C49458BB}"/>
                <c:ext xmlns:c16="http://schemas.microsoft.com/office/drawing/2014/chart" uri="{C3380CC4-5D6E-409C-BE32-E72D297353CC}">
                  <c16:uniqueId val="{00000001-868A-EB42-B020-DA5065627720}"/>
                </c:ext>
              </c:extLst>
            </c:dLbl>
            <c:dLbl>
              <c:idx val="19"/>
              <c:delete val="1"/>
              <c:extLst>
                <c:ext xmlns:c15="http://schemas.microsoft.com/office/drawing/2012/chart" uri="{CE6537A1-D6FC-4f65-9D91-7224C49458BB}"/>
                <c:ext xmlns:c16="http://schemas.microsoft.com/office/drawing/2014/chart" uri="{C3380CC4-5D6E-409C-BE32-E72D297353CC}">
                  <c16:uniqueId val="{00000000-D055-7746-9B18-46D322BD3F47}"/>
                </c:ext>
              </c:extLst>
            </c:dLbl>
            <c:dLbl>
              <c:idx val="20"/>
              <c:delete val="1"/>
              <c:extLst>
                <c:ext xmlns:c15="http://schemas.microsoft.com/office/drawing/2012/chart" uri="{CE6537A1-D6FC-4f65-9D91-7224C49458BB}"/>
                <c:ext xmlns:c16="http://schemas.microsoft.com/office/drawing/2014/chart" uri="{C3380CC4-5D6E-409C-BE32-E72D297353CC}">
                  <c16:uniqueId val="{00000001-D055-7746-9B18-46D322BD3F47}"/>
                </c:ext>
              </c:extLst>
            </c:dLbl>
            <c:dLbl>
              <c:idx val="21"/>
              <c:delete val="1"/>
              <c:extLst>
                <c:ext xmlns:c15="http://schemas.microsoft.com/office/drawing/2012/chart" uri="{CE6537A1-D6FC-4f65-9D91-7224C49458BB}"/>
                <c:ext xmlns:c16="http://schemas.microsoft.com/office/drawing/2014/chart" uri="{C3380CC4-5D6E-409C-BE32-E72D297353CC}">
                  <c16:uniqueId val="{00000003-D055-7746-9B18-46D322BD3F47}"/>
                </c:ext>
              </c:extLst>
            </c:dLbl>
            <c:dLbl>
              <c:idx val="22"/>
              <c:delete val="1"/>
              <c:extLst>
                <c:ext xmlns:c15="http://schemas.microsoft.com/office/drawing/2012/chart" uri="{CE6537A1-D6FC-4f65-9D91-7224C49458BB}"/>
                <c:ext xmlns:c16="http://schemas.microsoft.com/office/drawing/2014/chart" uri="{C3380CC4-5D6E-409C-BE32-E72D297353CC}">
                  <c16:uniqueId val="{00000002-D055-7746-9B18-46D322BD3F47}"/>
                </c:ext>
              </c:extLst>
            </c:dLbl>
            <c:dLbl>
              <c:idx val="23"/>
              <c:delete val="1"/>
              <c:extLst>
                <c:ext xmlns:c15="http://schemas.microsoft.com/office/drawing/2012/chart" uri="{CE6537A1-D6FC-4f65-9D91-7224C49458BB}"/>
                <c:ext xmlns:c16="http://schemas.microsoft.com/office/drawing/2014/chart" uri="{C3380CC4-5D6E-409C-BE32-E72D297353CC}">
                  <c16:uniqueId val="{00000000-3536-EB40-934A-4F2240DF0249}"/>
                </c:ext>
              </c:extLst>
            </c:dLbl>
            <c:dLbl>
              <c:idx val="24"/>
              <c:delete val="1"/>
              <c:extLst>
                <c:ext xmlns:c15="http://schemas.microsoft.com/office/drawing/2012/chart" uri="{CE6537A1-D6FC-4f65-9D91-7224C49458BB}"/>
                <c:ext xmlns:c16="http://schemas.microsoft.com/office/drawing/2014/chart" uri="{C3380CC4-5D6E-409C-BE32-E72D297353CC}">
                  <c16:uniqueId val="{00000001-3536-EB40-934A-4F2240DF0249}"/>
                </c:ext>
              </c:extLst>
            </c:dLbl>
            <c:dLbl>
              <c:idx val="25"/>
              <c:delete val="1"/>
              <c:extLst>
                <c:ext xmlns:c15="http://schemas.microsoft.com/office/drawing/2012/chart" uri="{CE6537A1-D6FC-4f65-9D91-7224C49458BB}"/>
                <c:ext xmlns:c16="http://schemas.microsoft.com/office/drawing/2014/chart" uri="{C3380CC4-5D6E-409C-BE32-E72D297353CC}">
                  <c16:uniqueId val="{00000002-3536-EB40-934A-4F2240DF0249}"/>
                </c:ext>
              </c:extLst>
            </c:dLbl>
            <c:dLbl>
              <c:idx val="26"/>
              <c:delete val="1"/>
              <c:extLst>
                <c:ext xmlns:c15="http://schemas.microsoft.com/office/drawing/2012/chart" uri="{CE6537A1-D6FC-4f65-9D91-7224C49458BB}"/>
                <c:ext xmlns:c16="http://schemas.microsoft.com/office/drawing/2014/chart" uri="{C3380CC4-5D6E-409C-BE32-E72D297353CC}">
                  <c16:uniqueId val="{00000003-3536-EB40-934A-4F2240DF0249}"/>
                </c:ext>
              </c:extLst>
            </c:dLbl>
            <c:dLbl>
              <c:idx val="27"/>
              <c:delete val="1"/>
              <c:extLst>
                <c:ext xmlns:c15="http://schemas.microsoft.com/office/drawing/2012/chart" uri="{CE6537A1-D6FC-4f65-9D91-7224C49458BB}"/>
                <c:ext xmlns:c16="http://schemas.microsoft.com/office/drawing/2014/chart" uri="{C3380CC4-5D6E-409C-BE32-E72D297353CC}">
                  <c16:uniqueId val="{00000004-3536-EB40-934A-4F2240DF0249}"/>
                </c:ext>
              </c:extLst>
            </c:dLbl>
            <c:dLbl>
              <c:idx val="28"/>
              <c:delete val="1"/>
              <c:extLst>
                <c:ext xmlns:c15="http://schemas.microsoft.com/office/drawing/2012/chart" uri="{CE6537A1-D6FC-4f65-9D91-7224C49458BB}"/>
                <c:ext xmlns:c16="http://schemas.microsoft.com/office/drawing/2014/chart" uri="{C3380CC4-5D6E-409C-BE32-E72D297353CC}">
                  <c16:uniqueId val="{00000006-3536-EB40-934A-4F2240DF0249}"/>
                </c:ext>
              </c:extLst>
            </c:dLbl>
            <c:dLbl>
              <c:idx val="29"/>
              <c:layout>
                <c:manualLayout>
                  <c:x val="-6.6214014282520967E-2"/>
                  <c:y val="-5.763025245905133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3536-EB40-934A-4F2240DF0249}"/>
                </c:ext>
              </c:extLst>
            </c:dLbl>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tx1">
                        <a:lumMod val="75000"/>
                        <a:lumOff val="25000"/>
                      </a:schemeClr>
                    </a:solidFill>
                    <a:latin typeface="Helvetica" pitchFamily="2"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compute!$A$5:$A$10016</c:f>
              <c:numCache>
                <c:formatCode>d\-mmm</c:formatCode>
                <c:ptCount val="10012"/>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pt idx="26">
                  <c:v>43939</c:v>
                </c:pt>
                <c:pt idx="27">
                  <c:v>43940</c:v>
                </c:pt>
                <c:pt idx="28">
                  <c:v>43941</c:v>
                </c:pt>
                <c:pt idx="29">
                  <c:v>43942</c:v>
                </c:pt>
              </c:numCache>
            </c:numRef>
          </c:cat>
          <c:val>
            <c:numRef>
              <c:f>compute!$S$5:$S$10016</c:f>
              <c:numCache>
                <c:formatCode>0</c:formatCode>
                <c:ptCount val="10012"/>
                <c:pt idx="0">
                  <c:v>476.45714285714286</c:v>
                </c:pt>
                <c:pt idx="1">
                  <c:v>341.80621118012425</c:v>
                </c:pt>
                <c:pt idx="2">
                  <c:v>249.57278911564626</c:v>
                </c:pt>
                <c:pt idx="3">
                  <c:v>206.88270676691729</c:v>
                </c:pt>
                <c:pt idx="4">
                  <c:v>174.7009523809524</c:v>
                </c:pt>
                <c:pt idx="5">
                  <c:v>133.24648910411622</c:v>
                </c:pt>
                <c:pt idx="6">
                  <c:v>98.269285714285701</c:v>
                </c:pt>
                <c:pt idx="7">
                  <c:v>79.812617839013768</c:v>
                </c:pt>
                <c:pt idx="8">
                  <c:v>66.063385354141658</c:v>
                </c:pt>
                <c:pt idx="9">
                  <c:v>59.109344790547794</c:v>
                </c:pt>
                <c:pt idx="10">
                  <c:v>53.479883381924196</c:v>
                </c:pt>
                <c:pt idx="11">
                  <c:v>50.719631336405527</c:v>
                </c:pt>
                <c:pt idx="12">
                  <c:v>45.311486208316182</c:v>
                </c:pt>
                <c:pt idx="13">
                  <c:v>43.076947162426613</c:v>
                </c:pt>
                <c:pt idx="14">
                  <c:v>39.704761904761909</c:v>
                </c:pt>
                <c:pt idx="15">
                  <c:v>36.73618157543391</c:v>
                </c:pt>
                <c:pt idx="16">
                  <c:v>34.632347388294527</c:v>
                </c:pt>
                <c:pt idx="17">
                  <c:v>33.596336996336994</c:v>
                </c:pt>
                <c:pt idx="18">
                  <c:v>31.892668791654593</c:v>
                </c:pt>
                <c:pt idx="19">
                  <c:v>30.236703296703297</c:v>
                </c:pt>
                <c:pt idx="20">
                  <c:v>29.388945260347132</c:v>
                </c:pt>
                <c:pt idx="21">
                  <c:v>28.026890756302521</c:v>
                </c:pt>
                <c:pt idx="22">
                  <c:v>27.68148893360161</c:v>
                </c:pt>
                <c:pt idx="23">
                  <c:v>26.969272237196765</c:v>
                </c:pt>
                <c:pt idx="24">
                  <c:v>26.785495254319784</c:v>
                </c:pt>
                <c:pt idx="25">
                  <c:v>25.902941868674983</c:v>
                </c:pt>
                <c:pt idx="26">
                  <c:v>25.565993031358886</c:v>
                </c:pt>
                <c:pt idx="27">
                  <c:v>24.721832884097033</c:v>
                </c:pt>
                <c:pt idx="28">
                  <c:v>24.528994874080677</c:v>
                </c:pt>
                <c:pt idx="29">
                  <c:v>24.152205398288348</c:v>
                </c:pt>
              </c:numCache>
            </c:numRef>
          </c:val>
          <c:smooth val="0"/>
          <c:extLst>
            <c:ext xmlns:c16="http://schemas.microsoft.com/office/drawing/2014/chart" uri="{C3380CC4-5D6E-409C-BE32-E72D297353CC}">
              <c16:uniqueId val="{00000009-9841-3245-911E-DFF54223F946}"/>
            </c:ext>
          </c:extLst>
        </c:ser>
        <c:dLbls>
          <c:showLegendKey val="0"/>
          <c:showVal val="0"/>
          <c:showCatName val="0"/>
          <c:showSerName val="0"/>
          <c:showPercent val="0"/>
          <c:showBubbleSize val="0"/>
        </c:dLbls>
        <c:marker val="1"/>
        <c:smooth val="0"/>
        <c:axId val="1207535568"/>
        <c:axId val="1207600816"/>
      </c:lineChart>
      <c:dateAx>
        <c:axId val="1207535568"/>
        <c:scaling>
          <c:orientation val="minMax"/>
        </c:scaling>
        <c:delete val="0"/>
        <c:axPos val="b"/>
        <c:numFmt formatCode="d\-mmm"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600816"/>
        <c:crosses val="autoZero"/>
        <c:auto val="1"/>
        <c:lblOffset val="100"/>
        <c:baseTimeUnit val="days"/>
        <c:majorUnit val="7"/>
        <c:majorTimeUnit val="days"/>
      </c:dateAx>
      <c:valAx>
        <c:axId val="12076008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5355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6.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9</xdr:col>
      <xdr:colOff>63500</xdr:colOff>
      <xdr:row>36</xdr:row>
      <xdr:rowOff>177800</xdr:rowOff>
    </xdr:to>
    <xdr:graphicFrame macro="">
      <xdr:nvGraphicFramePr>
        <xdr:cNvPr id="2" name="Cases">
          <a:extLst>
            <a:ext uri="{FF2B5EF4-FFF2-40B4-BE49-F238E27FC236}">
              <a16:creationId xmlns:a16="http://schemas.microsoft.com/office/drawing/2014/main" id="{03CF07AF-BA1B-CB43-AFFE-E1251D8247A6}"/>
            </a:ext>
            <a:ext uri="{C183D7F6-B498-43B3-948B-1728B52AA6E4}">
              <adec:decorative xmlns:adec="http://schemas.microsoft.com/office/drawing/2017/decorative" val="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0.13898</cdr:x>
      <cdr:y>0.12203</cdr:y>
    </cdr:from>
    <cdr:to>
      <cdr:x>0.61864</cdr:x>
      <cdr:y>0.31525</cdr:y>
    </cdr:to>
    <cdr:sp macro="" textlink="">
      <cdr:nvSpPr>
        <cdr:cNvPr id="5" name="TextBox 4">
          <a:extLst xmlns:a="http://schemas.openxmlformats.org/drawingml/2006/main">
            <a:ext uri="{FF2B5EF4-FFF2-40B4-BE49-F238E27FC236}">
              <a16:creationId xmlns:a16="http://schemas.microsoft.com/office/drawing/2014/main" id="{0FACEC6B-C4C5-3E47-91AE-E9058A2F8EE6}"/>
            </a:ext>
          </a:extLst>
        </cdr:cNvPr>
        <cdr:cNvSpPr txBox="1"/>
      </cdr:nvSpPr>
      <cdr:spPr>
        <a:xfrm xmlns:a="http://schemas.openxmlformats.org/drawingml/2006/main">
          <a:off x="1041400" y="914400"/>
          <a:ext cx="3594100" cy="14478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0.15593</cdr:x>
      <cdr:y>0.18305</cdr:y>
    </cdr:from>
    <cdr:to>
      <cdr:x>0.55085</cdr:x>
      <cdr:y>0.25932</cdr:y>
    </cdr:to>
    <cdr:sp macro="" textlink="">
      <cdr:nvSpPr>
        <cdr:cNvPr id="2" name="TextBox 1">
          <a:extLst xmlns:a="http://schemas.openxmlformats.org/drawingml/2006/main">
            <a:ext uri="{FF2B5EF4-FFF2-40B4-BE49-F238E27FC236}">
              <a16:creationId xmlns:a16="http://schemas.microsoft.com/office/drawing/2014/main" id="{535659CE-BE5D-AB4A-907B-C8AF8C8EB654}"/>
            </a:ext>
          </a:extLst>
        </cdr:cNvPr>
        <cdr:cNvSpPr txBox="1"/>
      </cdr:nvSpPr>
      <cdr:spPr>
        <a:xfrm xmlns:a="http://schemas.openxmlformats.org/drawingml/2006/main">
          <a:off x="1168400" y="1371600"/>
          <a:ext cx="2959100" cy="5715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0.00038</cdr:x>
      <cdr:y>0.09185</cdr:y>
    </cdr:from>
    <cdr:to>
      <cdr:x>1</cdr:x>
      <cdr:y>0.12818</cdr:y>
    </cdr:to>
    <cdr:sp macro="" textlink="compute!$V$35">
      <cdr:nvSpPr>
        <cdr:cNvPr id="28" name="TextBox 1">
          <a:extLst xmlns:a="http://schemas.openxmlformats.org/drawingml/2006/main">
            <a:ext uri="{FF2B5EF4-FFF2-40B4-BE49-F238E27FC236}">
              <a16:creationId xmlns:a16="http://schemas.microsoft.com/office/drawing/2014/main" id="{0D5814DB-5968-C84B-93ED-418CDC28A90F}"/>
            </a:ext>
          </a:extLst>
        </cdr:cNvPr>
        <cdr:cNvSpPr txBox="1"/>
      </cdr:nvSpPr>
      <cdr:spPr>
        <a:xfrm xmlns:a="http://schemas.openxmlformats.org/drawingml/2006/main">
          <a:off x="63539" y="688248"/>
          <a:ext cx="7490182" cy="272237"/>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A31C6C1E-BEEC-B441-8BC4-8184F69E8364}" type="TxLink">
            <a:rPr lang="en-US" sz="2000" b="1" i="0" u="none" strike="noStrike">
              <a:solidFill>
                <a:schemeClr val="accent1"/>
              </a:solidFill>
              <a:effectLst/>
              <a:latin typeface="Helvetica"/>
              <a:ea typeface="+mn-ea"/>
              <a:cs typeface="+mn-cs"/>
            </a:rPr>
            <a:pPr algn="ctr"/>
            <a:t>updated April 21, 2020, evening</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0.00038</cdr:x>
      <cdr:y>0.05753</cdr:y>
    </cdr:from>
    <cdr:to>
      <cdr:x>1</cdr:x>
      <cdr:y>0.08746</cdr:y>
    </cdr:to>
    <cdr:sp macro="" textlink="compute!$B$1">
      <cdr:nvSpPr>
        <cdr:cNvPr id="29" name="TextBox 1">
          <a:extLst xmlns:a="http://schemas.openxmlformats.org/drawingml/2006/main">
            <a:ext uri="{FF2B5EF4-FFF2-40B4-BE49-F238E27FC236}">
              <a16:creationId xmlns:a16="http://schemas.microsoft.com/office/drawing/2014/main" id="{FC6631D9-B34C-EE4B-8696-18C1FAEE7C3F}"/>
            </a:ext>
          </a:extLst>
        </cdr:cNvPr>
        <cdr:cNvSpPr txBox="1"/>
      </cdr:nvSpPr>
      <cdr:spPr>
        <a:xfrm xmlns:a="http://schemas.openxmlformats.org/drawingml/2006/main">
          <a:off x="63539" y="431052"/>
          <a:ext cx="7490182" cy="224284"/>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D8991BB7-161E-3B49-89D1-56F1A106F9BF}" type="TxLink">
            <a:rPr lang="en-US" sz="2000" b="1" i="0" u="none" strike="noStrike">
              <a:solidFill>
                <a:schemeClr val="accent1"/>
              </a:solidFill>
              <a:effectLst/>
              <a:latin typeface="Helvetica"/>
              <a:ea typeface="+mn-ea"/>
              <a:cs typeface="+mn-cs"/>
            </a:rPr>
            <a:pPr algn="ctr"/>
            <a:t>Miami Beach</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0</cdr:x>
      <cdr:y>0.00678</cdr:y>
    </cdr:from>
    <cdr:to>
      <cdr:x>1</cdr:x>
      <cdr:y>0.06615</cdr:y>
    </cdr:to>
    <cdr:sp macro="" textlink="">
      <cdr:nvSpPr>
        <cdr:cNvPr id="30" name="TextBox 2">
          <a:extLst xmlns:a="http://schemas.openxmlformats.org/drawingml/2006/main">
            <a:ext uri="{FF2B5EF4-FFF2-40B4-BE49-F238E27FC236}">
              <a16:creationId xmlns:a16="http://schemas.microsoft.com/office/drawing/2014/main" id="{3CCDDB01-431E-9440-BDEE-148943E6D9E1}"/>
            </a:ext>
          </a:extLst>
        </cdr:cNvPr>
        <cdr:cNvSpPr txBox="1"/>
      </cdr:nvSpPr>
      <cdr:spPr>
        <a:xfrm xmlns:a="http://schemas.openxmlformats.org/drawingml/2006/main">
          <a:off x="50800" y="50800"/>
          <a:ext cx="7502921" cy="444873"/>
        </a:xfrm>
        <a:prstGeom xmlns:a="http://schemas.openxmlformats.org/drawingml/2006/main" prst="rect">
          <a:avLst/>
        </a:prstGeom>
      </cdr:spPr>
      <cdr:txBody>
        <a:bodyPr xmlns:a="http://schemas.openxmlformats.org/drawingml/2006/main" wrap="square" lIns="0" tIns="9144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rtl="0">
            <a:defRPr sz="2000" b="1" i="0" u="none" strike="noStrike" kern="1200" spc="0" baseline="0">
              <a:solidFill>
                <a:srgbClr val="242852"/>
              </a:solidFill>
              <a:latin typeface="Helvetica" pitchFamily="2" charset="0"/>
              <a:ea typeface="+mn-ea"/>
              <a:cs typeface="+mn-cs"/>
            </a:defRPr>
          </a:pPr>
          <a:r>
            <a:rPr lang="en-US" sz="2400" b="1" i="0">
              <a:solidFill>
                <a:schemeClr val="accent1"/>
              </a:solidFill>
              <a:latin typeface="Helvetica" pitchFamily="2" charset="0"/>
            </a:rPr>
            <a:t>Number</a:t>
          </a:r>
          <a:r>
            <a:rPr lang="en-US" sz="2400" b="1" i="0" baseline="0">
              <a:solidFill>
                <a:schemeClr val="accent1"/>
              </a:solidFill>
              <a:latin typeface="Helvetica" pitchFamily="2" charset="0"/>
            </a:rPr>
            <a:t> of Confirmed COVID-19 Cases</a:t>
          </a:r>
          <a:endParaRPr lang="en-US" sz="2400">
            <a:solidFill>
              <a:schemeClr val="accent1"/>
            </a:solidFill>
            <a:latin typeface="Helvetica" pitchFamily="2" charset="0"/>
          </a:endParaRPr>
        </a:p>
      </cdr:txBody>
    </cdr:sp>
  </cdr:relSizeAnchor>
  <cdr:relSizeAnchor xmlns:cdr="http://schemas.openxmlformats.org/drawingml/2006/chartDrawing">
    <cdr:from>
      <cdr:x>0.12542</cdr:x>
      <cdr:y>0.17797</cdr:y>
    </cdr:from>
    <cdr:to>
      <cdr:x>0.58983</cdr:x>
      <cdr:y>0.41525</cdr:y>
    </cdr:to>
    <cdr:sp macro="" textlink="">
      <cdr:nvSpPr>
        <cdr:cNvPr id="3" name="TextBox 2">
          <a:extLst xmlns:a="http://schemas.openxmlformats.org/drawingml/2006/main">
            <a:ext uri="{FF2B5EF4-FFF2-40B4-BE49-F238E27FC236}">
              <a16:creationId xmlns:a16="http://schemas.microsoft.com/office/drawing/2014/main" id="{FDCF19DA-C04D-3642-83C0-C3A5DDFB8902}"/>
            </a:ext>
          </a:extLst>
        </cdr:cNvPr>
        <cdr:cNvSpPr txBox="1"/>
      </cdr:nvSpPr>
      <cdr:spPr>
        <a:xfrm xmlns:a="http://schemas.openxmlformats.org/drawingml/2006/main">
          <a:off x="939790" y="1333504"/>
          <a:ext cx="3479810" cy="1777996"/>
        </a:xfrm>
        <a:prstGeom xmlns:a="http://schemas.openxmlformats.org/drawingml/2006/main" prst="roundRect">
          <a:avLst>
            <a:gd name="adj" fmla="val 5363"/>
          </a:avLst>
        </a:prstGeom>
        <a:solidFill xmlns:a="http://schemas.openxmlformats.org/drawingml/2006/main">
          <a:schemeClr val="accent3"/>
        </a:solidFill>
      </cdr:spPr>
      <cdr:txBody>
        <a:bodyPr xmlns:a="http://schemas.openxmlformats.org/drawingml/2006/main" vertOverflow="clip" wrap="square" rtlCol="0"/>
        <a:lstStyle xmlns:a="http://schemas.openxmlformats.org/drawingml/2006/main"/>
        <a:p xmlns:a="http://schemas.openxmlformats.org/drawingml/2006/main">
          <a:r>
            <a:rPr lang="en-US" sz="1800">
              <a:solidFill>
                <a:schemeClr val="bg1"/>
              </a:solidFill>
              <a:latin typeface="Helvetica" pitchFamily="2" charset="0"/>
            </a:rPr>
            <a:t>"Flattening</a:t>
          </a:r>
          <a:r>
            <a:rPr lang="en-US" sz="1800" baseline="0">
              <a:solidFill>
                <a:schemeClr val="bg1"/>
              </a:solidFill>
              <a:latin typeface="Helvetica" pitchFamily="2" charset="0"/>
            </a:rPr>
            <a:t> the curve" can refer to at least two different curves.  This is one of them.  If we don't slow the spread, then this curve shoots up exponentially.  If we do slow the spread then if flattens.  Look how flat it is now!</a:t>
          </a:r>
        </a:p>
      </cdr:txBody>
    </cdr:sp>
  </cdr:relSizeAnchor>
  <cdr:relSizeAnchor xmlns:cdr="http://schemas.openxmlformats.org/drawingml/2006/chartDrawing">
    <cdr:from>
      <cdr:x>0.00141</cdr:x>
      <cdr:y>0.94925</cdr:y>
    </cdr:from>
    <cdr:to>
      <cdr:x>1</cdr:x>
      <cdr:y>1</cdr:y>
    </cdr:to>
    <cdr:sp macro="" textlink="">
      <cdr:nvSpPr>
        <cdr:cNvPr id="35" name="Rectangle 34">
          <a:extLst xmlns:a="http://schemas.openxmlformats.org/drawingml/2006/main">
            <a:ext uri="{FF2B5EF4-FFF2-40B4-BE49-F238E27FC236}">
              <a16:creationId xmlns:a16="http://schemas.microsoft.com/office/drawing/2014/main" id="{C22568FA-7A10-8B48-8604-354E123DFD15}"/>
            </a:ext>
          </a:extLst>
        </cdr:cNvPr>
        <cdr:cNvSpPr/>
      </cdr:nvSpPr>
      <cdr:spPr>
        <a:xfrm xmlns:a="http://schemas.openxmlformats.org/drawingml/2006/main">
          <a:off x="10565" y="7112730"/>
          <a:ext cx="7482435" cy="380270"/>
        </a:xfrm>
        <a:prstGeom xmlns:a="http://schemas.openxmlformats.org/drawingml/2006/main" prst="rect">
          <a:avLst/>
        </a:prstGeom>
        <a:solidFill xmlns:a="http://schemas.openxmlformats.org/drawingml/2006/main">
          <a:srgbClr val="337CBD"/>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0.9148</cdr:x>
      <cdr:y>0.95922</cdr:y>
    </cdr:from>
    <cdr:to>
      <cdr:x>0.94491</cdr:x>
      <cdr:y>0.98869</cdr:y>
    </cdr:to>
    <cdr:pic>
      <cdr:nvPicPr>
        <cdr:cNvPr id="36" name="Picture 35">
          <a:extLst xmlns:a="http://schemas.openxmlformats.org/drawingml/2006/main">
            <a:ext uri="{FF2B5EF4-FFF2-40B4-BE49-F238E27FC236}">
              <a16:creationId xmlns:a16="http://schemas.microsoft.com/office/drawing/2014/main" id="{0F6EEC7E-1E73-0541-99B0-5919D900E384}"/>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6854594" y="7187435"/>
          <a:ext cx="225614" cy="220819"/>
        </a:xfrm>
        <a:prstGeom xmlns:a="http://schemas.openxmlformats.org/drawingml/2006/main" prst="rect">
          <a:avLst/>
        </a:prstGeom>
      </cdr:spPr>
    </cdr:pic>
  </cdr:relSizeAnchor>
  <cdr:relSizeAnchor xmlns:cdr="http://schemas.openxmlformats.org/drawingml/2006/chartDrawing">
    <cdr:from>
      <cdr:x>0.94741</cdr:x>
      <cdr:y>0.95535</cdr:y>
    </cdr:from>
    <cdr:to>
      <cdr:x>0.98552</cdr:x>
      <cdr:y>0.9929</cdr:y>
    </cdr:to>
    <cdr:pic>
      <cdr:nvPicPr>
        <cdr:cNvPr id="37" name="Picture 36">
          <a:extLst xmlns:a="http://schemas.openxmlformats.org/drawingml/2006/main">
            <a:ext uri="{FF2B5EF4-FFF2-40B4-BE49-F238E27FC236}">
              <a16:creationId xmlns:a16="http://schemas.microsoft.com/office/drawing/2014/main" id="{A872D5D8-010A-AB48-A4D5-0CE4EBBE4AEF}"/>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cstate="print">
          <a:extLst>
            <a:ext uri="{28A0092B-C50C-407E-A947-70E740481C1C}">
              <a14:useLocalDpi xmlns:a14="http://schemas.microsoft.com/office/drawing/2010/main" val="0"/>
            </a:ext>
          </a:extLst>
        </a:blip>
        <a:srcRect xmlns:a="http://schemas.openxmlformats.org/drawingml/2006/main"/>
        <a:stretch xmlns:a="http://schemas.openxmlformats.org/drawingml/2006/main"/>
      </cdr:blipFill>
      <cdr:spPr>
        <a:xfrm xmlns:a="http://schemas.openxmlformats.org/drawingml/2006/main">
          <a:off x="7098941" y="7158438"/>
          <a:ext cx="285558" cy="281362"/>
        </a:xfrm>
        <a:prstGeom xmlns:a="http://schemas.openxmlformats.org/drawingml/2006/main" prst="rect">
          <a:avLst/>
        </a:prstGeom>
      </cdr:spPr>
    </cdr:pic>
  </cdr:relSizeAnchor>
  <cdr:relSizeAnchor xmlns:cdr="http://schemas.openxmlformats.org/drawingml/2006/chartDrawing">
    <cdr:from>
      <cdr:x>0.57689</cdr:x>
      <cdr:y>0.95788</cdr:y>
    </cdr:from>
    <cdr:to>
      <cdr:x>0.90387</cdr:x>
      <cdr:y>0.99864</cdr:y>
    </cdr:to>
    <cdr:sp macro="" textlink="">
      <cdr:nvSpPr>
        <cdr:cNvPr id="38" name="TextBox 3">
          <a:extLst xmlns:a="http://schemas.openxmlformats.org/drawingml/2006/main">
            <a:ext uri="{FF2B5EF4-FFF2-40B4-BE49-F238E27FC236}">
              <a16:creationId xmlns:a16="http://schemas.microsoft.com/office/drawing/2014/main" id="{A29125F4-D1F4-B247-B8F3-148D146D3EB1}"/>
            </a:ext>
          </a:extLst>
        </cdr:cNvPr>
        <cdr:cNvSpPr txBox="1"/>
      </cdr:nvSpPr>
      <cdr:spPr>
        <a:xfrm xmlns:a="http://schemas.openxmlformats.org/drawingml/2006/main">
          <a:off x="4322620" y="7177395"/>
          <a:ext cx="2450076" cy="305414"/>
        </a:xfrm>
        <a:prstGeom xmlns:a="http://schemas.openxmlformats.org/drawingml/2006/main" prst="rect">
          <a:avLst/>
        </a:prstGeom>
        <a:noFill xmlns:a="http://schemas.openxmlformats.org/drawingml/2006/main"/>
      </cdr:spPr>
      <cdr:txBody>
        <a:bodyPr xmlns:a="http://schemas.openxmlformats.org/drawingml/2006/main" wrap="square" r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algn="r" defTabSz="914400" eaLnBrk="1" fontAlgn="auto" latinLnBrk="0" hangingPunct="1">
            <a:lnSpc>
              <a:spcPct val="100000"/>
            </a:lnSpc>
            <a:spcBef>
              <a:spcPts val="0"/>
            </a:spcBef>
            <a:spcAft>
              <a:spcPts val="0"/>
            </a:spcAft>
            <a:buClrTx/>
            <a:buSzTx/>
            <a:buFontTx/>
            <a:buNone/>
            <a:tabLst/>
            <a:defRPr/>
          </a:pPr>
          <a:r>
            <a:rPr lang="en-US" sz="1200" b="1">
              <a:solidFill>
                <a:srgbClr val="CCCCFF"/>
              </a:solidFill>
              <a:latin typeface="Helvetica" pitchFamily="2" charset="0"/>
            </a:rPr>
            <a:t>daily updates</a:t>
          </a:r>
          <a:r>
            <a:rPr lang="en-US" sz="1200" b="1">
              <a:solidFill>
                <a:schemeClr val="bg1"/>
              </a:solidFill>
              <a:latin typeface="Helvetica" pitchFamily="2" charset="0"/>
            </a:rPr>
            <a:t> @BeachAnalytics</a:t>
          </a:r>
          <a:endParaRPr lang="en-US" sz="1200" b="1">
            <a:solidFill>
              <a:schemeClr val="bg1"/>
            </a:solidFill>
          </a:endParaRPr>
        </a:p>
      </cdr:txBody>
    </cdr:sp>
  </cdr:relSizeAnchor>
  <cdr:relSizeAnchor xmlns:cdr="http://schemas.openxmlformats.org/drawingml/2006/chartDrawing">
    <cdr:from>
      <cdr:x>0.25889</cdr:x>
      <cdr:y>0.95787</cdr:y>
    </cdr:from>
    <cdr:to>
      <cdr:x>0.57689</cdr:x>
      <cdr:y>0.99665</cdr:y>
    </cdr:to>
    <cdr:sp macro="" textlink="">
      <cdr:nvSpPr>
        <cdr:cNvPr id="39" name="TextBox 1">
          <a:extLst xmlns:a="http://schemas.openxmlformats.org/drawingml/2006/main">
            <a:ext uri="{FF2B5EF4-FFF2-40B4-BE49-F238E27FC236}">
              <a16:creationId xmlns:a16="http://schemas.microsoft.com/office/drawing/2014/main" id="{8BC1877F-1D3A-D344-B98F-F9C9C795F40C}"/>
            </a:ext>
          </a:extLst>
        </cdr:cNvPr>
        <cdr:cNvSpPr txBox="1"/>
      </cdr:nvSpPr>
      <cdr:spPr>
        <a:xfrm xmlns:a="http://schemas.openxmlformats.org/drawingml/2006/main">
          <a:off x="1939869" y="7177319"/>
          <a:ext cx="2382750" cy="290580"/>
        </a:xfrm>
        <a:prstGeom xmlns:a="http://schemas.openxmlformats.org/drawingml/2006/main" prst="rect">
          <a:avLst/>
        </a:prstGeom>
        <a:noFill xmlns:a="http://schemas.openxmlformats.org/drawingml/2006/main"/>
      </cdr:spPr>
      <cdr:txBody>
        <a:bodyPr xmlns:a="http://schemas.openxmlformats.org/drawingml/2006/main" wrap="square" lIns="182880" bIns="9144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b="1" i="0" u="none" strike="noStrike">
              <a:solidFill>
                <a:schemeClr val="bg1"/>
              </a:solidFill>
              <a:latin typeface="Helvetica"/>
            </a:rPr>
            <a:t>https://</a:t>
          </a:r>
          <a:r>
            <a:rPr lang="en-US" sz="1200" b="1" i="0" u="none" strike="noStrike">
              <a:solidFill>
                <a:srgbClr val="CCCCFF"/>
              </a:solidFill>
              <a:latin typeface="Helvetica"/>
            </a:rPr>
            <a:t>Beach</a:t>
          </a:r>
          <a:r>
            <a:rPr lang="en-US" sz="1200" b="1" i="0" u="none" strike="noStrike">
              <a:solidFill>
                <a:schemeClr val="bg1"/>
              </a:solidFill>
              <a:latin typeface="Helvetica"/>
            </a:rPr>
            <a:t>Analytics.info</a:t>
          </a:r>
          <a:endParaRPr lang="en-US" sz="1100" b="1">
            <a:solidFill>
              <a:schemeClr val="bg1"/>
            </a:solidFill>
          </a:endParaRPr>
        </a:p>
      </cdr:txBody>
    </cdr:sp>
  </cdr:relSizeAnchor>
  <cdr:relSizeAnchor xmlns:cdr="http://schemas.openxmlformats.org/drawingml/2006/chartDrawing">
    <cdr:from>
      <cdr:x>0.03703</cdr:x>
      <cdr:y>0.95934</cdr:y>
    </cdr:from>
    <cdr:to>
      <cdr:x>0.24121</cdr:x>
      <cdr:y>0.98771</cdr:y>
    </cdr:to>
    <cdr:pic>
      <cdr:nvPicPr>
        <cdr:cNvPr id="40" name="Picture 39">
          <a:extLst xmlns:a="http://schemas.openxmlformats.org/drawingml/2006/main">
            <a:ext uri="{FF2B5EF4-FFF2-40B4-BE49-F238E27FC236}">
              <a16:creationId xmlns:a16="http://schemas.microsoft.com/office/drawing/2014/main" id="{2912BAF4-DC51-CB41-9D9C-B467385EAB79}"/>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extLst>
            <a:ext uri="{28A0092B-C50C-407E-A947-70E740481C1C}">
              <a14:useLocalDpi xmlns:a14="http://schemas.microsoft.com/office/drawing/2010/main" val="0"/>
            </a:ext>
          </a:extLst>
        </a:blip>
        <a:srcRect xmlns:a="http://schemas.openxmlformats.org/drawingml/2006/main"/>
        <a:stretch xmlns:a="http://schemas.openxmlformats.org/drawingml/2006/main"/>
      </cdr:blipFill>
      <cdr:spPr>
        <a:xfrm xmlns:a="http://schemas.openxmlformats.org/drawingml/2006/main">
          <a:off x="277463" y="7188333"/>
          <a:ext cx="1529921" cy="212578"/>
        </a:xfrm>
        <a:prstGeom xmlns:a="http://schemas.openxmlformats.org/drawingml/2006/main" prst="rect">
          <a:avLst/>
        </a:prstGeom>
      </cdr:spPr>
    </cdr:pic>
  </cdr:relSizeAnchor>
</c:userShapes>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9</xdr:col>
      <xdr:colOff>63500</xdr:colOff>
      <xdr:row>36</xdr:row>
      <xdr:rowOff>177800</xdr:rowOff>
    </xdr:to>
    <xdr:graphicFrame macro="">
      <xdr:nvGraphicFramePr>
        <xdr:cNvPr id="2" name="Chart 1">
          <a:extLst>
            <a:ext uri="{FF2B5EF4-FFF2-40B4-BE49-F238E27FC236}">
              <a16:creationId xmlns:a16="http://schemas.microsoft.com/office/drawing/2014/main" id="{0B23D5FA-98E7-A648-AC3E-EC02B287529E}"/>
            </a:ext>
            <a:ext uri="{C183D7F6-B498-43B3-948B-1728B52AA6E4}">
              <adec:decorative xmlns:adec="http://schemas.microsoft.com/office/drawing/2017/decorative" val="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0.13898</cdr:x>
      <cdr:y>0.12203</cdr:y>
    </cdr:from>
    <cdr:to>
      <cdr:x>0.61864</cdr:x>
      <cdr:y>0.31525</cdr:y>
    </cdr:to>
    <cdr:sp macro="" textlink="">
      <cdr:nvSpPr>
        <cdr:cNvPr id="5" name="TextBox 4">
          <a:extLst xmlns:a="http://schemas.openxmlformats.org/drawingml/2006/main">
            <a:ext uri="{FF2B5EF4-FFF2-40B4-BE49-F238E27FC236}">
              <a16:creationId xmlns:a16="http://schemas.microsoft.com/office/drawing/2014/main" id="{0FACEC6B-C4C5-3E47-91AE-E9058A2F8EE6}"/>
            </a:ext>
          </a:extLst>
        </cdr:cNvPr>
        <cdr:cNvSpPr txBox="1"/>
      </cdr:nvSpPr>
      <cdr:spPr>
        <a:xfrm xmlns:a="http://schemas.openxmlformats.org/drawingml/2006/main">
          <a:off x="1041400" y="914400"/>
          <a:ext cx="3594100" cy="14478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0.15593</cdr:x>
      <cdr:y>0.18305</cdr:y>
    </cdr:from>
    <cdr:to>
      <cdr:x>0.55085</cdr:x>
      <cdr:y>0.25932</cdr:y>
    </cdr:to>
    <cdr:sp macro="" textlink="">
      <cdr:nvSpPr>
        <cdr:cNvPr id="2" name="TextBox 1">
          <a:extLst xmlns:a="http://schemas.openxmlformats.org/drawingml/2006/main">
            <a:ext uri="{FF2B5EF4-FFF2-40B4-BE49-F238E27FC236}">
              <a16:creationId xmlns:a16="http://schemas.microsoft.com/office/drawing/2014/main" id="{535659CE-BE5D-AB4A-907B-C8AF8C8EB654}"/>
            </a:ext>
          </a:extLst>
        </cdr:cNvPr>
        <cdr:cNvSpPr txBox="1"/>
      </cdr:nvSpPr>
      <cdr:spPr>
        <a:xfrm xmlns:a="http://schemas.openxmlformats.org/drawingml/2006/main">
          <a:off x="1168400" y="1371600"/>
          <a:ext cx="2959100" cy="5715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cdr:x>
      <cdr:y>0.09197</cdr:y>
    </cdr:from>
    <cdr:to>
      <cdr:x>1</cdr:x>
      <cdr:y>0.12835</cdr:y>
    </cdr:to>
    <cdr:sp macro="" textlink="compute!$V$35">
      <cdr:nvSpPr>
        <cdr:cNvPr id="33" name="TextBox 1">
          <a:extLst xmlns:a="http://schemas.openxmlformats.org/drawingml/2006/main">
            <a:ext uri="{FF2B5EF4-FFF2-40B4-BE49-F238E27FC236}">
              <a16:creationId xmlns:a16="http://schemas.microsoft.com/office/drawing/2014/main" id="{0D5814DB-5968-C84B-93ED-418CDC28A90F}"/>
            </a:ext>
          </a:extLst>
        </cdr:cNvPr>
        <cdr:cNvSpPr txBox="1"/>
      </cdr:nvSpPr>
      <cdr:spPr>
        <a:xfrm xmlns:a="http://schemas.openxmlformats.org/drawingml/2006/main">
          <a:off x="63539" y="688248"/>
          <a:ext cx="7490182" cy="272237"/>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8DF21745-3C62-DB4D-B5E8-C8FCCA3DEF8C}" type="TxLink">
            <a:rPr lang="en-US" sz="2000" b="1" i="0" u="none" strike="noStrike">
              <a:solidFill>
                <a:schemeClr val="accent1"/>
              </a:solidFill>
              <a:effectLst/>
              <a:latin typeface="Helvetica"/>
              <a:ea typeface="+mn-ea"/>
              <a:cs typeface="+mn-cs"/>
            </a:rPr>
            <a:pPr algn="ctr"/>
            <a:t>updated April 21, 2020, evening</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0</cdr:x>
      <cdr:y>0.0576</cdr:y>
    </cdr:from>
    <cdr:to>
      <cdr:x>1</cdr:x>
      <cdr:y>0.08757</cdr:y>
    </cdr:to>
    <cdr:sp macro="" textlink="compute!$B$1">
      <cdr:nvSpPr>
        <cdr:cNvPr id="34" name="TextBox 1">
          <a:extLst xmlns:a="http://schemas.openxmlformats.org/drawingml/2006/main">
            <a:ext uri="{FF2B5EF4-FFF2-40B4-BE49-F238E27FC236}">
              <a16:creationId xmlns:a16="http://schemas.microsoft.com/office/drawing/2014/main" id="{FC6631D9-B34C-EE4B-8696-18C1FAEE7C3F}"/>
            </a:ext>
          </a:extLst>
        </cdr:cNvPr>
        <cdr:cNvSpPr txBox="1"/>
      </cdr:nvSpPr>
      <cdr:spPr>
        <a:xfrm xmlns:a="http://schemas.openxmlformats.org/drawingml/2006/main">
          <a:off x="63539" y="431052"/>
          <a:ext cx="7490182" cy="224284"/>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F0EE5EBA-1B79-334D-8270-E69C195F880E}" type="TxLink">
            <a:rPr lang="en-US" sz="2000" b="1" i="0" u="none" strike="noStrike">
              <a:solidFill>
                <a:schemeClr val="accent1"/>
              </a:solidFill>
              <a:effectLst/>
              <a:latin typeface="Helvetica"/>
              <a:ea typeface="+mn-ea"/>
              <a:cs typeface="+mn-cs"/>
            </a:rPr>
            <a:pPr algn="ctr"/>
            <a:t>Miami Beach</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0</cdr:x>
      <cdr:y>0.00679</cdr:y>
    </cdr:from>
    <cdr:to>
      <cdr:x>1</cdr:x>
      <cdr:y>0.06623</cdr:y>
    </cdr:to>
    <cdr:sp macro="" textlink="">
      <cdr:nvSpPr>
        <cdr:cNvPr id="35" name="TextBox 2">
          <a:extLst xmlns:a="http://schemas.openxmlformats.org/drawingml/2006/main">
            <a:ext uri="{FF2B5EF4-FFF2-40B4-BE49-F238E27FC236}">
              <a16:creationId xmlns:a16="http://schemas.microsoft.com/office/drawing/2014/main" id="{3CCDDB01-431E-9440-BDEE-148943E6D9E1}"/>
            </a:ext>
          </a:extLst>
        </cdr:cNvPr>
        <cdr:cNvSpPr txBox="1"/>
      </cdr:nvSpPr>
      <cdr:spPr>
        <a:xfrm xmlns:a="http://schemas.openxmlformats.org/drawingml/2006/main">
          <a:off x="50800" y="50800"/>
          <a:ext cx="7502921" cy="444873"/>
        </a:xfrm>
        <a:prstGeom xmlns:a="http://schemas.openxmlformats.org/drawingml/2006/main" prst="rect">
          <a:avLst/>
        </a:prstGeom>
      </cdr:spPr>
      <cdr:txBody>
        <a:bodyPr xmlns:a="http://schemas.openxmlformats.org/drawingml/2006/main" wrap="square" lIns="0" tIns="9144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rtl="0">
            <a:defRPr sz="2000" b="1" i="0" u="none" strike="noStrike" kern="1200" spc="0" baseline="0">
              <a:solidFill>
                <a:srgbClr val="242852"/>
              </a:solidFill>
              <a:latin typeface="Helvetica" pitchFamily="2" charset="0"/>
              <a:ea typeface="+mn-ea"/>
              <a:cs typeface="+mn-cs"/>
            </a:defRPr>
          </a:pPr>
          <a:r>
            <a:rPr lang="en-US" sz="2400" b="1" i="0">
              <a:solidFill>
                <a:schemeClr val="accent1"/>
              </a:solidFill>
              <a:latin typeface="Helvetica" pitchFamily="2" charset="0"/>
            </a:rPr>
            <a:t>%</a:t>
          </a:r>
          <a:r>
            <a:rPr lang="en-US" sz="2400" b="1" i="0" baseline="0">
              <a:solidFill>
                <a:schemeClr val="accent1"/>
              </a:solidFill>
              <a:latin typeface="Helvetica" pitchFamily="2" charset="0"/>
            </a:rPr>
            <a:t> Increase in Confirmed COVID-19 Case Count</a:t>
          </a:r>
          <a:endParaRPr lang="en-US" sz="2400">
            <a:solidFill>
              <a:schemeClr val="accent1"/>
            </a:solidFill>
            <a:latin typeface="Helvetica" pitchFamily="2" charset="0"/>
          </a:endParaRPr>
        </a:p>
      </cdr:txBody>
    </cdr:sp>
  </cdr:relSizeAnchor>
  <cdr:relSizeAnchor xmlns:cdr="http://schemas.openxmlformats.org/drawingml/2006/chartDrawing">
    <cdr:from>
      <cdr:x>0.46441</cdr:x>
      <cdr:y>0.44407</cdr:y>
    </cdr:from>
    <cdr:to>
      <cdr:x>0.87458</cdr:x>
      <cdr:y>0.58305</cdr:y>
    </cdr:to>
    <cdr:sp macro="" textlink="">
      <cdr:nvSpPr>
        <cdr:cNvPr id="3" name="TextBox 2">
          <a:extLst xmlns:a="http://schemas.openxmlformats.org/drawingml/2006/main">
            <a:ext uri="{FF2B5EF4-FFF2-40B4-BE49-F238E27FC236}">
              <a16:creationId xmlns:a16="http://schemas.microsoft.com/office/drawing/2014/main" id="{D9A1EF39-6F89-0A47-A27A-3D76620F136E}"/>
            </a:ext>
          </a:extLst>
        </cdr:cNvPr>
        <cdr:cNvSpPr txBox="1"/>
      </cdr:nvSpPr>
      <cdr:spPr>
        <a:xfrm xmlns:a="http://schemas.openxmlformats.org/drawingml/2006/main">
          <a:off x="3479800" y="3327400"/>
          <a:ext cx="3073400" cy="1041400"/>
        </a:xfrm>
        <a:prstGeom xmlns:a="http://schemas.openxmlformats.org/drawingml/2006/main" prst="rect">
          <a:avLst/>
        </a:prstGeom>
        <a:solidFill xmlns:a="http://schemas.openxmlformats.org/drawingml/2006/main">
          <a:schemeClr val="accent3"/>
        </a:solidFill>
      </cdr:spPr>
      <cdr:txBody>
        <a:bodyPr xmlns:a="http://schemas.openxmlformats.org/drawingml/2006/main" vertOverflow="clip" wrap="square" rtlCol="0"/>
        <a:lstStyle xmlns:a="http://schemas.openxmlformats.org/drawingml/2006/main"/>
        <a:p xmlns:a="http://schemas.openxmlformats.org/drawingml/2006/main">
          <a:r>
            <a:rPr lang="en-US" sz="1800">
              <a:solidFill>
                <a:schemeClr val="bg1"/>
              </a:solidFill>
              <a:latin typeface="Helvetica" pitchFamily="2" charset="0"/>
            </a:rPr>
            <a:t>These numbers may look low, but don't get complacent</a:t>
          </a:r>
          <a:r>
            <a:rPr lang="en-US" sz="1800" baseline="0">
              <a:solidFill>
                <a:schemeClr val="bg1"/>
              </a:solidFill>
              <a:latin typeface="Helvetica" pitchFamily="2" charset="0"/>
            </a:rPr>
            <a:t> because they're not trending toward zero.</a:t>
          </a:r>
          <a:endParaRPr lang="en-US" sz="1800">
            <a:solidFill>
              <a:schemeClr val="bg1"/>
            </a:solidFill>
            <a:latin typeface="Helvetica" pitchFamily="2" charset="0"/>
          </a:endParaRPr>
        </a:p>
      </cdr:txBody>
    </cdr:sp>
  </cdr:relSizeAnchor>
  <cdr:relSizeAnchor xmlns:cdr="http://schemas.openxmlformats.org/drawingml/2006/chartDrawing">
    <cdr:from>
      <cdr:x>0</cdr:x>
      <cdr:y>0.94925</cdr:y>
    </cdr:from>
    <cdr:to>
      <cdr:x>0.99859</cdr:x>
      <cdr:y>1</cdr:y>
    </cdr:to>
    <cdr:sp macro="" textlink="">
      <cdr:nvSpPr>
        <cdr:cNvPr id="18" name="Rectangle 17">
          <a:extLst xmlns:a="http://schemas.openxmlformats.org/drawingml/2006/main">
            <a:ext uri="{FF2B5EF4-FFF2-40B4-BE49-F238E27FC236}">
              <a16:creationId xmlns:a16="http://schemas.microsoft.com/office/drawing/2014/main" id="{C22568FA-7A10-8B48-8604-354E123DFD15}"/>
            </a:ext>
          </a:extLst>
        </cdr:cNvPr>
        <cdr:cNvSpPr/>
      </cdr:nvSpPr>
      <cdr:spPr>
        <a:xfrm xmlns:a="http://schemas.openxmlformats.org/drawingml/2006/main">
          <a:off x="0" y="7112730"/>
          <a:ext cx="7482435" cy="380270"/>
        </a:xfrm>
        <a:prstGeom xmlns:a="http://schemas.openxmlformats.org/drawingml/2006/main" prst="rect">
          <a:avLst/>
        </a:prstGeom>
        <a:solidFill xmlns:a="http://schemas.openxmlformats.org/drawingml/2006/main">
          <a:srgbClr val="337CBD"/>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0.91339</cdr:x>
      <cdr:y>0.95922</cdr:y>
    </cdr:from>
    <cdr:to>
      <cdr:x>0.9435</cdr:x>
      <cdr:y>0.98869</cdr:y>
    </cdr:to>
    <cdr:pic>
      <cdr:nvPicPr>
        <cdr:cNvPr id="19" name="Picture 18">
          <a:extLst xmlns:a="http://schemas.openxmlformats.org/drawingml/2006/main">
            <a:ext uri="{FF2B5EF4-FFF2-40B4-BE49-F238E27FC236}">
              <a16:creationId xmlns:a16="http://schemas.microsoft.com/office/drawing/2014/main" id="{0F6EEC7E-1E73-0541-99B0-5919D900E384}"/>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6844029" y="7187435"/>
          <a:ext cx="225614" cy="220819"/>
        </a:xfrm>
        <a:prstGeom xmlns:a="http://schemas.openxmlformats.org/drawingml/2006/main" prst="rect">
          <a:avLst/>
        </a:prstGeom>
      </cdr:spPr>
    </cdr:pic>
  </cdr:relSizeAnchor>
  <cdr:relSizeAnchor xmlns:cdr="http://schemas.openxmlformats.org/drawingml/2006/chartDrawing">
    <cdr:from>
      <cdr:x>0.946</cdr:x>
      <cdr:y>0.95535</cdr:y>
    </cdr:from>
    <cdr:to>
      <cdr:x>0.98411</cdr:x>
      <cdr:y>0.9929</cdr:y>
    </cdr:to>
    <cdr:pic>
      <cdr:nvPicPr>
        <cdr:cNvPr id="20" name="Picture 19">
          <a:extLst xmlns:a="http://schemas.openxmlformats.org/drawingml/2006/main">
            <a:ext uri="{FF2B5EF4-FFF2-40B4-BE49-F238E27FC236}">
              <a16:creationId xmlns:a16="http://schemas.microsoft.com/office/drawing/2014/main" id="{A872D5D8-010A-AB48-A4D5-0CE4EBBE4AEF}"/>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cstate="print">
          <a:extLst>
            <a:ext uri="{28A0092B-C50C-407E-A947-70E740481C1C}">
              <a14:useLocalDpi xmlns:a14="http://schemas.microsoft.com/office/drawing/2010/main" val="0"/>
            </a:ext>
          </a:extLst>
        </a:blip>
        <a:srcRect xmlns:a="http://schemas.openxmlformats.org/drawingml/2006/main"/>
        <a:stretch xmlns:a="http://schemas.openxmlformats.org/drawingml/2006/main"/>
      </cdr:blipFill>
      <cdr:spPr>
        <a:xfrm xmlns:a="http://schemas.openxmlformats.org/drawingml/2006/main">
          <a:off x="7088376" y="7158438"/>
          <a:ext cx="285558" cy="281362"/>
        </a:xfrm>
        <a:prstGeom xmlns:a="http://schemas.openxmlformats.org/drawingml/2006/main" prst="rect">
          <a:avLst/>
        </a:prstGeom>
      </cdr:spPr>
    </cdr:pic>
  </cdr:relSizeAnchor>
  <cdr:relSizeAnchor xmlns:cdr="http://schemas.openxmlformats.org/drawingml/2006/chartDrawing">
    <cdr:from>
      <cdr:x>0.57548</cdr:x>
      <cdr:y>0.95788</cdr:y>
    </cdr:from>
    <cdr:to>
      <cdr:x>0.90246</cdr:x>
      <cdr:y>0.99864</cdr:y>
    </cdr:to>
    <cdr:sp macro="" textlink="">
      <cdr:nvSpPr>
        <cdr:cNvPr id="21" name="TextBox 3">
          <a:extLst xmlns:a="http://schemas.openxmlformats.org/drawingml/2006/main">
            <a:ext uri="{FF2B5EF4-FFF2-40B4-BE49-F238E27FC236}">
              <a16:creationId xmlns:a16="http://schemas.microsoft.com/office/drawing/2014/main" id="{A29125F4-D1F4-B247-B8F3-148D146D3EB1}"/>
            </a:ext>
          </a:extLst>
        </cdr:cNvPr>
        <cdr:cNvSpPr txBox="1"/>
      </cdr:nvSpPr>
      <cdr:spPr>
        <a:xfrm xmlns:a="http://schemas.openxmlformats.org/drawingml/2006/main">
          <a:off x="4312055" y="7177395"/>
          <a:ext cx="2450076" cy="305414"/>
        </a:xfrm>
        <a:prstGeom xmlns:a="http://schemas.openxmlformats.org/drawingml/2006/main" prst="rect">
          <a:avLst/>
        </a:prstGeom>
        <a:noFill xmlns:a="http://schemas.openxmlformats.org/drawingml/2006/main"/>
      </cdr:spPr>
      <cdr:txBody>
        <a:bodyPr xmlns:a="http://schemas.openxmlformats.org/drawingml/2006/main" wrap="square" r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algn="r" defTabSz="914400" eaLnBrk="1" fontAlgn="auto" latinLnBrk="0" hangingPunct="1">
            <a:lnSpc>
              <a:spcPct val="100000"/>
            </a:lnSpc>
            <a:spcBef>
              <a:spcPts val="0"/>
            </a:spcBef>
            <a:spcAft>
              <a:spcPts val="0"/>
            </a:spcAft>
            <a:buClrTx/>
            <a:buSzTx/>
            <a:buFontTx/>
            <a:buNone/>
            <a:tabLst/>
            <a:defRPr/>
          </a:pPr>
          <a:r>
            <a:rPr lang="en-US" sz="1200" b="1">
              <a:solidFill>
                <a:srgbClr val="CCCCFF"/>
              </a:solidFill>
              <a:latin typeface="Helvetica" pitchFamily="2" charset="0"/>
            </a:rPr>
            <a:t>daily updates</a:t>
          </a:r>
          <a:r>
            <a:rPr lang="en-US" sz="1200" b="1">
              <a:solidFill>
                <a:schemeClr val="bg1"/>
              </a:solidFill>
              <a:latin typeface="Helvetica" pitchFamily="2" charset="0"/>
            </a:rPr>
            <a:t> @BeachAnalytics</a:t>
          </a:r>
          <a:endParaRPr lang="en-US" sz="1200" b="1">
            <a:solidFill>
              <a:schemeClr val="bg1"/>
            </a:solidFill>
          </a:endParaRPr>
        </a:p>
      </cdr:txBody>
    </cdr:sp>
  </cdr:relSizeAnchor>
  <cdr:relSizeAnchor xmlns:cdr="http://schemas.openxmlformats.org/drawingml/2006/chartDrawing">
    <cdr:from>
      <cdr:x>0.25748</cdr:x>
      <cdr:y>0.95787</cdr:y>
    </cdr:from>
    <cdr:to>
      <cdr:x>0.57548</cdr:x>
      <cdr:y>0.99665</cdr:y>
    </cdr:to>
    <cdr:sp macro="" textlink="">
      <cdr:nvSpPr>
        <cdr:cNvPr id="22" name="TextBox 1">
          <a:extLst xmlns:a="http://schemas.openxmlformats.org/drawingml/2006/main">
            <a:ext uri="{FF2B5EF4-FFF2-40B4-BE49-F238E27FC236}">
              <a16:creationId xmlns:a16="http://schemas.microsoft.com/office/drawing/2014/main" id="{8BC1877F-1D3A-D344-B98F-F9C9C795F40C}"/>
            </a:ext>
          </a:extLst>
        </cdr:cNvPr>
        <cdr:cNvSpPr txBox="1"/>
      </cdr:nvSpPr>
      <cdr:spPr>
        <a:xfrm xmlns:a="http://schemas.openxmlformats.org/drawingml/2006/main">
          <a:off x="1929304" y="7177319"/>
          <a:ext cx="2382750" cy="290580"/>
        </a:xfrm>
        <a:prstGeom xmlns:a="http://schemas.openxmlformats.org/drawingml/2006/main" prst="rect">
          <a:avLst/>
        </a:prstGeom>
        <a:noFill xmlns:a="http://schemas.openxmlformats.org/drawingml/2006/main"/>
      </cdr:spPr>
      <cdr:txBody>
        <a:bodyPr xmlns:a="http://schemas.openxmlformats.org/drawingml/2006/main" wrap="square" lIns="182880" bIns="9144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b="1" i="0" u="none" strike="noStrike">
              <a:solidFill>
                <a:schemeClr val="bg1"/>
              </a:solidFill>
              <a:latin typeface="Helvetica"/>
            </a:rPr>
            <a:t>https://</a:t>
          </a:r>
          <a:r>
            <a:rPr lang="en-US" sz="1200" b="1" i="0" u="none" strike="noStrike">
              <a:solidFill>
                <a:srgbClr val="CCCCFF"/>
              </a:solidFill>
              <a:latin typeface="Helvetica"/>
            </a:rPr>
            <a:t>Beach</a:t>
          </a:r>
          <a:r>
            <a:rPr lang="en-US" sz="1200" b="1" i="0" u="none" strike="noStrike">
              <a:solidFill>
                <a:schemeClr val="bg1"/>
              </a:solidFill>
              <a:latin typeface="Helvetica"/>
            </a:rPr>
            <a:t>Analytics.info</a:t>
          </a:r>
          <a:endParaRPr lang="en-US" sz="1100" b="1">
            <a:solidFill>
              <a:schemeClr val="bg1"/>
            </a:solidFill>
          </a:endParaRPr>
        </a:p>
      </cdr:txBody>
    </cdr:sp>
  </cdr:relSizeAnchor>
  <cdr:relSizeAnchor xmlns:cdr="http://schemas.openxmlformats.org/drawingml/2006/chartDrawing">
    <cdr:from>
      <cdr:x>0.03562</cdr:x>
      <cdr:y>0.95934</cdr:y>
    </cdr:from>
    <cdr:to>
      <cdr:x>0.2398</cdr:x>
      <cdr:y>0.98771</cdr:y>
    </cdr:to>
    <cdr:pic>
      <cdr:nvPicPr>
        <cdr:cNvPr id="23" name="Picture 22">
          <a:extLst xmlns:a="http://schemas.openxmlformats.org/drawingml/2006/main">
            <a:ext uri="{FF2B5EF4-FFF2-40B4-BE49-F238E27FC236}">
              <a16:creationId xmlns:a16="http://schemas.microsoft.com/office/drawing/2014/main" id="{2912BAF4-DC51-CB41-9D9C-B467385EAB79}"/>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extLst>
            <a:ext uri="{28A0092B-C50C-407E-A947-70E740481C1C}">
              <a14:useLocalDpi xmlns:a14="http://schemas.microsoft.com/office/drawing/2010/main" val="0"/>
            </a:ext>
          </a:extLst>
        </a:blip>
        <a:srcRect xmlns:a="http://schemas.openxmlformats.org/drawingml/2006/main"/>
        <a:stretch xmlns:a="http://schemas.openxmlformats.org/drawingml/2006/main"/>
      </cdr:blipFill>
      <cdr:spPr>
        <a:xfrm xmlns:a="http://schemas.openxmlformats.org/drawingml/2006/main">
          <a:off x="266898" y="7188333"/>
          <a:ext cx="1529921" cy="212578"/>
        </a:xfrm>
        <a:prstGeom xmlns:a="http://schemas.openxmlformats.org/drawingml/2006/main" prst="rect">
          <a:avLst/>
        </a:prstGeom>
      </cdr:spPr>
    </cdr:pic>
  </cdr:relSizeAnchor>
</c:userShapes>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9</xdr:col>
      <xdr:colOff>63500</xdr:colOff>
      <xdr:row>36</xdr:row>
      <xdr:rowOff>177800</xdr:rowOff>
    </xdr:to>
    <xdr:graphicFrame macro="">
      <xdr:nvGraphicFramePr>
        <xdr:cNvPr id="2" name="Chart 1">
          <a:extLst>
            <a:ext uri="{FF2B5EF4-FFF2-40B4-BE49-F238E27FC236}">
              <a16:creationId xmlns:a16="http://schemas.microsoft.com/office/drawing/2014/main" id="{E920FC31-0A86-664B-981F-F4071B94840E}"/>
            </a:ext>
            <a:ext uri="{C183D7F6-B498-43B3-948B-1728B52AA6E4}">
              <adec:decorative xmlns:adec="http://schemas.microsoft.com/office/drawing/2017/decorative" val="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c:userShapes xmlns:c="http://schemas.openxmlformats.org/drawingml/2006/chart">
  <cdr:relSizeAnchor xmlns:cdr="http://schemas.openxmlformats.org/drawingml/2006/chartDrawing">
    <cdr:from>
      <cdr:x>0.13898</cdr:x>
      <cdr:y>0.12203</cdr:y>
    </cdr:from>
    <cdr:to>
      <cdr:x>0.61864</cdr:x>
      <cdr:y>0.31525</cdr:y>
    </cdr:to>
    <cdr:sp macro="" textlink="">
      <cdr:nvSpPr>
        <cdr:cNvPr id="5" name="TextBox 4">
          <a:extLst xmlns:a="http://schemas.openxmlformats.org/drawingml/2006/main">
            <a:ext uri="{FF2B5EF4-FFF2-40B4-BE49-F238E27FC236}">
              <a16:creationId xmlns:a16="http://schemas.microsoft.com/office/drawing/2014/main" id="{0FACEC6B-C4C5-3E47-91AE-E9058A2F8EE6}"/>
            </a:ext>
          </a:extLst>
        </cdr:cNvPr>
        <cdr:cNvSpPr txBox="1"/>
      </cdr:nvSpPr>
      <cdr:spPr>
        <a:xfrm xmlns:a="http://schemas.openxmlformats.org/drawingml/2006/main">
          <a:off x="1041400" y="914400"/>
          <a:ext cx="3594100" cy="14478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0.15593</cdr:x>
      <cdr:y>0.18305</cdr:y>
    </cdr:from>
    <cdr:to>
      <cdr:x>0.55085</cdr:x>
      <cdr:y>0.25932</cdr:y>
    </cdr:to>
    <cdr:sp macro="" textlink="">
      <cdr:nvSpPr>
        <cdr:cNvPr id="2" name="TextBox 1">
          <a:extLst xmlns:a="http://schemas.openxmlformats.org/drawingml/2006/main">
            <a:ext uri="{FF2B5EF4-FFF2-40B4-BE49-F238E27FC236}">
              <a16:creationId xmlns:a16="http://schemas.microsoft.com/office/drawing/2014/main" id="{535659CE-BE5D-AB4A-907B-C8AF8C8EB654}"/>
            </a:ext>
          </a:extLst>
        </cdr:cNvPr>
        <cdr:cNvSpPr txBox="1"/>
      </cdr:nvSpPr>
      <cdr:spPr>
        <a:xfrm xmlns:a="http://schemas.openxmlformats.org/drawingml/2006/main">
          <a:off x="1168400" y="1371600"/>
          <a:ext cx="2959100" cy="5715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cdr:x>
      <cdr:y>0.09197</cdr:y>
    </cdr:from>
    <cdr:to>
      <cdr:x>1</cdr:x>
      <cdr:y>0.12835</cdr:y>
    </cdr:to>
    <cdr:sp macro="" textlink="compute!$V$35">
      <cdr:nvSpPr>
        <cdr:cNvPr id="33" name="TextBox 1">
          <a:extLst xmlns:a="http://schemas.openxmlformats.org/drawingml/2006/main">
            <a:ext uri="{FF2B5EF4-FFF2-40B4-BE49-F238E27FC236}">
              <a16:creationId xmlns:a16="http://schemas.microsoft.com/office/drawing/2014/main" id="{0D5814DB-5968-C84B-93ED-418CDC28A90F}"/>
            </a:ext>
          </a:extLst>
        </cdr:cNvPr>
        <cdr:cNvSpPr txBox="1"/>
      </cdr:nvSpPr>
      <cdr:spPr>
        <a:xfrm xmlns:a="http://schemas.openxmlformats.org/drawingml/2006/main">
          <a:off x="63539" y="688248"/>
          <a:ext cx="7490182" cy="272237"/>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8DF21745-3C62-DB4D-B5E8-C8FCCA3DEF8C}" type="TxLink">
            <a:rPr lang="en-US" sz="2000" b="1" i="0" u="none" strike="noStrike">
              <a:solidFill>
                <a:schemeClr val="accent1"/>
              </a:solidFill>
              <a:effectLst/>
              <a:latin typeface="Helvetica"/>
              <a:ea typeface="+mn-ea"/>
              <a:cs typeface="+mn-cs"/>
            </a:rPr>
            <a:pPr algn="ctr"/>
            <a:t>updated April 21, 2020, evening</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0</cdr:x>
      <cdr:y>0.0576</cdr:y>
    </cdr:from>
    <cdr:to>
      <cdr:x>1</cdr:x>
      <cdr:y>0.08757</cdr:y>
    </cdr:to>
    <cdr:sp macro="" textlink="compute!$B$1">
      <cdr:nvSpPr>
        <cdr:cNvPr id="34" name="TextBox 1">
          <a:extLst xmlns:a="http://schemas.openxmlformats.org/drawingml/2006/main">
            <a:ext uri="{FF2B5EF4-FFF2-40B4-BE49-F238E27FC236}">
              <a16:creationId xmlns:a16="http://schemas.microsoft.com/office/drawing/2014/main" id="{FC6631D9-B34C-EE4B-8696-18C1FAEE7C3F}"/>
            </a:ext>
          </a:extLst>
        </cdr:cNvPr>
        <cdr:cNvSpPr txBox="1"/>
      </cdr:nvSpPr>
      <cdr:spPr>
        <a:xfrm xmlns:a="http://schemas.openxmlformats.org/drawingml/2006/main">
          <a:off x="63539" y="431052"/>
          <a:ext cx="7490182" cy="224284"/>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F0EE5EBA-1B79-334D-8270-E69C195F880E}" type="TxLink">
            <a:rPr lang="en-US" sz="2000" b="1" i="0" u="none" strike="noStrike">
              <a:solidFill>
                <a:schemeClr val="accent1"/>
              </a:solidFill>
              <a:effectLst/>
              <a:latin typeface="Helvetica"/>
              <a:ea typeface="+mn-ea"/>
              <a:cs typeface="+mn-cs"/>
            </a:rPr>
            <a:pPr algn="ctr"/>
            <a:t>Miami Beach</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0</cdr:x>
      <cdr:y>0.00679</cdr:y>
    </cdr:from>
    <cdr:to>
      <cdr:x>1</cdr:x>
      <cdr:y>0.06623</cdr:y>
    </cdr:to>
    <cdr:sp macro="" textlink="">
      <cdr:nvSpPr>
        <cdr:cNvPr id="35" name="TextBox 2">
          <a:extLst xmlns:a="http://schemas.openxmlformats.org/drawingml/2006/main">
            <a:ext uri="{FF2B5EF4-FFF2-40B4-BE49-F238E27FC236}">
              <a16:creationId xmlns:a16="http://schemas.microsoft.com/office/drawing/2014/main" id="{3CCDDB01-431E-9440-BDEE-148943E6D9E1}"/>
            </a:ext>
          </a:extLst>
        </cdr:cNvPr>
        <cdr:cNvSpPr txBox="1"/>
      </cdr:nvSpPr>
      <cdr:spPr>
        <a:xfrm xmlns:a="http://schemas.openxmlformats.org/drawingml/2006/main">
          <a:off x="50800" y="50800"/>
          <a:ext cx="7502921" cy="444873"/>
        </a:xfrm>
        <a:prstGeom xmlns:a="http://schemas.openxmlformats.org/drawingml/2006/main" prst="rect">
          <a:avLst/>
        </a:prstGeom>
      </cdr:spPr>
      <cdr:txBody>
        <a:bodyPr xmlns:a="http://schemas.openxmlformats.org/drawingml/2006/main" wrap="square" lIns="0" tIns="9144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rtl="0">
            <a:defRPr sz="2000" b="1" i="0" u="none" strike="noStrike" kern="1200" spc="0" baseline="0">
              <a:solidFill>
                <a:srgbClr val="242852"/>
              </a:solidFill>
              <a:latin typeface="Helvetica" pitchFamily="2" charset="0"/>
              <a:ea typeface="+mn-ea"/>
              <a:cs typeface="+mn-cs"/>
            </a:defRPr>
          </a:pPr>
          <a:r>
            <a:rPr lang="en-US" sz="2400" b="1" i="0">
              <a:solidFill>
                <a:schemeClr val="accent1"/>
              </a:solidFill>
              <a:latin typeface="Helvetica" pitchFamily="2" charset="0"/>
            </a:rPr>
            <a:t>Doubling Time</a:t>
          </a:r>
          <a:r>
            <a:rPr lang="en-US" sz="2400" b="1" i="0" baseline="0">
              <a:solidFill>
                <a:schemeClr val="accent1"/>
              </a:solidFill>
              <a:latin typeface="Helvetica" pitchFamily="2" charset="0"/>
            </a:rPr>
            <a:t> of Confirmed COVID-19 Cases</a:t>
          </a:r>
          <a:endParaRPr lang="en-US" sz="2400">
            <a:solidFill>
              <a:schemeClr val="accent1"/>
            </a:solidFill>
            <a:latin typeface="Helvetica" pitchFamily="2" charset="0"/>
          </a:endParaRPr>
        </a:p>
      </cdr:txBody>
    </cdr:sp>
  </cdr:relSizeAnchor>
  <cdr:relSizeAnchor xmlns:cdr="http://schemas.openxmlformats.org/drawingml/2006/chartDrawing">
    <cdr:from>
      <cdr:x>0</cdr:x>
      <cdr:y>0.94925</cdr:y>
    </cdr:from>
    <cdr:to>
      <cdr:x>0.99859</cdr:x>
      <cdr:y>1</cdr:y>
    </cdr:to>
    <cdr:sp macro="" textlink="">
      <cdr:nvSpPr>
        <cdr:cNvPr id="18" name="Rectangle 17">
          <a:extLst xmlns:a="http://schemas.openxmlformats.org/drawingml/2006/main">
            <a:ext uri="{FF2B5EF4-FFF2-40B4-BE49-F238E27FC236}">
              <a16:creationId xmlns:a16="http://schemas.microsoft.com/office/drawing/2014/main" id="{C22568FA-7A10-8B48-8604-354E123DFD15}"/>
            </a:ext>
          </a:extLst>
        </cdr:cNvPr>
        <cdr:cNvSpPr/>
      </cdr:nvSpPr>
      <cdr:spPr>
        <a:xfrm xmlns:a="http://schemas.openxmlformats.org/drawingml/2006/main">
          <a:off x="0" y="7112730"/>
          <a:ext cx="7482435" cy="380270"/>
        </a:xfrm>
        <a:prstGeom xmlns:a="http://schemas.openxmlformats.org/drawingml/2006/main" prst="rect">
          <a:avLst/>
        </a:prstGeom>
        <a:solidFill xmlns:a="http://schemas.openxmlformats.org/drawingml/2006/main">
          <a:srgbClr val="337CBD"/>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0.91339</cdr:x>
      <cdr:y>0.95922</cdr:y>
    </cdr:from>
    <cdr:to>
      <cdr:x>0.9435</cdr:x>
      <cdr:y>0.98869</cdr:y>
    </cdr:to>
    <cdr:pic>
      <cdr:nvPicPr>
        <cdr:cNvPr id="19" name="Picture 18">
          <a:extLst xmlns:a="http://schemas.openxmlformats.org/drawingml/2006/main">
            <a:ext uri="{FF2B5EF4-FFF2-40B4-BE49-F238E27FC236}">
              <a16:creationId xmlns:a16="http://schemas.microsoft.com/office/drawing/2014/main" id="{0F6EEC7E-1E73-0541-99B0-5919D900E384}"/>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6844029" y="7187435"/>
          <a:ext cx="225614" cy="220819"/>
        </a:xfrm>
        <a:prstGeom xmlns:a="http://schemas.openxmlformats.org/drawingml/2006/main" prst="rect">
          <a:avLst/>
        </a:prstGeom>
      </cdr:spPr>
    </cdr:pic>
  </cdr:relSizeAnchor>
  <cdr:relSizeAnchor xmlns:cdr="http://schemas.openxmlformats.org/drawingml/2006/chartDrawing">
    <cdr:from>
      <cdr:x>0.946</cdr:x>
      <cdr:y>0.95535</cdr:y>
    </cdr:from>
    <cdr:to>
      <cdr:x>0.98411</cdr:x>
      <cdr:y>0.9929</cdr:y>
    </cdr:to>
    <cdr:pic>
      <cdr:nvPicPr>
        <cdr:cNvPr id="20" name="Picture 19">
          <a:extLst xmlns:a="http://schemas.openxmlformats.org/drawingml/2006/main">
            <a:ext uri="{FF2B5EF4-FFF2-40B4-BE49-F238E27FC236}">
              <a16:creationId xmlns:a16="http://schemas.microsoft.com/office/drawing/2014/main" id="{A872D5D8-010A-AB48-A4D5-0CE4EBBE4AEF}"/>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cstate="print">
          <a:extLst>
            <a:ext uri="{28A0092B-C50C-407E-A947-70E740481C1C}">
              <a14:useLocalDpi xmlns:a14="http://schemas.microsoft.com/office/drawing/2010/main" val="0"/>
            </a:ext>
          </a:extLst>
        </a:blip>
        <a:srcRect xmlns:a="http://schemas.openxmlformats.org/drawingml/2006/main"/>
        <a:stretch xmlns:a="http://schemas.openxmlformats.org/drawingml/2006/main"/>
      </cdr:blipFill>
      <cdr:spPr>
        <a:xfrm xmlns:a="http://schemas.openxmlformats.org/drawingml/2006/main">
          <a:off x="7088376" y="7158438"/>
          <a:ext cx="285558" cy="281362"/>
        </a:xfrm>
        <a:prstGeom xmlns:a="http://schemas.openxmlformats.org/drawingml/2006/main" prst="rect">
          <a:avLst/>
        </a:prstGeom>
      </cdr:spPr>
    </cdr:pic>
  </cdr:relSizeAnchor>
  <cdr:relSizeAnchor xmlns:cdr="http://schemas.openxmlformats.org/drawingml/2006/chartDrawing">
    <cdr:from>
      <cdr:x>0.57548</cdr:x>
      <cdr:y>0.95788</cdr:y>
    </cdr:from>
    <cdr:to>
      <cdr:x>0.90246</cdr:x>
      <cdr:y>0.99864</cdr:y>
    </cdr:to>
    <cdr:sp macro="" textlink="">
      <cdr:nvSpPr>
        <cdr:cNvPr id="21" name="TextBox 3">
          <a:extLst xmlns:a="http://schemas.openxmlformats.org/drawingml/2006/main">
            <a:ext uri="{FF2B5EF4-FFF2-40B4-BE49-F238E27FC236}">
              <a16:creationId xmlns:a16="http://schemas.microsoft.com/office/drawing/2014/main" id="{A29125F4-D1F4-B247-B8F3-148D146D3EB1}"/>
            </a:ext>
          </a:extLst>
        </cdr:cNvPr>
        <cdr:cNvSpPr txBox="1"/>
      </cdr:nvSpPr>
      <cdr:spPr>
        <a:xfrm xmlns:a="http://schemas.openxmlformats.org/drawingml/2006/main">
          <a:off x="4312055" y="7177395"/>
          <a:ext cx="2450076" cy="305414"/>
        </a:xfrm>
        <a:prstGeom xmlns:a="http://schemas.openxmlformats.org/drawingml/2006/main" prst="rect">
          <a:avLst/>
        </a:prstGeom>
        <a:noFill xmlns:a="http://schemas.openxmlformats.org/drawingml/2006/main"/>
      </cdr:spPr>
      <cdr:txBody>
        <a:bodyPr xmlns:a="http://schemas.openxmlformats.org/drawingml/2006/main" wrap="square" r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algn="r" defTabSz="914400" eaLnBrk="1" fontAlgn="auto" latinLnBrk="0" hangingPunct="1">
            <a:lnSpc>
              <a:spcPct val="100000"/>
            </a:lnSpc>
            <a:spcBef>
              <a:spcPts val="0"/>
            </a:spcBef>
            <a:spcAft>
              <a:spcPts val="0"/>
            </a:spcAft>
            <a:buClrTx/>
            <a:buSzTx/>
            <a:buFontTx/>
            <a:buNone/>
            <a:tabLst/>
            <a:defRPr/>
          </a:pPr>
          <a:r>
            <a:rPr lang="en-US" sz="1200" b="1">
              <a:solidFill>
                <a:srgbClr val="CCCCFF"/>
              </a:solidFill>
              <a:latin typeface="Helvetica" pitchFamily="2" charset="0"/>
            </a:rPr>
            <a:t>daily updates</a:t>
          </a:r>
          <a:r>
            <a:rPr lang="en-US" sz="1200" b="1">
              <a:solidFill>
                <a:schemeClr val="bg1"/>
              </a:solidFill>
              <a:latin typeface="Helvetica" pitchFamily="2" charset="0"/>
            </a:rPr>
            <a:t> @BeachAnalytics</a:t>
          </a:r>
          <a:endParaRPr lang="en-US" sz="1200" b="1">
            <a:solidFill>
              <a:schemeClr val="bg1"/>
            </a:solidFill>
          </a:endParaRPr>
        </a:p>
      </cdr:txBody>
    </cdr:sp>
  </cdr:relSizeAnchor>
  <cdr:relSizeAnchor xmlns:cdr="http://schemas.openxmlformats.org/drawingml/2006/chartDrawing">
    <cdr:from>
      <cdr:x>0.25748</cdr:x>
      <cdr:y>0.95787</cdr:y>
    </cdr:from>
    <cdr:to>
      <cdr:x>0.57548</cdr:x>
      <cdr:y>0.99665</cdr:y>
    </cdr:to>
    <cdr:sp macro="" textlink="">
      <cdr:nvSpPr>
        <cdr:cNvPr id="22" name="TextBox 1">
          <a:extLst xmlns:a="http://schemas.openxmlformats.org/drawingml/2006/main">
            <a:ext uri="{FF2B5EF4-FFF2-40B4-BE49-F238E27FC236}">
              <a16:creationId xmlns:a16="http://schemas.microsoft.com/office/drawing/2014/main" id="{8BC1877F-1D3A-D344-B98F-F9C9C795F40C}"/>
            </a:ext>
          </a:extLst>
        </cdr:cNvPr>
        <cdr:cNvSpPr txBox="1"/>
      </cdr:nvSpPr>
      <cdr:spPr>
        <a:xfrm xmlns:a="http://schemas.openxmlformats.org/drawingml/2006/main">
          <a:off x="1929304" y="7177319"/>
          <a:ext cx="2382750" cy="290580"/>
        </a:xfrm>
        <a:prstGeom xmlns:a="http://schemas.openxmlformats.org/drawingml/2006/main" prst="rect">
          <a:avLst/>
        </a:prstGeom>
        <a:noFill xmlns:a="http://schemas.openxmlformats.org/drawingml/2006/main"/>
      </cdr:spPr>
      <cdr:txBody>
        <a:bodyPr xmlns:a="http://schemas.openxmlformats.org/drawingml/2006/main" wrap="square" lIns="182880" bIns="9144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b="1" i="0" u="none" strike="noStrike">
              <a:solidFill>
                <a:schemeClr val="bg1"/>
              </a:solidFill>
              <a:latin typeface="Helvetica"/>
            </a:rPr>
            <a:t>https://</a:t>
          </a:r>
          <a:r>
            <a:rPr lang="en-US" sz="1200" b="1" i="0" u="none" strike="noStrike">
              <a:solidFill>
                <a:srgbClr val="CCCCFF"/>
              </a:solidFill>
              <a:latin typeface="Helvetica"/>
            </a:rPr>
            <a:t>Beach</a:t>
          </a:r>
          <a:r>
            <a:rPr lang="en-US" sz="1200" b="1" i="0" u="none" strike="noStrike">
              <a:solidFill>
                <a:schemeClr val="bg1"/>
              </a:solidFill>
              <a:latin typeface="Helvetica"/>
            </a:rPr>
            <a:t>Analytics.info</a:t>
          </a:r>
          <a:endParaRPr lang="en-US" sz="1100" b="1">
            <a:solidFill>
              <a:schemeClr val="bg1"/>
            </a:solidFill>
          </a:endParaRPr>
        </a:p>
      </cdr:txBody>
    </cdr:sp>
  </cdr:relSizeAnchor>
  <cdr:relSizeAnchor xmlns:cdr="http://schemas.openxmlformats.org/drawingml/2006/chartDrawing">
    <cdr:from>
      <cdr:x>0.03562</cdr:x>
      <cdr:y>0.95934</cdr:y>
    </cdr:from>
    <cdr:to>
      <cdr:x>0.2398</cdr:x>
      <cdr:y>0.98771</cdr:y>
    </cdr:to>
    <cdr:pic>
      <cdr:nvPicPr>
        <cdr:cNvPr id="23" name="Picture 22">
          <a:extLst xmlns:a="http://schemas.openxmlformats.org/drawingml/2006/main">
            <a:ext uri="{FF2B5EF4-FFF2-40B4-BE49-F238E27FC236}">
              <a16:creationId xmlns:a16="http://schemas.microsoft.com/office/drawing/2014/main" id="{2912BAF4-DC51-CB41-9D9C-B467385EAB79}"/>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extLst>
            <a:ext uri="{28A0092B-C50C-407E-A947-70E740481C1C}">
              <a14:useLocalDpi xmlns:a14="http://schemas.microsoft.com/office/drawing/2010/main" val="0"/>
            </a:ext>
          </a:extLst>
        </a:blip>
        <a:srcRect xmlns:a="http://schemas.openxmlformats.org/drawingml/2006/main"/>
        <a:stretch xmlns:a="http://schemas.openxmlformats.org/drawingml/2006/main"/>
      </cdr:blipFill>
      <cdr:spPr>
        <a:xfrm xmlns:a="http://schemas.openxmlformats.org/drawingml/2006/main">
          <a:off x="266898" y="7188333"/>
          <a:ext cx="1529921" cy="212578"/>
        </a:xfrm>
        <a:prstGeom xmlns:a="http://schemas.openxmlformats.org/drawingml/2006/main" prst="rect">
          <a:avLst/>
        </a:prstGeom>
      </cdr:spPr>
    </cdr:pic>
  </cdr:relSizeAnchor>
</c:userShapes>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9</xdr:col>
      <xdr:colOff>63500</xdr:colOff>
      <xdr:row>36</xdr:row>
      <xdr:rowOff>177800</xdr:rowOff>
    </xdr:to>
    <xdr:graphicFrame macro="">
      <xdr:nvGraphicFramePr>
        <xdr:cNvPr id="2" name="Chart 1">
          <a:extLst>
            <a:ext uri="{FF2B5EF4-FFF2-40B4-BE49-F238E27FC236}">
              <a16:creationId xmlns:a16="http://schemas.microsoft.com/office/drawing/2014/main" id="{4CE3B9B0-3433-2A43-A939-51D78C203FCD}"/>
            </a:ext>
            <a:ext uri="{C183D7F6-B498-43B3-948B-1728B52AA6E4}">
              <adec:decorative xmlns:adec="http://schemas.microsoft.com/office/drawing/2017/decorative" val="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c:userShapes xmlns:c="http://schemas.openxmlformats.org/drawingml/2006/chart">
  <cdr:relSizeAnchor xmlns:cdr="http://schemas.openxmlformats.org/drawingml/2006/chartDrawing">
    <cdr:from>
      <cdr:x>0.13898</cdr:x>
      <cdr:y>0.12203</cdr:y>
    </cdr:from>
    <cdr:to>
      <cdr:x>0.61864</cdr:x>
      <cdr:y>0.31525</cdr:y>
    </cdr:to>
    <cdr:sp macro="" textlink="">
      <cdr:nvSpPr>
        <cdr:cNvPr id="5" name="TextBox 4">
          <a:extLst xmlns:a="http://schemas.openxmlformats.org/drawingml/2006/main">
            <a:ext uri="{FF2B5EF4-FFF2-40B4-BE49-F238E27FC236}">
              <a16:creationId xmlns:a16="http://schemas.microsoft.com/office/drawing/2014/main" id="{0FACEC6B-C4C5-3E47-91AE-E9058A2F8EE6}"/>
            </a:ext>
          </a:extLst>
        </cdr:cNvPr>
        <cdr:cNvSpPr txBox="1"/>
      </cdr:nvSpPr>
      <cdr:spPr>
        <a:xfrm xmlns:a="http://schemas.openxmlformats.org/drawingml/2006/main">
          <a:off x="1041400" y="914400"/>
          <a:ext cx="3594100" cy="14478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0.23898</cdr:x>
      <cdr:y>0.21017</cdr:y>
    </cdr:from>
    <cdr:to>
      <cdr:x>0.56441</cdr:x>
      <cdr:y>0.38984</cdr:y>
    </cdr:to>
    <cdr:sp macro="" textlink="compute!$V$41">
      <cdr:nvSpPr>
        <cdr:cNvPr id="20" name="TextBox 1">
          <a:extLst xmlns:a="http://schemas.openxmlformats.org/drawingml/2006/main">
            <a:ext uri="{FF2B5EF4-FFF2-40B4-BE49-F238E27FC236}">
              <a16:creationId xmlns:a16="http://schemas.microsoft.com/office/drawing/2014/main" id="{DF3BFB61-C5E4-624F-9591-5EF8EC0509E9}"/>
            </a:ext>
          </a:extLst>
        </cdr:cNvPr>
        <cdr:cNvSpPr txBox="1"/>
      </cdr:nvSpPr>
      <cdr:spPr>
        <a:xfrm xmlns:a="http://schemas.openxmlformats.org/drawingml/2006/main">
          <a:off x="1790680" y="1574768"/>
          <a:ext cx="2438447" cy="1346268"/>
        </a:xfrm>
        <a:prstGeom xmlns:a="http://schemas.openxmlformats.org/drawingml/2006/main" prst="roundRect">
          <a:avLst>
            <a:gd name="adj" fmla="val 7178"/>
          </a:avLst>
        </a:prstGeom>
        <a:solidFill xmlns:a="http://schemas.openxmlformats.org/drawingml/2006/main">
          <a:schemeClr val="accent3"/>
        </a:solidFill>
      </cdr:spPr>
      <cdr:txBody>
        <a:bodyPr xmlns:a="http://schemas.openxmlformats.org/drawingml/2006/main" wrap="square" tIns="91440" rIns="91440" bIns="9144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fld id="{F7E67BFC-B66B-6E47-A8B5-B0078C99A391}" type="TxLink">
            <a:rPr lang="en-US" sz="1800" b="0" i="0" u="none" strike="noStrike">
              <a:solidFill>
                <a:schemeClr val="bg1"/>
              </a:solidFill>
              <a:latin typeface="Helvetica"/>
            </a:rPr>
            <a:pPr marL="0" marR="0" lvl="0" indent="0" defTabSz="914400" eaLnBrk="1" fontAlgn="auto" latinLnBrk="0" hangingPunct="1">
              <a:lnSpc>
                <a:spcPct val="100000"/>
              </a:lnSpc>
              <a:spcBef>
                <a:spcPts val="0"/>
              </a:spcBef>
              <a:spcAft>
                <a:spcPts val="0"/>
              </a:spcAft>
              <a:buClrTx/>
              <a:buSzTx/>
              <a:buFontTx/>
              <a:buNone/>
              <a:tabLst/>
              <a:defRPr/>
            </a:pPr>
            <a:t>Around 5,000 people in Miami Beach may have already been infected with the SARS-CoV-2 virus.</a:t>
          </a:fld>
          <a:endParaRPr lang="en-US" sz="1800" b="0" i="0" u="none" strike="noStrike">
            <a:solidFill>
              <a:schemeClr val="bg1"/>
            </a:solidFill>
            <a:effectLst/>
            <a:latin typeface="Helvetica" pitchFamily="2" charset="0"/>
            <a:ea typeface="+mn-ea"/>
            <a:cs typeface="+mn-cs"/>
          </a:endParaRPr>
        </a:p>
      </cdr:txBody>
    </cdr:sp>
  </cdr:relSizeAnchor>
  <cdr:relSizeAnchor xmlns:cdr="http://schemas.openxmlformats.org/drawingml/2006/chartDrawing">
    <cdr:from>
      <cdr:x>0.00339</cdr:x>
      <cdr:y>0.08475</cdr:y>
    </cdr:from>
    <cdr:to>
      <cdr:x>1</cdr:x>
      <cdr:y>0.14237</cdr:y>
    </cdr:to>
    <cdr:sp macro="" textlink="">
      <cdr:nvSpPr>
        <cdr:cNvPr id="28" name="TextBox 1">
          <a:extLst xmlns:a="http://schemas.openxmlformats.org/drawingml/2006/main">
            <a:ext uri="{FF2B5EF4-FFF2-40B4-BE49-F238E27FC236}">
              <a16:creationId xmlns:a16="http://schemas.microsoft.com/office/drawing/2014/main" id="{6DCF0B85-7E03-E544-9590-CF36BA5F8589}"/>
            </a:ext>
          </a:extLst>
        </cdr:cNvPr>
        <cdr:cNvSpPr txBox="1"/>
      </cdr:nvSpPr>
      <cdr:spPr>
        <a:xfrm xmlns:a="http://schemas.openxmlformats.org/drawingml/2006/main">
          <a:off x="88900" y="635000"/>
          <a:ext cx="7467600" cy="43180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1.06685E-16</cdr:x>
      <cdr:y>0.09196</cdr:y>
    </cdr:from>
    <cdr:to>
      <cdr:x>1</cdr:x>
      <cdr:y>0.12834</cdr:y>
    </cdr:to>
    <cdr:sp macro="" textlink="compute!$V$35">
      <cdr:nvSpPr>
        <cdr:cNvPr id="11" name="TextBox 1">
          <a:extLst xmlns:a="http://schemas.openxmlformats.org/drawingml/2006/main">
            <a:ext uri="{FF2B5EF4-FFF2-40B4-BE49-F238E27FC236}">
              <a16:creationId xmlns:a16="http://schemas.microsoft.com/office/drawing/2014/main" id="{CFAEF1B1-7D13-8746-B6A9-1380EFB2E24F}"/>
            </a:ext>
          </a:extLst>
        </cdr:cNvPr>
        <cdr:cNvSpPr txBox="1"/>
      </cdr:nvSpPr>
      <cdr:spPr>
        <a:xfrm xmlns:a="http://schemas.openxmlformats.org/drawingml/2006/main">
          <a:off x="50800" y="689051"/>
          <a:ext cx="7493000" cy="272580"/>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520E7F81-CDC0-E34A-8050-C1E24C8BE304}" type="TxLink">
            <a:rPr lang="en-US" sz="2000" b="1" i="0" u="none" strike="noStrike">
              <a:solidFill>
                <a:schemeClr val="accent1"/>
              </a:solidFill>
              <a:effectLst/>
              <a:latin typeface="Helvetica"/>
              <a:ea typeface="+mn-ea"/>
              <a:cs typeface="+mn-cs"/>
            </a:rPr>
            <a:pPr algn="ctr"/>
            <a:t>updated April 21, 2020, evening</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1.06685E-16</cdr:x>
      <cdr:y>0.05759</cdr:y>
    </cdr:from>
    <cdr:to>
      <cdr:x>1</cdr:x>
      <cdr:y>0.08756</cdr:y>
    </cdr:to>
    <cdr:sp macro="" textlink="compute!$B$1">
      <cdr:nvSpPr>
        <cdr:cNvPr id="12" name="TextBox 1">
          <a:extLst xmlns:a="http://schemas.openxmlformats.org/drawingml/2006/main">
            <a:ext uri="{FF2B5EF4-FFF2-40B4-BE49-F238E27FC236}">
              <a16:creationId xmlns:a16="http://schemas.microsoft.com/office/drawing/2014/main" id="{A37B7B9D-4E50-CB4B-8C22-EE02751A9A35}"/>
            </a:ext>
          </a:extLst>
        </cdr:cNvPr>
        <cdr:cNvSpPr txBox="1"/>
      </cdr:nvSpPr>
      <cdr:spPr>
        <a:xfrm xmlns:a="http://schemas.openxmlformats.org/drawingml/2006/main">
          <a:off x="50800" y="431531"/>
          <a:ext cx="7493000" cy="224567"/>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AA3ECD69-B29B-E44D-9883-A0283520E74B}" type="TxLink">
            <a:rPr lang="en-US" sz="2000" b="1" i="0" u="none" strike="noStrike">
              <a:solidFill>
                <a:schemeClr val="accent1"/>
              </a:solidFill>
              <a:effectLst/>
              <a:latin typeface="Helvetica"/>
              <a:ea typeface="+mn-ea"/>
              <a:cs typeface="+mn-cs"/>
            </a:rPr>
            <a:pPr algn="ctr"/>
            <a:t>Miami Beach</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1.06685E-16</cdr:x>
      <cdr:y>0.00678</cdr:y>
    </cdr:from>
    <cdr:to>
      <cdr:x>1</cdr:x>
      <cdr:y>0.06623</cdr:y>
    </cdr:to>
    <cdr:sp macro="" textlink="">
      <cdr:nvSpPr>
        <cdr:cNvPr id="13" name="TextBox 2">
          <a:extLst xmlns:a="http://schemas.openxmlformats.org/drawingml/2006/main">
            <a:ext uri="{FF2B5EF4-FFF2-40B4-BE49-F238E27FC236}">
              <a16:creationId xmlns:a16="http://schemas.microsoft.com/office/drawing/2014/main" id="{1EEBCDB5-E000-5440-B8B4-BD967A485427}"/>
            </a:ext>
          </a:extLst>
        </cdr:cNvPr>
        <cdr:cNvSpPr txBox="1"/>
      </cdr:nvSpPr>
      <cdr:spPr>
        <a:xfrm xmlns:a="http://schemas.openxmlformats.org/drawingml/2006/main">
          <a:off x="50800" y="50800"/>
          <a:ext cx="7493000" cy="445433"/>
        </a:xfrm>
        <a:prstGeom xmlns:a="http://schemas.openxmlformats.org/drawingml/2006/main" prst="rect">
          <a:avLst/>
        </a:prstGeom>
      </cdr:spPr>
      <cdr:txBody>
        <a:bodyPr xmlns:a="http://schemas.openxmlformats.org/drawingml/2006/main" wrap="square" lIns="0" tIns="9144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rtl="0">
            <a:defRPr sz="2000" b="1" i="0" u="none" strike="noStrike" kern="1200" spc="0" baseline="0">
              <a:solidFill>
                <a:srgbClr val="242852"/>
              </a:solidFill>
              <a:latin typeface="Helvetica" pitchFamily="2" charset="0"/>
              <a:ea typeface="+mn-ea"/>
              <a:cs typeface="+mn-cs"/>
            </a:defRPr>
          </a:pPr>
          <a:r>
            <a:rPr lang="en-US" sz="2400" b="1" i="0">
              <a:solidFill>
                <a:schemeClr val="accent1"/>
              </a:solidFill>
              <a:latin typeface="Helvetica" pitchFamily="2" charset="0"/>
            </a:rPr>
            <a:t>Estimated Number</a:t>
          </a:r>
          <a:r>
            <a:rPr lang="en-US" sz="2400" b="1" i="0" baseline="0">
              <a:solidFill>
                <a:schemeClr val="accent1"/>
              </a:solidFill>
              <a:latin typeface="Helvetica" pitchFamily="2" charset="0"/>
            </a:rPr>
            <a:t> of SARS-CoV-2 Infections</a:t>
          </a:r>
          <a:endParaRPr lang="en-US" sz="2400">
            <a:solidFill>
              <a:schemeClr val="accent1"/>
            </a:solidFill>
            <a:latin typeface="Helvetica" pitchFamily="2" charset="0"/>
          </a:endParaRPr>
        </a:p>
      </cdr:txBody>
    </cdr:sp>
  </cdr:relSizeAnchor>
  <cdr:relSizeAnchor xmlns:cdr="http://schemas.openxmlformats.org/drawingml/2006/chartDrawing">
    <cdr:from>
      <cdr:x>0</cdr:x>
      <cdr:y>0.94925</cdr:y>
    </cdr:from>
    <cdr:to>
      <cdr:x>0.99859</cdr:x>
      <cdr:y>1</cdr:y>
    </cdr:to>
    <cdr:sp macro="" textlink="">
      <cdr:nvSpPr>
        <cdr:cNvPr id="14" name="Rectangle 13">
          <a:extLst xmlns:a="http://schemas.openxmlformats.org/drawingml/2006/main">
            <a:ext uri="{FF2B5EF4-FFF2-40B4-BE49-F238E27FC236}">
              <a16:creationId xmlns:a16="http://schemas.microsoft.com/office/drawing/2014/main" id="{C22568FA-7A10-8B48-8604-354E123DFD15}"/>
            </a:ext>
          </a:extLst>
        </cdr:cNvPr>
        <cdr:cNvSpPr/>
      </cdr:nvSpPr>
      <cdr:spPr>
        <a:xfrm xmlns:a="http://schemas.openxmlformats.org/drawingml/2006/main">
          <a:off x="0" y="7112730"/>
          <a:ext cx="7482435" cy="380270"/>
        </a:xfrm>
        <a:prstGeom xmlns:a="http://schemas.openxmlformats.org/drawingml/2006/main" prst="rect">
          <a:avLst/>
        </a:prstGeom>
        <a:solidFill xmlns:a="http://schemas.openxmlformats.org/drawingml/2006/main">
          <a:srgbClr val="337CBD"/>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0.91339</cdr:x>
      <cdr:y>0.95922</cdr:y>
    </cdr:from>
    <cdr:to>
      <cdr:x>0.9435</cdr:x>
      <cdr:y>0.98869</cdr:y>
    </cdr:to>
    <cdr:pic>
      <cdr:nvPicPr>
        <cdr:cNvPr id="15" name="Picture 14">
          <a:extLst xmlns:a="http://schemas.openxmlformats.org/drawingml/2006/main">
            <a:ext uri="{FF2B5EF4-FFF2-40B4-BE49-F238E27FC236}">
              <a16:creationId xmlns:a16="http://schemas.microsoft.com/office/drawing/2014/main" id="{0F6EEC7E-1E73-0541-99B0-5919D900E384}"/>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6844029" y="7187435"/>
          <a:ext cx="225614" cy="220819"/>
        </a:xfrm>
        <a:prstGeom xmlns:a="http://schemas.openxmlformats.org/drawingml/2006/main" prst="rect">
          <a:avLst/>
        </a:prstGeom>
      </cdr:spPr>
    </cdr:pic>
  </cdr:relSizeAnchor>
  <cdr:relSizeAnchor xmlns:cdr="http://schemas.openxmlformats.org/drawingml/2006/chartDrawing">
    <cdr:from>
      <cdr:x>0.946</cdr:x>
      <cdr:y>0.95535</cdr:y>
    </cdr:from>
    <cdr:to>
      <cdr:x>0.98411</cdr:x>
      <cdr:y>0.9929</cdr:y>
    </cdr:to>
    <cdr:pic>
      <cdr:nvPicPr>
        <cdr:cNvPr id="16" name="Picture 15">
          <a:extLst xmlns:a="http://schemas.openxmlformats.org/drawingml/2006/main">
            <a:ext uri="{FF2B5EF4-FFF2-40B4-BE49-F238E27FC236}">
              <a16:creationId xmlns:a16="http://schemas.microsoft.com/office/drawing/2014/main" id="{A872D5D8-010A-AB48-A4D5-0CE4EBBE4AEF}"/>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cstate="print">
          <a:extLst>
            <a:ext uri="{28A0092B-C50C-407E-A947-70E740481C1C}">
              <a14:useLocalDpi xmlns:a14="http://schemas.microsoft.com/office/drawing/2010/main" val="0"/>
            </a:ext>
          </a:extLst>
        </a:blip>
        <a:srcRect xmlns:a="http://schemas.openxmlformats.org/drawingml/2006/main"/>
        <a:stretch xmlns:a="http://schemas.openxmlformats.org/drawingml/2006/main"/>
      </cdr:blipFill>
      <cdr:spPr>
        <a:xfrm xmlns:a="http://schemas.openxmlformats.org/drawingml/2006/main">
          <a:off x="7088376" y="7158438"/>
          <a:ext cx="285558" cy="281362"/>
        </a:xfrm>
        <a:prstGeom xmlns:a="http://schemas.openxmlformats.org/drawingml/2006/main" prst="rect">
          <a:avLst/>
        </a:prstGeom>
      </cdr:spPr>
    </cdr:pic>
  </cdr:relSizeAnchor>
  <cdr:relSizeAnchor xmlns:cdr="http://schemas.openxmlformats.org/drawingml/2006/chartDrawing">
    <cdr:from>
      <cdr:x>0.57548</cdr:x>
      <cdr:y>0.95788</cdr:y>
    </cdr:from>
    <cdr:to>
      <cdr:x>0.90246</cdr:x>
      <cdr:y>0.99864</cdr:y>
    </cdr:to>
    <cdr:sp macro="" textlink="">
      <cdr:nvSpPr>
        <cdr:cNvPr id="17" name="TextBox 3">
          <a:extLst xmlns:a="http://schemas.openxmlformats.org/drawingml/2006/main">
            <a:ext uri="{FF2B5EF4-FFF2-40B4-BE49-F238E27FC236}">
              <a16:creationId xmlns:a16="http://schemas.microsoft.com/office/drawing/2014/main" id="{A29125F4-D1F4-B247-B8F3-148D146D3EB1}"/>
            </a:ext>
          </a:extLst>
        </cdr:cNvPr>
        <cdr:cNvSpPr txBox="1"/>
      </cdr:nvSpPr>
      <cdr:spPr>
        <a:xfrm xmlns:a="http://schemas.openxmlformats.org/drawingml/2006/main">
          <a:off x="4312055" y="7177395"/>
          <a:ext cx="2450076" cy="305414"/>
        </a:xfrm>
        <a:prstGeom xmlns:a="http://schemas.openxmlformats.org/drawingml/2006/main" prst="rect">
          <a:avLst/>
        </a:prstGeom>
        <a:noFill xmlns:a="http://schemas.openxmlformats.org/drawingml/2006/main"/>
      </cdr:spPr>
      <cdr:txBody>
        <a:bodyPr xmlns:a="http://schemas.openxmlformats.org/drawingml/2006/main" wrap="square" r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algn="r" defTabSz="914400" eaLnBrk="1" fontAlgn="auto" latinLnBrk="0" hangingPunct="1">
            <a:lnSpc>
              <a:spcPct val="100000"/>
            </a:lnSpc>
            <a:spcBef>
              <a:spcPts val="0"/>
            </a:spcBef>
            <a:spcAft>
              <a:spcPts val="0"/>
            </a:spcAft>
            <a:buClrTx/>
            <a:buSzTx/>
            <a:buFontTx/>
            <a:buNone/>
            <a:tabLst/>
            <a:defRPr/>
          </a:pPr>
          <a:r>
            <a:rPr lang="en-US" sz="1200" b="1">
              <a:solidFill>
                <a:srgbClr val="CCCCFF"/>
              </a:solidFill>
              <a:latin typeface="Helvetica" pitchFamily="2" charset="0"/>
            </a:rPr>
            <a:t>daily updates</a:t>
          </a:r>
          <a:r>
            <a:rPr lang="en-US" sz="1200" b="1">
              <a:solidFill>
                <a:schemeClr val="bg1"/>
              </a:solidFill>
              <a:latin typeface="Helvetica" pitchFamily="2" charset="0"/>
            </a:rPr>
            <a:t> @BeachAnalytics</a:t>
          </a:r>
          <a:endParaRPr lang="en-US" sz="1200" b="1">
            <a:solidFill>
              <a:schemeClr val="bg1"/>
            </a:solidFill>
          </a:endParaRPr>
        </a:p>
      </cdr:txBody>
    </cdr:sp>
  </cdr:relSizeAnchor>
  <cdr:relSizeAnchor xmlns:cdr="http://schemas.openxmlformats.org/drawingml/2006/chartDrawing">
    <cdr:from>
      <cdr:x>0.25748</cdr:x>
      <cdr:y>0.95787</cdr:y>
    </cdr:from>
    <cdr:to>
      <cdr:x>0.57548</cdr:x>
      <cdr:y>0.99665</cdr:y>
    </cdr:to>
    <cdr:sp macro="" textlink="">
      <cdr:nvSpPr>
        <cdr:cNvPr id="18" name="TextBox 1">
          <a:extLst xmlns:a="http://schemas.openxmlformats.org/drawingml/2006/main">
            <a:ext uri="{FF2B5EF4-FFF2-40B4-BE49-F238E27FC236}">
              <a16:creationId xmlns:a16="http://schemas.microsoft.com/office/drawing/2014/main" id="{8BC1877F-1D3A-D344-B98F-F9C9C795F40C}"/>
            </a:ext>
          </a:extLst>
        </cdr:cNvPr>
        <cdr:cNvSpPr txBox="1"/>
      </cdr:nvSpPr>
      <cdr:spPr>
        <a:xfrm xmlns:a="http://schemas.openxmlformats.org/drawingml/2006/main">
          <a:off x="1929304" y="7177319"/>
          <a:ext cx="2382750" cy="290580"/>
        </a:xfrm>
        <a:prstGeom xmlns:a="http://schemas.openxmlformats.org/drawingml/2006/main" prst="rect">
          <a:avLst/>
        </a:prstGeom>
        <a:noFill xmlns:a="http://schemas.openxmlformats.org/drawingml/2006/main"/>
      </cdr:spPr>
      <cdr:txBody>
        <a:bodyPr xmlns:a="http://schemas.openxmlformats.org/drawingml/2006/main" wrap="square" lIns="182880" bIns="9144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b="1" i="0" u="none" strike="noStrike">
              <a:solidFill>
                <a:schemeClr val="bg1"/>
              </a:solidFill>
              <a:latin typeface="Helvetica"/>
            </a:rPr>
            <a:t>https://</a:t>
          </a:r>
          <a:r>
            <a:rPr lang="en-US" sz="1200" b="1" i="0" u="none" strike="noStrike">
              <a:solidFill>
                <a:srgbClr val="CCCCFF"/>
              </a:solidFill>
              <a:latin typeface="Helvetica"/>
            </a:rPr>
            <a:t>Beach</a:t>
          </a:r>
          <a:r>
            <a:rPr lang="en-US" sz="1200" b="1" i="0" u="none" strike="noStrike">
              <a:solidFill>
                <a:schemeClr val="bg1"/>
              </a:solidFill>
              <a:latin typeface="Helvetica"/>
            </a:rPr>
            <a:t>Analytics.info</a:t>
          </a:r>
          <a:endParaRPr lang="en-US" sz="1100" b="1">
            <a:solidFill>
              <a:schemeClr val="bg1"/>
            </a:solidFill>
          </a:endParaRPr>
        </a:p>
      </cdr:txBody>
    </cdr:sp>
  </cdr:relSizeAnchor>
  <cdr:relSizeAnchor xmlns:cdr="http://schemas.openxmlformats.org/drawingml/2006/chartDrawing">
    <cdr:from>
      <cdr:x>0.03562</cdr:x>
      <cdr:y>0.95934</cdr:y>
    </cdr:from>
    <cdr:to>
      <cdr:x>0.2398</cdr:x>
      <cdr:y>0.98771</cdr:y>
    </cdr:to>
    <cdr:pic>
      <cdr:nvPicPr>
        <cdr:cNvPr id="26" name="Picture 25">
          <a:extLst xmlns:a="http://schemas.openxmlformats.org/drawingml/2006/main">
            <a:ext uri="{FF2B5EF4-FFF2-40B4-BE49-F238E27FC236}">
              <a16:creationId xmlns:a16="http://schemas.microsoft.com/office/drawing/2014/main" id="{2912BAF4-DC51-CB41-9D9C-B467385EAB79}"/>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extLst>
            <a:ext uri="{28A0092B-C50C-407E-A947-70E740481C1C}">
              <a14:useLocalDpi xmlns:a14="http://schemas.microsoft.com/office/drawing/2010/main" val="0"/>
            </a:ext>
          </a:extLst>
        </a:blip>
        <a:srcRect xmlns:a="http://schemas.openxmlformats.org/drawingml/2006/main"/>
        <a:stretch xmlns:a="http://schemas.openxmlformats.org/drawingml/2006/main"/>
      </cdr:blipFill>
      <cdr:spPr>
        <a:xfrm xmlns:a="http://schemas.openxmlformats.org/drawingml/2006/main">
          <a:off x="266898" y="7188333"/>
          <a:ext cx="1529921" cy="212578"/>
        </a:xfrm>
        <a:prstGeom xmlns:a="http://schemas.openxmlformats.org/drawingml/2006/main" prst="rect">
          <a:avLst/>
        </a:prstGeom>
      </cdr:spPr>
    </cdr:pic>
  </cdr:relSizeAnchor>
</c:userShapes>
</file>

<file path=xl/drawings/drawing9.xml><?xml version="1.0" encoding="utf-8"?>
<xdr:wsDr xmlns:xdr="http://schemas.openxmlformats.org/drawingml/2006/spreadsheetDrawing" xmlns:a="http://schemas.openxmlformats.org/drawingml/2006/main">
  <xdr:twoCellAnchor>
    <xdr:from>
      <xdr:col>0</xdr:col>
      <xdr:colOff>0</xdr:colOff>
      <xdr:row>0</xdr:row>
      <xdr:rowOff>0</xdr:rowOff>
    </xdr:from>
    <xdr:to>
      <xdr:col>9</xdr:col>
      <xdr:colOff>63500</xdr:colOff>
      <xdr:row>36</xdr:row>
      <xdr:rowOff>177800</xdr:rowOff>
    </xdr:to>
    <xdr:graphicFrame macro="">
      <xdr:nvGraphicFramePr>
        <xdr:cNvPr id="2" name="Chart 1">
          <a:extLst>
            <a:ext uri="{FF2B5EF4-FFF2-40B4-BE49-F238E27FC236}">
              <a16:creationId xmlns:a16="http://schemas.microsoft.com/office/drawing/2014/main" id="{228184F6-2139-8E44-91A9-AF2F6BE18D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c:userShapes xmlns:c="http://schemas.openxmlformats.org/drawingml/2006/chart">
  <cdr:relSizeAnchor xmlns:cdr="http://schemas.openxmlformats.org/drawingml/2006/chartDrawing">
    <cdr:from>
      <cdr:x>0</cdr:x>
      <cdr:y>0.09196</cdr:y>
    </cdr:from>
    <cdr:to>
      <cdr:x>1</cdr:x>
      <cdr:y>0.12834</cdr:y>
    </cdr:to>
    <cdr:sp macro="" textlink="compute!$V$35">
      <cdr:nvSpPr>
        <cdr:cNvPr id="25" name="TextBox 1">
          <a:extLst xmlns:a="http://schemas.openxmlformats.org/drawingml/2006/main">
            <a:ext uri="{FF2B5EF4-FFF2-40B4-BE49-F238E27FC236}">
              <a16:creationId xmlns:a16="http://schemas.microsoft.com/office/drawing/2014/main" id="{34C21CE6-47D7-BD4B-B82C-A1842B596D60}"/>
            </a:ext>
          </a:extLst>
        </cdr:cNvPr>
        <cdr:cNvSpPr txBox="1"/>
      </cdr:nvSpPr>
      <cdr:spPr>
        <a:xfrm xmlns:a="http://schemas.openxmlformats.org/drawingml/2006/main">
          <a:off x="0" y="689051"/>
          <a:ext cx="7493000" cy="272580"/>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6871A146-1238-4243-B028-BCDA0670F674}" type="TxLink">
            <a:rPr lang="en-US" sz="2000" b="1" i="0" u="none" strike="noStrike">
              <a:solidFill>
                <a:schemeClr val="accent1"/>
              </a:solidFill>
              <a:effectLst/>
              <a:latin typeface="Helvetica"/>
              <a:ea typeface="+mn-ea"/>
              <a:cs typeface="+mn-cs"/>
            </a:rPr>
            <a:pPr algn="ctr"/>
            <a:t>updated April 21, 2020, evening</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1.06685E-16</cdr:x>
      <cdr:y>0.05759</cdr:y>
    </cdr:from>
    <cdr:to>
      <cdr:x>1</cdr:x>
      <cdr:y>0.08756</cdr:y>
    </cdr:to>
    <cdr:sp macro="" textlink="compute!$B$1">
      <cdr:nvSpPr>
        <cdr:cNvPr id="26" name="TextBox 1">
          <a:extLst xmlns:a="http://schemas.openxmlformats.org/drawingml/2006/main">
            <a:ext uri="{FF2B5EF4-FFF2-40B4-BE49-F238E27FC236}">
              <a16:creationId xmlns:a16="http://schemas.microsoft.com/office/drawing/2014/main" id="{F2572D54-875F-FB40-B4C2-BB4C82A0FE8F}"/>
            </a:ext>
          </a:extLst>
        </cdr:cNvPr>
        <cdr:cNvSpPr txBox="1"/>
      </cdr:nvSpPr>
      <cdr:spPr>
        <a:xfrm xmlns:a="http://schemas.openxmlformats.org/drawingml/2006/main">
          <a:off x="50800" y="431531"/>
          <a:ext cx="7493000" cy="224567"/>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F326BEFA-22D7-574C-B597-A9E46B6EB854}" type="TxLink">
            <a:rPr lang="en-US" sz="2000" b="1" i="0" u="none" strike="noStrike">
              <a:solidFill>
                <a:schemeClr val="accent1"/>
              </a:solidFill>
              <a:effectLst/>
              <a:latin typeface="Helvetica"/>
              <a:ea typeface="+mn-ea"/>
              <a:cs typeface="+mn-cs"/>
            </a:rPr>
            <a:pPr algn="ctr"/>
            <a:t>Miami Beach</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1.06685E-16</cdr:x>
      <cdr:y>0.00678</cdr:y>
    </cdr:from>
    <cdr:to>
      <cdr:x>1</cdr:x>
      <cdr:y>0.06623</cdr:y>
    </cdr:to>
    <cdr:sp macro="" textlink="">
      <cdr:nvSpPr>
        <cdr:cNvPr id="27" name="TextBox 2">
          <a:extLst xmlns:a="http://schemas.openxmlformats.org/drawingml/2006/main">
            <a:ext uri="{FF2B5EF4-FFF2-40B4-BE49-F238E27FC236}">
              <a16:creationId xmlns:a16="http://schemas.microsoft.com/office/drawing/2014/main" id="{78915EEB-F7A5-FA46-A93E-AE695071BCDA}"/>
            </a:ext>
          </a:extLst>
        </cdr:cNvPr>
        <cdr:cNvSpPr txBox="1"/>
      </cdr:nvSpPr>
      <cdr:spPr>
        <a:xfrm xmlns:a="http://schemas.openxmlformats.org/drawingml/2006/main">
          <a:off x="50800" y="50800"/>
          <a:ext cx="7493000" cy="445433"/>
        </a:xfrm>
        <a:prstGeom xmlns:a="http://schemas.openxmlformats.org/drawingml/2006/main" prst="rect">
          <a:avLst/>
        </a:prstGeom>
      </cdr:spPr>
      <cdr:txBody>
        <a:bodyPr xmlns:a="http://schemas.openxmlformats.org/drawingml/2006/main" wrap="square" lIns="0" tIns="9144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rtl="0">
            <a:defRPr sz="2000" b="1" i="0" u="none" strike="noStrike" kern="1200" spc="0" baseline="0">
              <a:solidFill>
                <a:srgbClr val="242852"/>
              </a:solidFill>
              <a:latin typeface="Helvetica" pitchFamily="2" charset="0"/>
              <a:ea typeface="+mn-ea"/>
              <a:cs typeface="+mn-cs"/>
            </a:defRPr>
          </a:pPr>
          <a:r>
            <a:rPr lang="en-US" sz="2400" b="1" i="0" baseline="0">
              <a:solidFill>
                <a:schemeClr val="accent1"/>
              </a:solidFill>
              <a:latin typeface="Helvetica" pitchFamily="2" charset="0"/>
            </a:rPr>
            <a:t>COVID-19 Cases, Percentage of Population</a:t>
          </a:r>
          <a:endParaRPr lang="en-US" sz="2400">
            <a:solidFill>
              <a:schemeClr val="accent1"/>
            </a:solidFill>
            <a:latin typeface="Helvetica" pitchFamily="2" charset="0"/>
          </a:endParaRPr>
        </a:p>
      </cdr:txBody>
    </cdr:sp>
  </cdr:relSizeAnchor>
  <cdr:relSizeAnchor xmlns:cdr="http://schemas.openxmlformats.org/drawingml/2006/chartDrawing">
    <cdr:from>
      <cdr:x>0.28475</cdr:x>
      <cdr:y>0.16949</cdr:y>
    </cdr:from>
    <cdr:to>
      <cdr:x>0.85593</cdr:x>
      <cdr:y>0.29152</cdr:y>
    </cdr:to>
    <cdr:sp macro="" textlink="">
      <cdr:nvSpPr>
        <cdr:cNvPr id="13" name="TextBox 2">
          <a:extLst xmlns:a="http://schemas.openxmlformats.org/drawingml/2006/main">
            <a:ext uri="{FF2B5EF4-FFF2-40B4-BE49-F238E27FC236}">
              <a16:creationId xmlns:a16="http://schemas.microsoft.com/office/drawing/2014/main" id="{5EEB3E28-385F-AB40-9834-7AA3456CD985}"/>
            </a:ext>
          </a:extLst>
        </cdr:cNvPr>
        <cdr:cNvSpPr txBox="1"/>
      </cdr:nvSpPr>
      <cdr:spPr>
        <a:xfrm xmlns:a="http://schemas.openxmlformats.org/drawingml/2006/main">
          <a:off x="2133600" y="1270025"/>
          <a:ext cx="4279905" cy="914371"/>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n-US" sz="2000" b="1">
              <a:solidFill>
                <a:schemeClr val="bg1"/>
              </a:solidFill>
              <a:latin typeface="Helvetica" pitchFamily="2" charset="0"/>
            </a:rPr>
            <a:t>Hospitals</a:t>
          </a:r>
          <a:r>
            <a:rPr lang="en-US" sz="2000" b="1" baseline="0">
              <a:solidFill>
                <a:schemeClr val="bg1"/>
              </a:solidFill>
              <a:latin typeface="Helvetica" pitchFamily="2" charset="0"/>
            </a:rPr>
            <a:t> could be overrun if the number of cases exceeds 20% of the population within a year.</a:t>
          </a:r>
          <a:endParaRPr lang="en-US" sz="2000" b="1">
            <a:solidFill>
              <a:schemeClr val="bg1"/>
            </a:solidFill>
            <a:latin typeface="Helvetica" pitchFamily="2" charset="0"/>
          </a:endParaRPr>
        </a:p>
      </cdr:txBody>
    </cdr:sp>
  </cdr:relSizeAnchor>
  <cdr:relSizeAnchor xmlns:cdr="http://schemas.openxmlformats.org/drawingml/2006/chartDrawing">
    <cdr:from>
      <cdr:x>0.26101</cdr:x>
      <cdr:y>0.47289</cdr:y>
    </cdr:from>
    <cdr:to>
      <cdr:x>0.49152</cdr:x>
      <cdr:y>0.55764</cdr:y>
    </cdr:to>
    <cdr:sp macro="" textlink="">
      <cdr:nvSpPr>
        <cdr:cNvPr id="16" name="TextBox 4">
          <a:extLst xmlns:a="http://schemas.openxmlformats.org/drawingml/2006/main">
            <a:ext uri="{FF2B5EF4-FFF2-40B4-BE49-F238E27FC236}">
              <a16:creationId xmlns:a16="http://schemas.microsoft.com/office/drawing/2014/main" id="{3C32AA88-503A-6A40-A215-63B03CD1DC6C}"/>
            </a:ext>
          </a:extLst>
        </cdr:cNvPr>
        <cdr:cNvSpPr txBox="1"/>
      </cdr:nvSpPr>
      <cdr:spPr>
        <a:xfrm xmlns:a="http://schemas.openxmlformats.org/drawingml/2006/main">
          <a:off x="1955773" y="3543330"/>
          <a:ext cx="1727212" cy="635032"/>
        </a:xfrm>
        <a:prstGeom xmlns:a="http://schemas.openxmlformats.org/drawingml/2006/main" prst="rect">
          <a:avLst/>
        </a:prstGeom>
        <a:solidFill xmlns:a="http://schemas.openxmlformats.org/drawingml/2006/main">
          <a:schemeClr val="lt1"/>
        </a:solidFill>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n-US" sz="2000" b="1">
              <a:solidFill>
                <a:srgbClr val="FF807F"/>
              </a:solidFill>
              <a:latin typeface="Helvetica" pitchFamily="2" charset="0"/>
            </a:rPr>
            <a:t>uncontrolled</a:t>
          </a:r>
          <a:r>
            <a:rPr lang="en-US" sz="2000" b="1" baseline="0">
              <a:solidFill>
                <a:srgbClr val="FF807F"/>
              </a:solidFill>
              <a:latin typeface="Helvetica" pitchFamily="2" charset="0"/>
            </a:rPr>
            <a:t> growth</a:t>
          </a:r>
          <a:endParaRPr lang="en-US" sz="2000" b="1">
            <a:solidFill>
              <a:srgbClr val="FF807F"/>
            </a:solidFill>
            <a:latin typeface="Helvetica" pitchFamily="2" charset="0"/>
          </a:endParaRPr>
        </a:p>
      </cdr:txBody>
    </cdr:sp>
  </cdr:relSizeAnchor>
  <cdr:relSizeAnchor xmlns:cdr="http://schemas.openxmlformats.org/drawingml/2006/chartDrawing">
    <cdr:from>
      <cdr:x>0.59492</cdr:x>
      <cdr:y>0.61694</cdr:y>
    </cdr:from>
    <cdr:to>
      <cdr:x>0.93221</cdr:x>
      <cdr:y>0.72711</cdr:y>
    </cdr:to>
    <cdr:sp macro="" textlink="">
      <cdr:nvSpPr>
        <cdr:cNvPr id="17" name="TextBox 1">
          <a:extLst xmlns:a="http://schemas.openxmlformats.org/drawingml/2006/main">
            <a:ext uri="{FF2B5EF4-FFF2-40B4-BE49-F238E27FC236}">
              <a16:creationId xmlns:a16="http://schemas.microsoft.com/office/drawing/2014/main" id="{4A8D045C-47DB-DA4A-A147-14F2CE517BBC}"/>
            </a:ext>
          </a:extLst>
        </cdr:cNvPr>
        <cdr:cNvSpPr txBox="1"/>
      </cdr:nvSpPr>
      <cdr:spPr>
        <a:xfrm xmlns:a="http://schemas.openxmlformats.org/drawingml/2006/main">
          <a:off x="4457743" y="4622757"/>
          <a:ext cx="2527314" cy="82550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2000" b="1">
              <a:solidFill>
                <a:schemeClr val="accent4"/>
              </a:solidFill>
              <a:latin typeface="Helvetica" pitchFamily="2" charset="0"/>
            </a:rPr>
            <a:t>controlled growth through sustained social distancing</a:t>
          </a:r>
        </a:p>
      </cdr:txBody>
    </cdr:sp>
  </cdr:relSizeAnchor>
  <cdr:relSizeAnchor xmlns:cdr="http://schemas.openxmlformats.org/drawingml/2006/chartDrawing">
    <cdr:from>
      <cdr:x>0.31695</cdr:x>
      <cdr:y>0.83051</cdr:y>
    </cdr:from>
    <cdr:to>
      <cdr:x>0.66682</cdr:x>
      <cdr:y>0.87706</cdr:y>
    </cdr:to>
    <cdr:sp macro="" textlink="">
      <cdr:nvSpPr>
        <cdr:cNvPr id="18" name="TextBox 3">
          <a:extLst xmlns:a="http://schemas.openxmlformats.org/drawingml/2006/main">
            <a:ext uri="{FF2B5EF4-FFF2-40B4-BE49-F238E27FC236}">
              <a16:creationId xmlns:a16="http://schemas.microsoft.com/office/drawing/2014/main" id="{FFA3996D-84E0-B14E-B9A1-634608FE8EBA}"/>
            </a:ext>
          </a:extLst>
        </cdr:cNvPr>
        <cdr:cNvSpPr txBox="1"/>
      </cdr:nvSpPr>
      <cdr:spPr>
        <a:xfrm xmlns:a="http://schemas.openxmlformats.org/drawingml/2006/main">
          <a:off x="2374900" y="6223000"/>
          <a:ext cx="2621551" cy="348813"/>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2000" b="1">
              <a:solidFill>
                <a:schemeClr val="accent1"/>
              </a:solidFill>
              <a:latin typeface="Helvetica" pitchFamily="2" charset="0"/>
            </a:rPr>
            <a:t>actual growth so far</a:t>
          </a:r>
        </a:p>
      </cdr:txBody>
    </cdr:sp>
  </cdr:relSizeAnchor>
  <cdr:relSizeAnchor xmlns:cdr="http://schemas.openxmlformats.org/drawingml/2006/chartDrawing">
    <cdr:from>
      <cdr:x>0.17458</cdr:x>
      <cdr:y>0.85378</cdr:y>
    </cdr:from>
    <cdr:to>
      <cdr:x>0.31695</cdr:x>
      <cdr:y>0.87966</cdr:y>
    </cdr:to>
    <cdr:cxnSp macro="">
      <cdr:nvCxnSpPr>
        <cdr:cNvPr id="5" name="Straight Connector 4">
          <a:extLst xmlns:a="http://schemas.openxmlformats.org/drawingml/2006/main">
            <a:ext uri="{FF2B5EF4-FFF2-40B4-BE49-F238E27FC236}">
              <a16:creationId xmlns:a16="http://schemas.microsoft.com/office/drawing/2014/main" id="{81F3AF3A-6D87-5948-B519-22A6D9F9AA1B}"/>
            </a:ext>
          </a:extLst>
        </cdr:cNvPr>
        <cdr:cNvCxnSpPr>
          <a:stCxn xmlns:a="http://schemas.openxmlformats.org/drawingml/2006/main" id="18" idx="1"/>
        </cdr:cNvCxnSpPr>
      </cdr:nvCxnSpPr>
      <cdr:spPr>
        <a:xfrm xmlns:a="http://schemas.openxmlformats.org/drawingml/2006/main" flipH="1">
          <a:off x="1308100" y="6397407"/>
          <a:ext cx="1066800" cy="193893"/>
        </a:xfrm>
        <a:prstGeom xmlns:a="http://schemas.openxmlformats.org/drawingml/2006/main" prst="line">
          <a:avLst/>
        </a:prstGeom>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0.00141</cdr:x>
      <cdr:y>0.94925</cdr:y>
    </cdr:from>
    <cdr:to>
      <cdr:x>1</cdr:x>
      <cdr:y>1</cdr:y>
    </cdr:to>
    <cdr:sp macro="" textlink="">
      <cdr:nvSpPr>
        <cdr:cNvPr id="40" name="Rectangle 39">
          <a:extLst xmlns:a="http://schemas.openxmlformats.org/drawingml/2006/main">
            <a:ext uri="{FF2B5EF4-FFF2-40B4-BE49-F238E27FC236}">
              <a16:creationId xmlns:a16="http://schemas.microsoft.com/office/drawing/2014/main" id="{C22568FA-7A10-8B48-8604-354E123DFD15}"/>
            </a:ext>
          </a:extLst>
        </cdr:cNvPr>
        <cdr:cNvSpPr/>
      </cdr:nvSpPr>
      <cdr:spPr>
        <a:xfrm xmlns:a="http://schemas.openxmlformats.org/drawingml/2006/main">
          <a:off x="10565" y="7112730"/>
          <a:ext cx="7482435" cy="380270"/>
        </a:xfrm>
        <a:prstGeom xmlns:a="http://schemas.openxmlformats.org/drawingml/2006/main" prst="rect">
          <a:avLst/>
        </a:prstGeom>
        <a:solidFill xmlns:a="http://schemas.openxmlformats.org/drawingml/2006/main">
          <a:srgbClr val="337CBD"/>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0.9148</cdr:x>
      <cdr:y>0.95922</cdr:y>
    </cdr:from>
    <cdr:to>
      <cdr:x>0.94491</cdr:x>
      <cdr:y>0.98869</cdr:y>
    </cdr:to>
    <cdr:pic>
      <cdr:nvPicPr>
        <cdr:cNvPr id="41" name="Picture 40">
          <a:extLst xmlns:a="http://schemas.openxmlformats.org/drawingml/2006/main">
            <a:ext uri="{FF2B5EF4-FFF2-40B4-BE49-F238E27FC236}">
              <a16:creationId xmlns:a16="http://schemas.microsoft.com/office/drawing/2014/main" id="{0F6EEC7E-1E73-0541-99B0-5919D900E384}"/>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6854594" y="7187435"/>
          <a:ext cx="225614" cy="220819"/>
        </a:xfrm>
        <a:prstGeom xmlns:a="http://schemas.openxmlformats.org/drawingml/2006/main" prst="rect">
          <a:avLst/>
        </a:prstGeom>
      </cdr:spPr>
    </cdr:pic>
  </cdr:relSizeAnchor>
  <cdr:relSizeAnchor xmlns:cdr="http://schemas.openxmlformats.org/drawingml/2006/chartDrawing">
    <cdr:from>
      <cdr:x>0.94741</cdr:x>
      <cdr:y>0.95535</cdr:y>
    </cdr:from>
    <cdr:to>
      <cdr:x>0.98552</cdr:x>
      <cdr:y>0.9929</cdr:y>
    </cdr:to>
    <cdr:pic>
      <cdr:nvPicPr>
        <cdr:cNvPr id="42" name="Picture 41">
          <a:extLst xmlns:a="http://schemas.openxmlformats.org/drawingml/2006/main">
            <a:ext uri="{FF2B5EF4-FFF2-40B4-BE49-F238E27FC236}">
              <a16:creationId xmlns:a16="http://schemas.microsoft.com/office/drawing/2014/main" id="{A872D5D8-010A-AB48-A4D5-0CE4EBBE4AEF}"/>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cstate="print">
          <a:extLst>
            <a:ext uri="{28A0092B-C50C-407E-A947-70E740481C1C}">
              <a14:useLocalDpi xmlns:a14="http://schemas.microsoft.com/office/drawing/2010/main" val="0"/>
            </a:ext>
          </a:extLst>
        </a:blip>
        <a:srcRect xmlns:a="http://schemas.openxmlformats.org/drawingml/2006/main"/>
        <a:stretch xmlns:a="http://schemas.openxmlformats.org/drawingml/2006/main"/>
      </cdr:blipFill>
      <cdr:spPr>
        <a:xfrm xmlns:a="http://schemas.openxmlformats.org/drawingml/2006/main">
          <a:off x="7098941" y="7158438"/>
          <a:ext cx="285558" cy="281362"/>
        </a:xfrm>
        <a:prstGeom xmlns:a="http://schemas.openxmlformats.org/drawingml/2006/main" prst="rect">
          <a:avLst/>
        </a:prstGeom>
      </cdr:spPr>
    </cdr:pic>
  </cdr:relSizeAnchor>
  <cdr:relSizeAnchor xmlns:cdr="http://schemas.openxmlformats.org/drawingml/2006/chartDrawing">
    <cdr:from>
      <cdr:x>0.57689</cdr:x>
      <cdr:y>0.95788</cdr:y>
    </cdr:from>
    <cdr:to>
      <cdr:x>0.90387</cdr:x>
      <cdr:y>0.99864</cdr:y>
    </cdr:to>
    <cdr:sp macro="" textlink="">
      <cdr:nvSpPr>
        <cdr:cNvPr id="43" name="TextBox 3">
          <a:extLst xmlns:a="http://schemas.openxmlformats.org/drawingml/2006/main">
            <a:ext uri="{FF2B5EF4-FFF2-40B4-BE49-F238E27FC236}">
              <a16:creationId xmlns:a16="http://schemas.microsoft.com/office/drawing/2014/main" id="{A29125F4-D1F4-B247-B8F3-148D146D3EB1}"/>
            </a:ext>
          </a:extLst>
        </cdr:cNvPr>
        <cdr:cNvSpPr txBox="1"/>
      </cdr:nvSpPr>
      <cdr:spPr>
        <a:xfrm xmlns:a="http://schemas.openxmlformats.org/drawingml/2006/main">
          <a:off x="4322620" y="7177395"/>
          <a:ext cx="2450076" cy="305414"/>
        </a:xfrm>
        <a:prstGeom xmlns:a="http://schemas.openxmlformats.org/drawingml/2006/main" prst="rect">
          <a:avLst/>
        </a:prstGeom>
        <a:noFill xmlns:a="http://schemas.openxmlformats.org/drawingml/2006/main"/>
      </cdr:spPr>
      <cdr:txBody>
        <a:bodyPr xmlns:a="http://schemas.openxmlformats.org/drawingml/2006/main" wrap="square" r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algn="r" defTabSz="914400" eaLnBrk="1" fontAlgn="auto" latinLnBrk="0" hangingPunct="1">
            <a:lnSpc>
              <a:spcPct val="100000"/>
            </a:lnSpc>
            <a:spcBef>
              <a:spcPts val="0"/>
            </a:spcBef>
            <a:spcAft>
              <a:spcPts val="0"/>
            </a:spcAft>
            <a:buClrTx/>
            <a:buSzTx/>
            <a:buFontTx/>
            <a:buNone/>
            <a:tabLst/>
            <a:defRPr/>
          </a:pPr>
          <a:r>
            <a:rPr lang="en-US" sz="1200" b="1">
              <a:solidFill>
                <a:srgbClr val="CCCCFF"/>
              </a:solidFill>
              <a:latin typeface="Helvetica" pitchFamily="2" charset="0"/>
            </a:rPr>
            <a:t>daily updates</a:t>
          </a:r>
          <a:r>
            <a:rPr lang="en-US" sz="1200" b="1">
              <a:solidFill>
                <a:schemeClr val="bg1"/>
              </a:solidFill>
              <a:latin typeface="Helvetica" pitchFamily="2" charset="0"/>
            </a:rPr>
            <a:t> @BeachAnalytics</a:t>
          </a:r>
          <a:endParaRPr lang="en-US" sz="1200" b="1">
            <a:solidFill>
              <a:schemeClr val="bg1"/>
            </a:solidFill>
          </a:endParaRPr>
        </a:p>
      </cdr:txBody>
    </cdr:sp>
  </cdr:relSizeAnchor>
  <cdr:relSizeAnchor xmlns:cdr="http://schemas.openxmlformats.org/drawingml/2006/chartDrawing">
    <cdr:from>
      <cdr:x>0.25889</cdr:x>
      <cdr:y>0.95787</cdr:y>
    </cdr:from>
    <cdr:to>
      <cdr:x>0.57689</cdr:x>
      <cdr:y>0.99665</cdr:y>
    </cdr:to>
    <cdr:sp macro="" textlink="">
      <cdr:nvSpPr>
        <cdr:cNvPr id="44" name="TextBox 1">
          <a:extLst xmlns:a="http://schemas.openxmlformats.org/drawingml/2006/main">
            <a:ext uri="{FF2B5EF4-FFF2-40B4-BE49-F238E27FC236}">
              <a16:creationId xmlns:a16="http://schemas.microsoft.com/office/drawing/2014/main" id="{8BC1877F-1D3A-D344-B98F-F9C9C795F40C}"/>
            </a:ext>
          </a:extLst>
        </cdr:cNvPr>
        <cdr:cNvSpPr txBox="1"/>
      </cdr:nvSpPr>
      <cdr:spPr>
        <a:xfrm xmlns:a="http://schemas.openxmlformats.org/drawingml/2006/main">
          <a:off x="1939869" y="7177319"/>
          <a:ext cx="2382750" cy="290580"/>
        </a:xfrm>
        <a:prstGeom xmlns:a="http://schemas.openxmlformats.org/drawingml/2006/main" prst="rect">
          <a:avLst/>
        </a:prstGeom>
        <a:noFill xmlns:a="http://schemas.openxmlformats.org/drawingml/2006/main"/>
      </cdr:spPr>
      <cdr:txBody>
        <a:bodyPr xmlns:a="http://schemas.openxmlformats.org/drawingml/2006/main" wrap="square" lIns="182880" bIns="9144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b="1" i="0" u="none" strike="noStrike">
              <a:solidFill>
                <a:schemeClr val="bg1"/>
              </a:solidFill>
              <a:latin typeface="Helvetica"/>
            </a:rPr>
            <a:t>https://</a:t>
          </a:r>
          <a:r>
            <a:rPr lang="en-US" sz="1200" b="1" i="0" u="none" strike="noStrike">
              <a:solidFill>
                <a:srgbClr val="CCCCFF"/>
              </a:solidFill>
              <a:latin typeface="Helvetica"/>
            </a:rPr>
            <a:t>Beach</a:t>
          </a:r>
          <a:r>
            <a:rPr lang="en-US" sz="1200" b="1" i="0" u="none" strike="noStrike">
              <a:solidFill>
                <a:schemeClr val="bg1"/>
              </a:solidFill>
              <a:latin typeface="Helvetica"/>
            </a:rPr>
            <a:t>Analytics.info</a:t>
          </a:r>
          <a:endParaRPr lang="en-US" sz="1100" b="1">
            <a:solidFill>
              <a:schemeClr val="bg1"/>
            </a:solidFill>
          </a:endParaRPr>
        </a:p>
      </cdr:txBody>
    </cdr:sp>
  </cdr:relSizeAnchor>
  <cdr:relSizeAnchor xmlns:cdr="http://schemas.openxmlformats.org/drawingml/2006/chartDrawing">
    <cdr:from>
      <cdr:x>0.03703</cdr:x>
      <cdr:y>0.95934</cdr:y>
    </cdr:from>
    <cdr:to>
      <cdr:x>0.24121</cdr:x>
      <cdr:y>0.98771</cdr:y>
    </cdr:to>
    <cdr:pic>
      <cdr:nvPicPr>
        <cdr:cNvPr id="45" name="Picture 44">
          <a:extLst xmlns:a="http://schemas.openxmlformats.org/drawingml/2006/main">
            <a:ext uri="{FF2B5EF4-FFF2-40B4-BE49-F238E27FC236}">
              <a16:creationId xmlns:a16="http://schemas.microsoft.com/office/drawing/2014/main" id="{2912BAF4-DC51-CB41-9D9C-B467385EAB79}"/>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extLst>
            <a:ext uri="{28A0092B-C50C-407E-A947-70E740481C1C}">
              <a14:useLocalDpi xmlns:a14="http://schemas.microsoft.com/office/drawing/2010/main" val="0"/>
            </a:ext>
          </a:extLst>
        </a:blip>
        <a:srcRect xmlns:a="http://schemas.openxmlformats.org/drawingml/2006/main"/>
        <a:stretch xmlns:a="http://schemas.openxmlformats.org/drawingml/2006/main"/>
      </cdr:blipFill>
      <cdr:spPr>
        <a:xfrm xmlns:a="http://schemas.openxmlformats.org/drawingml/2006/main">
          <a:off x="277463" y="7188333"/>
          <a:ext cx="1529921" cy="212578"/>
        </a:xfrm>
        <a:prstGeom xmlns:a="http://schemas.openxmlformats.org/drawingml/2006/main" prst="rect">
          <a:avLst/>
        </a:prstGeom>
      </cdr:spPr>
    </cdr:pic>
  </cdr:relSizeAnchor>
</c:userShapes>
</file>

<file path=xl/drawings/drawing11.xml><?xml version="1.0" encoding="utf-8"?>
<xdr:wsDr xmlns:xdr="http://schemas.openxmlformats.org/drawingml/2006/spreadsheetDrawing" xmlns:a="http://schemas.openxmlformats.org/drawingml/2006/main">
  <xdr:twoCellAnchor>
    <xdr:from>
      <xdr:col>0</xdr:col>
      <xdr:colOff>0</xdr:colOff>
      <xdr:row>0</xdr:row>
      <xdr:rowOff>0</xdr:rowOff>
    </xdr:from>
    <xdr:to>
      <xdr:col>9</xdr:col>
      <xdr:colOff>63500</xdr:colOff>
      <xdr:row>36</xdr:row>
      <xdr:rowOff>177800</xdr:rowOff>
    </xdr:to>
    <xdr:graphicFrame macro="">
      <xdr:nvGraphicFramePr>
        <xdr:cNvPr id="2" name="Chart 1">
          <a:extLst>
            <a:ext uri="{FF2B5EF4-FFF2-40B4-BE49-F238E27FC236}">
              <a16:creationId xmlns:a16="http://schemas.microsoft.com/office/drawing/2014/main" id="{F0B5A309-FAD0-9241-B801-42831BA167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c:userShapes xmlns:c="http://schemas.openxmlformats.org/drawingml/2006/chart">
  <cdr:relSizeAnchor xmlns:cdr="http://schemas.openxmlformats.org/drawingml/2006/chartDrawing">
    <cdr:from>
      <cdr:x>0.13559</cdr:x>
      <cdr:y>0.1678</cdr:y>
    </cdr:from>
    <cdr:to>
      <cdr:x>0.58136</cdr:x>
      <cdr:y>0.37457</cdr:y>
    </cdr:to>
    <cdr:sp macro="" textlink="compute!$V$43">
      <cdr:nvSpPr>
        <cdr:cNvPr id="13" name="TextBox 1">
          <a:extLst xmlns:a="http://schemas.openxmlformats.org/drawingml/2006/main">
            <a:ext uri="{FF2B5EF4-FFF2-40B4-BE49-F238E27FC236}">
              <a16:creationId xmlns:a16="http://schemas.microsoft.com/office/drawing/2014/main" id="{B85ABA93-089B-4B4C-BFA6-8C7675044928}"/>
            </a:ext>
          </a:extLst>
        </cdr:cNvPr>
        <cdr:cNvSpPr txBox="1"/>
      </cdr:nvSpPr>
      <cdr:spPr>
        <a:xfrm xmlns:a="http://schemas.openxmlformats.org/drawingml/2006/main">
          <a:off x="1015982" y="1257336"/>
          <a:ext cx="3340155" cy="1549327"/>
        </a:xfrm>
        <a:prstGeom xmlns:a="http://schemas.openxmlformats.org/drawingml/2006/main" prst="roundRect">
          <a:avLst>
            <a:gd name="adj" fmla="val 8700"/>
          </a:avLst>
        </a:prstGeom>
        <a:solidFill xmlns:a="http://schemas.openxmlformats.org/drawingml/2006/main">
          <a:schemeClr val="accent3"/>
        </a:solidFill>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fld id="{0E627505-9AC7-8C4E-B237-8642243F3EC5}" type="TxLink">
            <a:rPr lang="en-US" sz="1800" b="0" i="0" u="none" strike="noStrike">
              <a:solidFill>
                <a:schemeClr val="bg1"/>
              </a:solidFill>
              <a:latin typeface="Helvetica"/>
            </a:rPr>
            <a:pPr marL="0" marR="0" lvl="0" indent="0" defTabSz="914400" eaLnBrk="1" fontAlgn="auto" latinLnBrk="0" hangingPunct="1">
              <a:lnSpc>
                <a:spcPct val="100000"/>
              </a:lnSpc>
              <a:spcBef>
                <a:spcPts val="0"/>
              </a:spcBef>
              <a:spcAft>
                <a:spcPts val="0"/>
              </a:spcAft>
              <a:buClrTx/>
              <a:buSzTx/>
              <a:buFontTx/>
              <a:buNone/>
              <a:tabLst/>
              <a:defRPr/>
            </a:pPr>
            <a:t>Around 5.9% of the total population of Miami Beach may have already been infected with the SARS-CoV-2 virus, based on an estimated population of 91,718.</a:t>
          </a:fld>
          <a:endParaRPr lang="en-US" sz="1800" b="0" i="0" u="none" strike="noStrike">
            <a:solidFill>
              <a:schemeClr val="bg1"/>
            </a:solidFill>
            <a:effectLst/>
            <a:latin typeface="Helvetica" pitchFamily="2" charset="0"/>
            <a:ea typeface="+mn-ea"/>
            <a:cs typeface="+mn-cs"/>
          </a:endParaRPr>
        </a:p>
      </cdr:txBody>
    </cdr:sp>
  </cdr:relSizeAnchor>
  <cdr:relSizeAnchor xmlns:cdr="http://schemas.openxmlformats.org/drawingml/2006/chartDrawing">
    <cdr:from>
      <cdr:x>0</cdr:x>
      <cdr:y>0.09196</cdr:y>
    </cdr:from>
    <cdr:to>
      <cdr:x>1</cdr:x>
      <cdr:y>0.12834</cdr:y>
    </cdr:to>
    <cdr:sp macro="" textlink="compute!$T$24">
      <cdr:nvSpPr>
        <cdr:cNvPr id="25" name="TextBox 1">
          <a:extLst xmlns:a="http://schemas.openxmlformats.org/drawingml/2006/main">
            <a:ext uri="{FF2B5EF4-FFF2-40B4-BE49-F238E27FC236}">
              <a16:creationId xmlns:a16="http://schemas.microsoft.com/office/drawing/2014/main" id="{34C21CE6-47D7-BD4B-B82C-A1842B596D60}"/>
            </a:ext>
          </a:extLst>
        </cdr:cNvPr>
        <cdr:cNvSpPr txBox="1"/>
      </cdr:nvSpPr>
      <cdr:spPr>
        <a:xfrm xmlns:a="http://schemas.openxmlformats.org/drawingml/2006/main">
          <a:off x="0" y="689051"/>
          <a:ext cx="7493000" cy="272580"/>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6871A146-1238-4243-B028-BCDA0670F674}" type="TxLink">
            <a:rPr lang="en-US" sz="2000" b="1" i="0" u="none" strike="noStrike">
              <a:solidFill>
                <a:schemeClr val="accent1"/>
              </a:solidFill>
              <a:effectLst/>
              <a:latin typeface="Helvetica"/>
              <a:ea typeface="+mn-ea"/>
              <a:cs typeface="+mn-cs"/>
            </a:rPr>
            <a:pPr algn="ctr"/>
            <a:t> </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1.06685E-16</cdr:x>
      <cdr:y>0.09196</cdr:y>
    </cdr:from>
    <cdr:to>
      <cdr:x>1</cdr:x>
      <cdr:y>0.12834</cdr:y>
    </cdr:to>
    <cdr:sp macro="" textlink="compute!$U$6">
      <cdr:nvSpPr>
        <cdr:cNvPr id="23" name="TextBox 1">
          <a:extLst xmlns:a="http://schemas.openxmlformats.org/drawingml/2006/main">
            <a:ext uri="{FF2B5EF4-FFF2-40B4-BE49-F238E27FC236}">
              <a16:creationId xmlns:a16="http://schemas.microsoft.com/office/drawing/2014/main" id="{0683D0D9-9B0E-5142-B2B3-B60B9F67ABF0}"/>
            </a:ext>
          </a:extLst>
        </cdr:cNvPr>
        <cdr:cNvSpPr txBox="1"/>
      </cdr:nvSpPr>
      <cdr:spPr>
        <a:xfrm xmlns:a="http://schemas.openxmlformats.org/drawingml/2006/main">
          <a:off x="50800" y="689053"/>
          <a:ext cx="7493000" cy="272596"/>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F0E7AAA7-D933-F549-B4F0-88822C760C52}" type="TxLink">
            <a:rPr lang="en-US" sz="2000" b="1" i="0" u="none" strike="noStrike">
              <a:solidFill>
                <a:schemeClr val="accent1"/>
              </a:solidFill>
              <a:effectLst/>
              <a:latin typeface="Helvetica"/>
              <a:ea typeface="+mn-ea"/>
              <a:cs typeface="+mn-cs"/>
            </a:rPr>
            <a:pPr algn="ctr"/>
            <a:t>April 21, 2020</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1.06685E-16</cdr:x>
      <cdr:y>0.05759</cdr:y>
    </cdr:from>
    <cdr:to>
      <cdr:x>1</cdr:x>
      <cdr:y>0.08756</cdr:y>
    </cdr:to>
    <cdr:sp macro="" textlink="compute!$B$1">
      <cdr:nvSpPr>
        <cdr:cNvPr id="24" name="TextBox 1">
          <a:extLst xmlns:a="http://schemas.openxmlformats.org/drawingml/2006/main">
            <a:ext uri="{FF2B5EF4-FFF2-40B4-BE49-F238E27FC236}">
              <a16:creationId xmlns:a16="http://schemas.microsoft.com/office/drawing/2014/main" id="{28A63643-F10A-8746-ABF6-3F4823ECAA7D}"/>
            </a:ext>
          </a:extLst>
        </cdr:cNvPr>
        <cdr:cNvSpPr txBox="1"/>
      </cdr:nvSpPr>
      <cdr:spPr>
        <a:xfrm xmlns:a="http://schemas.openxmlformats.org/drawingml/2006/main">
          <a:off x="50800" y="431519"/>
          <a:ext cx="7493000" cy="224565"/>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9946AFE2-6A9E-A243-AC68-23CF36B26C61}" type="TxLink">
            <a:rPr lang="en-US" sz="2000" b="1" i="0" u="none" strike="noStrike">
              <a:solidFill>
                <a:schemeClr val="accent1"/>
              </a:solidFill>
              <a:effectLst/>
              <a:latin typeface="Helvetica"/>
              <a:ea typeface="+mn-ea"/>
              <a:cs typeface="+mn-cs"/>
            </a:rPr>
            <a:pPr algn="ctr"/>
            <a:t>Miami Beach</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1.06685E-16</cdr:x>
      <cdr:y>0.00678</cdr:y>
    </cdr:from>
    <cdr:to>
      <cdr:x>1</cdr:x>
      <cdr:y>0.06623</cdr:y>
    </cdr:to>
    <cdr:sp macro="" textlink="">
      <cdr:nvSpPr>
        <cdr:cNvPr id="28" name="TextBox 2">
          <a:extLst xmlns:a="http://schemas.openxmlformats.org/drawingml/2006/main">
            <a:ext uri="{FF2B5EF4-FFF2-40B4-BE49-F238E27FC236}">
              <a16:creationId xmlns:a16="http://schemas.microsoft.com/office/drawing/2014/main" id="{E1591A5E-FE84-E44F-80A5-981A526CC5B5}"/>
            </a:ext>
          </a:extLst>
        </cdr:cNvPr>
        <cdr:cNvSpPr txBox="1"/>
      </cdr:nvSpPr>
      <cdr:spPr>
        <a:xfrm xmlns:a="http://schemas.openxmlformats.org/drawingml/2006/main">
          <a:off x="50800" y="50800"/>
          <a:ext cx="7493000" cy="445458"/>
        </a:xfrm>
        <a:prstGeom xmlns:a="http://schemas.openxmlformats.org/drawingml/2006/main" prst="rect">
          <a:avLst/>
        </a:prstGeom>
      </cdr:spPr>
      <cdr:txBody>
        <a:bodyPr xmlns:a="http://schemas.openxmlformats.org/drawingml/2006/main" wrap="square" lIns="0" tIns="9144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rtl="0">
            <a:defRPr sz="2000" b="1" i="0" u="none" strike="noStrike" kern="1200" spc="0" baseline="0">
              <a:solidFill>
                <a:srgbClr val="242852"/>
              </a:solidFill>
              <a:latin typeface="Helvetica" pitchFamily="2" charset="0"/>
              <a:ea typeface="+mn-ea"/>
              <a:cs typeface="+mn-cs"/>
            </a:defRPr>
          </a:pPr>
          <a:r>
            <a:rPr lang="en-US" sz="2400" b="1" i="0" baseline="0">
              <a:solidFill>
                <a:schemeClr val="accent1"/>
              </a:solidFill>
              <a:latin typeface="Helvetica" pitchFamily="2" charset="0"/>
            </a:rPr>
            <a:t>Estimated SARS-CoV-2 Infection Percentage</a:t>
          </a:r>
          <a:endParaRPr lang="en-US" sz="2400">
            <a:solidFill>
              <a:schemeClr val="accent1"/>
            </a:solidFill>
            <a:latin typeface="Helvetica" pitchFamily="2" charset="0"/>
          </a:endParaRPr>
        </a:p>
      </cdr:txBody>
    </cdr:sp>
  </cdr:relSizeAnchor>
  <cdr:relSizeAnchor xmlns:cdr="http://schemas.openxmlformats.org/drawingml/2006/chartDrawing">
    <cdr:from>
      <cdr:x>0.00141</cdr:x>
      <cdr:y>0.94925</cdr:y>
    </cdr:from>
    <cdr:to>
      <cdr:x>1</cdr:x>
      <cdr:y>1</cdr:y>
    </cdr:to>
    <cdr:sp macro="" textlink="">
      <cdr:nvSpPr>
        <cdr:cNvPr id="14" name="Rectangle 13">
          <a:extLst xmlns:a="http://schemas.openxmlformats.org/drawingml/2006/main">
            <a:ext uri="{FF2B5EF4-FFF2-40B4-BE49-F238E27FC236}">
              <a16:creationId xmlns:a16="http://schemas.microsoft.com/office/drawing/2014/main" id="{C22568FA-7A10-8B48-8604-354E123DFD15}"/>
            </a:ext>
          </a:extLst>
        </cdr:cNvPr>
        <cdr:cNvSpPr/>
      </cdr:nvSpPr>
      <cdr:spPr>
        <a:xfrm xmlns:a="http://schemas.openxmlformats.org/drawingml/2006/main">
          <a:off x="10565" y="7112730"/>
          <a:ext cx="7482435" cy="380270"/>
        </a:xfrm>
        <a:prstGeom xmlns:a="http://schemas.openxmlformats.org/drawingml/2006/main" prst="rect">
          <a:avLst/>
        </a:prstGeom>
        <a:solidFill xmlns:a="http://schemas.openxmlformats.org/drawingml/2006/main">
          <a:srgbClr val="337CBD"/>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0.9148</cdr:x>
      <cdr:y>0.95922</cdr:y>
    </cdr:from>
    <cdr:to>
      <cdr:x>0.94491</cdr:x>
      <cdr:y>0.98869</cdr:y>
    </cdr:to>
    <cdr:pic>
      <cdr:nvPicPr>
        <cdr:cNvPr id="15" name="Picture 14">
          <a:extLst xmlns:a="http://schemas.openxmlformats.org/drawingml/2006/main">
            <a:ext uri="{FF2B5EF4-FFF2-40B4-BE49-F238E27FC236}">
              <a16:creationId xmlns:a16="http://schemas.microsoft.com/office/drawing/2014/main" id="{0F6EEC7E-1E73-0541-99B0-5919D900E384}"/>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6854594" y="7187435"/>
          <a:ext cx="225614" cy="220819"/>
        </a:xfrm>
        <a:prstGeom xmlns:a="http://schemas.openxmlformats.org/drawingml/2006/main" prst="rect">
          <a:avLst/>
        </a:prstGeom>
      </cdr:spPr>
    </cdr:pic>
  </cdr:relSizeAnchor>
  <cdr:relSizeAnchor xmlns:cdr="http://schemas.openxmlformats.org/drawingml/2006/chartDrawing">
    <cdr:from>
      <cdr:x>0.94741</cdr:x>
      <cdr:y>0.95535</cdr:y>
    </cdr:from>
    <cdr:to>
      <cdr:x>0.98552</cdr:x>
      <cdr:y>0.9929</cdr:y>
    </cdr:to>
    <cdr:pic>
      <cdr:nvPicPr>
        <cdr:cNvPr id="16" name="Picture 15">
          <a:extLst xmlns:a="http://schemas.openxmlformats.org/drawingml/2006/main">
            <a:ext uri="{FF2B5EF4-FFF2-40B4-BE49-F238E27FC236}">
              <a16:creationId xmlns:a16="http://schemas.microsoft.com/office/drawing/2014/main" id="{A872D5D8-010A-AB48-A4D5-0CE4EBBE4AEF}"/>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cstate="print">
          <a:extLst>
            <a:ext uri="{28A0092B-C50C-407E-A947-70E740481C1C}">
              <a14:useLocalDpi xmlns:a14="http://schemas.microsoft.com/office/drawing/2010/main" val="0"/>
            </a:ext>
          </a:extLst>
        </a:blip>
        <a:srcRect xmlns:a="http://schemas.openxmlformats.org/drawingml/2006/main"/>
        <a:stretch xmlns:a="http://schemas.openxmlformats.org/drawingml/2006/main"/>
      </cdr:blipFill>
      <cdr:spPr>
        <a:xfrm xmlns:a="http://schemas.openxmlformats.org/drawingml/2006/main">
          <a:off x="7098941" y="7158438"/>
          <a:ext cx="285558" cy="281362"/>
        </a:xfrm>
        <a:prstGeom xmlns:a="http://schemas.openxmlformats.org/drawingml/2006/main" prst="rect">
          <a:avLst/>
        </a:prstGeom>
      </cdr:spPr>
    </cdr:pic>
  </cdr:relSizeAnchor>
  <cdr:relSizeAnchor xmlns:cdr="http://schemas.openxmlformats.org/drawingml/2006/chartDrawing">
    <cdr:from>
      <cdr:x>0.57689</cdr:x>
      <cdr:y>0.95788</cdr:y>
    </cdr:from>
    <cdr:to>
      <cdr:x>0.90387</cdr:x>
      <cdr:y>0.99864</cdr:y>
    </cdr:to>
    <cdr:sp macro="" textlink="">
      <cdr:nvSpPr>
        <cdr:cNvPr id="26" name="TextBox 3">
          <a:extLst xmlns:a="http://schemas.openxmlformats.org/drawingml/2006/main">
            <a:ext uri="{FF2B5EF4-FFF2-40B4-BE49-F238E27FC236}">
              <a16:creationId xmlns:a16="http://schemas.microsoft.com/office/drawing/2014/main" id="{A29125F4-D1F4-B247-B8F3-148D146D3EB1}"/>
            </a:ext>
          </a:extLst>
        </cdr:cNvPr>
        <cdr:cNvSpPr txBox="1"/>
      </cdr:nvSpPr>
      <cdr:spPr>
        <a:xfrm xmlns:a="http://schemas.openxmlformats.org/drawingml/2006/main">
          <a:off x="4322620" y="7177395"/>
          <a:ext cx="2450076" cy="305414"/>
        </a:xfrm>
        <a:prstGeom xmlns:a="http://schemas.openxmlformats.org/drawingml/2006/main" prst="rect">
          <a:avLst/>
        </a:prstGeom>
        <a:noFill xmlns:a="http://schemas.openxmlformats.org/drawingml/2006/main"/>
      </cdr:spPr>
      <cdr:txBody>
        <a:bodyPr xmlns:a="http://schemas.openxmlformats.org/drawingml/2006/main" wrap="square" r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algn="r" defTabSz="914400" eaLnBrk="1" fontAlgn="auto" latinLnBrk="0" hangingPunct="1">
            <a:lnSpc>
              <a:spcPct val="100000"/>
            </a:lnSpc>
            <a:spcBef>
              <a:spcPts val="0"/>
            </a:spcBef>
            <a:spcAft>
              <a:spcPts val="0"/>
            </a:spcAft>
            <a:buClrTx/>
            <a:buSzTx/>
            <a:buFontTx/>
            <a:buNone/>
            <a:tabLst/>
            <a:defRPr/>
          </a:pPr>
          <a:r>
            <a:rPr lang="en-US" sz="1200" b="1">
              <a:solidFill>
                <a:srgbClr val="CCCCFF"/>
              </a:solidFill>
              <a:latin typeface="Helvetica" pitchFamily="2" charset="0"/>
            </a:rPr>
            <a:t>daily updates</a:t>
          </a:r>
          <a:r>
            <a:rPr lang="en-US" sz="1200" b="1">
              <a:solidFill>
                <a:schemeClr val="bg1"/>
              </a:solidFill>
              <a:latin typeface="Helvetica" pitchFamily="2" charset="0"/>
            </a:rPr>
            <a:t> @BeachAnalytics</a:t>
          </a:r>
          <a:endParaRPr lang="en-US" sz="1200" b="1">
            <a:solidFill>
              <a:schemeClr val="bg1"/>
            </a:solidFill>
          </a:endParaRPr>
        </a:p>
      </cdr:txBody>
    </cdr:sp>
  </cdr:relSizeAnchor>
  <cdr:relSizeAnchor xmlns:cdr="http://schemas.openxmlformats.org/drawingml/2006/chartDrawing">
    <cdr:from>
      <cdr:x>0.25889</cdr:x>
      <cdr:y>0.95787</cdr:y>
    </cdr:from>
    <cdr:to>
      <cdr:x>0.57689</cdr:x>
      <cdr:y>0.99665</cdr:y>
    </cdr:to>
    <cdr:sp macro="" textlink="">
      <cdr:nvSpPr>
        <cdr:cNvPr id="27" name="TextBox 1">
          <a:extLst xmlns:a="http://schemas.openxmlformats.org/drawingml/2006/main">
            <a:ext uri="{FF2B5EF4-FFF2-40B4-BE49-F238E27FC236}">
              <a16:creationId xmlns:a16="http://schemas.microsoft.com/office/drawing/2014/main" id="{8BC1877F-1D3A-D344-B98F-F9C9C795F40C}"/>
            </a:ext>
          </a:extLst>
        </cdr:cNvPr>
        <cdr:cNvSpPr txBox="1"/>
      </cdr:nvSpPr>
      <cdr:spPr>
        <a:xfrm xmlns:a="http://schemas.openxmlformats.org/drawingml/2006/main">
          <a:off x="1939869" y="7177319"/>
          <a:ext cx="2382750" cy="290580"/>
        </a:xfrm>
        <a:prstGeom xmlns:a="http://schemas.openxmlformats.org/drawingml/2006/main" prst="rect">
          <a:avLst/>
        </a:prstGeom>
        <a:noFill xmlns:a="http://schemas.openxmlformats.org/drawingml/2006/main"/>
      </cdr:spPr>
      <cdr:txBody>
        <a:bodyPr xmlns:a="http://schemas.openxmlformats.org/drawingml/2006/main" wrap="square" lIns="182880" bIns="9144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b="1" i="0" u="none" strike="noStrike">
              <a:solidFill>
                <a:schemeClr val="bg1"/>
              </a:solidFill>
              <a:latin typeface="Helvetica"/>
            </a:rPr>
            <a:t>https://</a:t>
          </a:r>
          <a:r>
            <a:rPr lang="en-US" sz="1200" b="1" i="0" u="none" strike="noStrike">
              <a:solidFill>
                <a:srgbClr val="CCCCFF"/>
              </a:solidFill>
              <a:latin typeface="Helvetica"/>
            </a:rPr>
            <a:t>Beach</a:t>
          </a:r>
          <a:r>
            <a:rPr lang="en-US" sz="1200" b="1" i="0" u="none" strike="noStrike">
              <a:solidFill>
                <a:schemeClr val="bg1"/>
              </a:solidFill>
              <a:latin typeface="Helvetica"/>
            </a:rPr>
            <a:t>Analytics.info</a:t>
          </a:r>
          <a:endParaRPr lang="en-US" sz="1100" b="1">
            <a:solidFill>
              <a:schemeClr val="bg1"/>
            </a:solidFill>
          </a:endParaRPr>
        </a:p>
      </cdr:txBody>
    </cdr:sp>
  </cdr:relSizeAnchor>
  <cdr:relSizeAnchor xmlns:cdr="http://schemas.openxmlformats.org/drawingml/2006/chartDrawing">
    <cdr:from>
      <cdr:x>0.03703</cdr:x>
      <cdr:y>0.95934</cdr:y>
    </cdr:from>
    <cdr:to>
      <cdr:x>0.24121</cdr:x>
      <cdr:y>0.98771</cdr:y>
    </cdr:to>
    <cdr:pic>
      <cdr:nvPicPr>
        <cdr:cNvPr id="29" name="Picture 28">
          <a:extLst xmlns:a="http://schemas.openxmlformats.org/drawingml/2006/main">
            <a:ext uri="{FF2B5EF4-FFF2-40B4-BE49-F238E27FC236}">
              <a16:creationId xmlns:a16="http://schemas.microsoft.com/office/drawing/2014/main" id="{2912BAF4-DC51-CB41-9D9C-B467385EAB79}"/>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extLst>
            <a:ext uri="{28A0092B-C50C-407E-A947-70E740481C1C}">
              <a14:useLocalDpi xmlns:a14="http://schemas.microsoft.com/office/drawing/2010/main" val="0"/>
            </a:ext>
          </a:extLst>
        </a:blip>
        <a:srcRect xmlns:a="http://schemas.openxmlformats.org/drawingml/2006/main"/>
        <a:stretch xmlns:a="http://schemas.openxmlformats.org/drawingml/2006/main"/>
      </cdr:blipFill>
      <cdr:spPr>
        <a:xfrm xmlns:a="http://schemas.openxmlformats.org/drawingml/2006/main">
          <a:off x="277463" y="7188333"/>
          <a:ext cx="1529921" cy="212578"/>
        </a:xfrm>
        <a:prstGeom xmlns:a="http://schemas.openxmlformats.org/drawingml/2006/main" prst="rect">
          <a:avLst/>
        </a:prstGeom>
      </cdr:spPr>
    </cdr:pic>
  </cdr:relSizeAnchor>
</c:userShapes>
</file>

<file path=xl/drawings/drawing13.xml><?xml version="1.0" encoding="utf-8"?>
<xdr:wsDr xmlns:xdr="http://schemas.openxmlformats.org/drawingml/2006/spreadsheetDrawing" xmlns:a="http://schemas.openxmlformats.org/drawingml/2006/main">
  <xdr:twoCellAnchor>
    <xdr:from>
      <xdr:col>0</xdr:col>
      <xdr:colOff>0</xdr:colOff>
      <xdr:row>0</xdr:row>
      <xdr:rowOff>0</xdr:rowOff>
    </xdr:from>
    <xdr:to>
      <xdr:col>9</xdr:col>
      <xdr:colOff>63500</xdr:colOff>
      <xdr:row>36</xdr:row>
      <xdr:rowOff>177800</xdr:rowOff>
    </xdr:to>
    <xdr:graphicFrame macro="">
      <xdr:nvGraphicFramePr>
        <xdr:cNvPr id="2" name="Chart 1">
          <a:extLst>
            <a:ext uri="{FF2B5EF4-FFF2-40B4-BE49-F238E27FC236}">
              <a16:creationId xmlns:a16="http://schemas.microsoft.com/office/drawing/2014/main" id="{08DBEAE7-4F3E-A94C-B5FB-BBA57AF828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c:userShapes xmlns:c="http://schemas.openxmlformats.org/drawingml/2006/chart">
  <cdr:relSizeAnchor xmlns:cdr="http://schemas.openxmlformats.org/drawingml/2006/chartDrawing">
    <cdr:from>
      <cdr:x>0</cdr:x>
      <cdr:y>0.09196</cdr:y>
    </cdr:from>
    <cdr:to>
      <cdr:x>1</cdr:x>
      <cdr:y>0.12834</cdr:y>
    </cdr:to>
    <cdr:sp macro="" textlink="compute!$V$35">
      <cdr:nvSpPr>
        <cdr:cNvPr id="25" name="TextBox 1">
          <a:extLst xmlns:a="http://schemas.openxmlformats.org/drawingml/2006/main">
            <a:ext uri="{FF2B5EF4-FFF2-40B4-BE49-F238E27FC236}">
              <a16:creationId xmlns:a16="http://schemas.microsoft.com/office/drawing/2014/main" id="{34C21CE6-47D7-BD4B-B82C-A1842B596D60}"/>
            </a:ext>
          </a:extLst>
        </cdr:cNvPr>
        <cdr:cNvSpPr txBox="1"/>
      </cdr:nvSpPr>
      <cdr:spPr>
        <a:xfrm xmlns:a="http://schemas.openxmlformats.org/drawingml/2006/main">
          <a:off x="0" y="689051"/>
          <a:ext cx="7493000" cy="272580"/>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6871A146-1238-4243-B028-BCDA0670F674}" type="TxLink">
            <a:rPr lang="en-US" sz="2000" b="1" i="0" u="none" strike="noStrike">
              <a:solidFill>
                <a:schemeClr val="accent1"/>
              </a:solidFill>
              <a:effectLst/>
              <a:latin typeface="Helvetica"/>
              <a:ea typeface="+mn-ea"/>
              <a:cs typeface="+mn-cs"/>
            </a:rPr>
            <a:pPr algn="ctr"/>
            <a:t>updated April 21, 2020, evening</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1.06685E-16</cdr:x>
      <cdr:y>0.05759</cdr:y>
    </cdr:from>
    <cdr:to>
      <cdr:x>1</cdr:x>
      <cdr:y>0.08756</cdr:y>
    </cdr:to>
    <cdr:sp macro="" textlink="compute!$B$1">
      <cdr:nvSpPr>
        <cdr:cNvPr id="26" name="TextBox 1">
          <a:extLst xmlns:a="http://schemas.openxmlformats.org/drawingml/2006/main">
            <a:ext uri="{FF2B5EF4-FFF2-40B4-BE49-F238E27FC236}">
              <a16:creationId xmlns:a16="http://schemas.microsoft.com/office/drawing/2014/main" id="{F2572D54-875F-FB40-B4C2-BB4C82A0FE8F}"/>
            </a:ext>
          </a:extLst>
        </cdr:cNvPr>
        <cdr:cNvSpPr txBox="1"/>
      </cdr:nvSpPr>
      <cdr:spPr>
        <a:xfrm xmlns:a="http://schemas.openxmlformats.org/drawingml/2006/main">
          <a:off x="50800" y="431531"/>
          <a:ext cx="7493000" cy="224567"/>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F326BEFA-22D7-574C-B597-A9E46B6EB854}" type="TxLink">
            <a:rPr lang="en-US" sz="2000" b="1" i="0" u="none" strike="noStrike">
              <a:solidFill>
                <a:schemeClr val="accent1"/>
              </a:solidFill>
              <a:effectLst/>
              <a:latin typeface="Helvetica"/>
              <a:ea typeface="+mn-ea"/>
              <a:cs typeface="+mn-cs"/>
            </a:rPr>
            <a:pPr algn="ctr"/>
            <a:t>Miami Beach</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1.06685E-16</cdr:x>
      <cdr:y>0.00678</cdr:y>
    </cdr:from>
    <cdr:to>
      <cdr:x>1</cdr:x>
      <cdr:y>0.06623</cdr:y>
    </cdr:to>
    <cdr:sp macro="" textlink="">
      <cdr:nvSpPr>
        <cdr:cNvPr id="27" name="TextBox 2">
          <a:extLst xmlns:a="http://schemas.openxmlformats.org/drawingml/2006/main">
            <a:ext uri="{FF2B5EF4-FFF2-40B4-BE49-F238E27FC236}">
              <a16:creationId xmlns:a16="http://schemas.microsoft.com/office/drawing/2014/main" id="{78915EEB-F7A5-FA46-A93E-AE695071BCDA}"/>
            </a:ext>
          </a:extLst>
        </cdr:cNvPr>
        <cdr:cNvSpPr txBox="1"/>
      </cdr:nvSpPr>
      <cdr:spPr>
        <a:xfrm xmlns:a="http://schemas.openxmlformats.org/drawingml/2006/main">
          <a:off x="50800" y="50800"/>
          <a:ext cx="7493000" cy="445433"/>
        </a:xfrm>
        <a:prstGeom xmlns:a="http://schemas.openxmlformats.org/drawingml/2006/main" prst="rect">
          <a:avLst/>
        </a:prstGeom>
      </cdr:spPr>
      <cdr:txBody>
        <a:bodyPr xmlns:a="http://schemas.openxmlformats.org/drawingml/2006/main" wrap="square" lIns="0" tIns="9144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rtl="0">
            <a:defRPr sz="2000" b="1" i="0" u="none" strike="noStrike" kern="1200" spc="0" baseline="0">
              <a:solidFill>
                <a:srgbClr val="242852"/>
              </a:solidFill>
              <a:latin typeface="Helvetica" pitchFamily="2" charset="0"/>
              <a:ea typeface="+mn-ea"/>
              <a:cs typeface="+mn-cs"/>
            </a:defRPr>
          </a:pPr>
          <a:r>
            <a:rPr lang="en-US" sz="2400" b="1" i="0" baseline="0">
              <a:solidFill>
                <a:schemeClr val="accent1"/>
              </a:solidFill>
              <a:latin typeface="Helvetica" pitchFamily="2" charset="0"/>
            </a:rPr>
            <a:t>Projected SARS-CoV-2 Infection Percentage</a:t>
          </a:r>
          <a:endParaRPr lang="en-US" sz="2400">
            <a:solidFill>
              <a:schemeClr val="accent1"/>
            </a:solidFill>
            <a:latin typeface="Helvetica" pitchFamily="2" charset="0"/>
          </a:endParaRPr>
        </a:p>
      </cdr:txBody>
    </cdr:sp>
  </cdr:relSizeAnchor>
  <cdr:relSizeAnchor xmlns:cdr="http://schemas.openxmlformats.org/drawingml/2006/chartDrawing">
    <cdr:from>
      <cdr:x>0.26271</cdr:x>
      <cdr:y>0.27797</cdr:y>
    </cdr:from>
    <cdr:to>
      <cdr:x>0.58475</cdr:x>
      <cdr:y>0.3339</cdr:y>
    </cdr:to>
    <cdr:sp macro="" textlink="">
      <cdr:nvSpPr>
        <cdr:cNvPr id="2" name="TextBox 1">
          <a:extLst xmlns:a="http://schemas.openxmlformats.org/drawingml/2006/main">
            <a:ext uri="{FF2B5EF4-FFF2-40B4-BE49-F238E27FC236}">
              <a16:creationId xmlns:a16="http://schemas.microsoft.com/office/drawing/2014/main" id="{C329C201-E2C1-1F49-9AC4-8EDE960599F6}"/>
            </a:ext>
          </a:extLst>
        </cdr:cNvPr>
        <cdr:cNvSpPr txBox="1"/>
      </cdr:nvSpPr>
      <cdr:spPr>
        <a:xfrm xmlns:a="http://schemas.openxmlformats.org/drawingml/2006/main">
          <a:off x="1968500" y="2082800"/>
          <a:ext cx="2413000" cy="4191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0.15932</cdr:x>
      <cdr:y>0.23148</cdr:y>
    </cdr:from>
    <cdr:to>
      <cdr:x>0.95085</cdr:x>
      <cdr:y>0.32119</cdr:y>
    </cdr:to>
    <cdr:sp macro="" textlink="">
      <cdr:nvSpPr>
        <cdr:cNvPr id="3" name="TextBox 2">
          <a:extLst xmlns:a="http://schemas.openxmlformats.org/drawingml/2006/main">
            <a:ext uri="{FF2B5EF4-FFF2-40B4-BE49-F238E27FC236}">
              <a16:creationId xmlns:a16="http://schemas.microsoft.com/office/drawing/2014/main" id="{BA7444BD-897B-9A4C-B587-21262A6F2999}"/>
            </a:ext>
          </a:extLst>
        </cdr:cNvPr>
        <cdr:cNvSpPr txBox="1"/>
      </cdr:nvSpPr>
      <cdr:spPr>
        <a:xfrm xmlns:a="http://schemas.openxmlformats.org/drawingml/2006/main">
          <a:off x="1193800" y="1734499"/>
          <a:ext cx="5930900" cy="67215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800" b="0" i="0" u="none" strike="noStrike">
              <a:solidFill>
                <a:schemeClr val="accent1"/>
              </a:solidFill>
              <a:effectLst/>
              <a:latin typeface="Helvetica" pitchFamily="2" charset="0"/>
              <a:ea typeface="+mn-ea"/>
              <a:cs typeface="+mn-cs"/>
            </a:rPr>
            <a:t>Experts estimate</a:t>
          </a:r>
          <a:r>
            <a:rPr lang="en-US" sz="1800" b="0" i="0" u="none" strike="noStrike" baseline="0">
              <a:solidFill>
                <a:schemeClr val="accent1"/>
              </a:solidFill>
              <a:effectLst/>
              <a:latin typeface="Helvetica" pitchFamily="2" charset="0"/>
              <a:ea typeface="+mn-ea"/>
              <a:cs typeface="+mn-cs"/>
            </a:rPr>
            <a:t> </a:t>
          </a:r>
          <a:r>
            <a:rPr lang="en-US" sz="1800" b="0" i="0" u="none" strike="noStrike">
              <a:solidFill>
                <a:schemeClr val="accent1"/>
              </a:solidFill>
              <a:effectLst/>
              <a:latin typeface="Helvetica" pitchFamily="2" charset="0"/>
              <a:ea typeface="+mn-ea"/>
              <a:cs typeface="+mn-cs"/>
            </a:rPr>
            <a:t>the critical threshold for achieving</a:t>
          </a:r>
          <a:r>
            <a:rPr lang="en-US" sz="1800" b="0" i="0" u="none" strike="noStrike" baseline="0">
              <a:solidFill>
                <a:schemeClr val="accent1"/>
              </a:solidFill>
              <a:effectLst/>
              <a:latin typeface="Helvetica" pitchFamily="2" charset="0"/>
              <a:ea typeface="+mn-ea"/>
              <a:cs typeface="+mn-cs"/>
            </a:rPr>
            <a:t> </a:t>
          </a:r>
          <a:r>
            <a:rPr lang="en-US" sz="1800" b="0" i="0" u="none" strike="noStrike">
              <a:solidFill>
                <a:schemeClr val="accent1"/>
              </a:solidFill>
              <a:effectLst/>
              <a:latin typeface="Helvetica" pitchFamily="2" charset="0"/>
              <a:ea typeface="+mn-ea"/>
              <a:cs typeface="+mn-cs"/>
            </a:rPr>
            <a:t>herd protection for COVID-19 is between 50% and 66%.</a:t>
          </a:r>
          <a:endParaRPr lang="en-US" sz="1800">
            <a:solidFill>
              <a:schemeClr val="accent1"/>
            </a:solidFill>
            <a:latin typeface="Helvetica" pitchFamily="2" charset="0"/>
          </a:endParaRPr>
        </a:p>
      </cdr:txBody>
    </cdr:sp>
  </cdr:relSizeAnchor>
  <cdr:relSizeAnchor xmlns:cdr="http://schemas.openxmlformats.org/drawingml/2006/chartDrawing">
    <cdr:from>
      <cdr:x>0.45085</cdr:x>
      <cdr:y>0.6034</cdr:y>
    </cdr:from>
    <cdr:to>
      <cdr:x>0.8678</cdr:x>
      <cdr:y>0.71017</cdr:y>
    </cdr:to>
    <cdr:sp macro="" textlink="">
      <cdr:nvSpPr>
        <cdr:cNvPr id="13" name="TextBox 2">
          <a:extLst xmlns:a="http://schemas.openxmlformats.org/drawingml/2006/main">
            <a:ext uri="{FF2B5EF4-FFF2-40B4-BE49-F238E27FC236}">
              <a16:creationId xmlns:a16="http://schemas.microsoft.com/office/drawing/2014/main" id="{B7D1BA03-C58C-0D48-BBB9-B2353674916E}"/>
            </a:ext>
          </a:extLst>
        </cdr:cNvPr>
        <cdr:cNvSpPr txBox="1"/>
      </cdr:nvSpPr>
      <cdr:spPr>
        <a:xfrm xmlns:a="http://schemas.openxmlformats.org/drawingml/2006/main">
          <a:off x="3378221" y="4521239"/>
          <a:ext cx="3124180" cy="800061"/>
        </a:xfrm>
        <a:prstGeom xmlns:a="http://schemas.openxmlformats.org/drawingml/2006/main" prst="roundRect">
          <a:avLst>
            <a:gd name="adj" fmla="val 7078"/>
          </a:avLst>
        </a:prstGeom>
        <a:solidFill xmlns:a="http://schemas.openxmlformats.org/drawingml/2006/main">
          <a:schemeClr val="accent3"/>
        </a:solidFill>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n-US" sz="1800">
              <a:solidFill>
                <a:schemeClr val="bg1"/>
              </a:solidFill>
              <a:latin typeface="Helvetica" pitchFamily="2" charset="0"/>
            </a:rPr>
            <a:t>How long before we</a:t>
          </a:r>
          <a:r>
            <a:rPr lang="en-US" sz="1800" baseline="0">
              <a:solidFill>
                <a:schemeClr val="bg1"/>
              </a:solidFill>
              <a:latin typeface="Helvetica" pitchFamily="2" charset="0"/>
            </a:rPr>
            <a:t> reach herd immunity and the virus can't spread any more?</a:t>
          </a:r>
          <a:endParaRPr lang="en-US" sz="1800">
            <a:solidFill>
              <a:schemeClr val="bg1"/>
            </a:solidFill>
            <a:latin typeface="Helvetica" pitchFamily="2" charset="0"/>
          </a:endParaRPr>
        </a:p>
      </cdr:txBody>
    </cdr:sp>
  </cdr:relSizeAnchor>
  <cdr:relSizeAnchor xmlns:cdr="http://schemas.openxmlformats.org/drawingml/2006/chartDrawing">
    <cdr:from>
      <cdr:x>0.00141</cdr:x>
      <cdr:y>0.94925</cdr:y>
    </cdr:from>
    <cdr:to>
      <cdr:x>1</cdr:x>
      <cdr:y>1</cdr:y>
    </cdr:to>
    <cdr:sp macro="" textlink="">
      <cdr:nvSpPr>
        <cdr:cNvPr id="14" name="Rectangle 13">
          <a:extLst xmlns:a="http://schemas.openxmlformats.org/drawingml/2006/main">
            <a:ext uri="{FF2B5EF4-FFF2-40B4-BE49-F238E27FC236}">
              <a16:creationId xmlns:a16="http://schemas.microsoft.com/office/drawing/2014/main" id="{C22568FA-7A10-8B48-8604-354E123DFD15}"/>
            </a:ext>
          </a:extLst>
        </cdr:cNvPr>
        <cdr:cNvSpPr/>
      </cdr:nvSpPr>
      <cdr:spPr>
        <a:xfrm xmlns:a="http://schemas.openxmlformats.org/drawingml/2006/main">
          <a:off x="10565" y="7112730"/>
          <a:ext cx="7482435" cy="380270"/>
        </a:xfrm>
        <a:prstGeom xmlns:a="http://schemas.openxmlformats.org/drawingml/2006/main" prst="rect">
          <a:avLst/>
        </a:prstGeom>
        <a:solidFill xmlns:a="http://schemas.openxmlformats.org/drawingml/2006/main">
          <a:srgbClr val="337CBD"/>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0.9148</cdr:x>
      <cdr:y>0.95922</cdr:y>
    </cdr:from>
    <cdr:to>
      <cdr:x>0.94491</cdr:x>
      <cdr:y>0.98869</cdr:y>
    </cdr:to>
    <cdr:pic>
      <cdr:nvPicPr>
        <cdr:cNvPr id="15" name="Picture 14">
          <a:extLst xmlns:a="http://schemas.openxmlformats.org/drawingml/2006/main">
            <a:ext uri="{FF2B5EF4-FFF2-40B4-BE49-F238E27FC236}">
              <a16:creationId xmlns:a16="http://schemas.microsoft.com/office/drawing/2014/main" id="{0F6EEC7E-1E73-0541-99B0-5919D900E384}"/>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6854594" y="7187435"/>
          <a:ext cx="225614" cy="220819"/>
        </a:xfrm>
        <a:prstGeom xmlns:a="http://schemas.openxmlformats.org/drawingml/2006/main" prst="rect">
          <a:avLst/>
        </a:prstGeom>
      </cdr:spPr>
    </cdr:pic>
  </cdr:relSizeAnchor>
  <cdr:relSizeAnchor xmlns:cdr="http://schemas.openxmlformats.org/drawingml/2006/chartDrawing">
    <cdr:from>
      <cdr:x>0.94741</cdr:x>
      <cdr:y>0.95535</cdr:y>
    </cdr:from>
    <cdr:to>
      <cdr:x>0.98552</cdr:x>
      <cdr:y>0.9929</cdr:y>
    </cdr:to>
    <cdr:pic>
      <cdr:nvPicPr>
        <cdr:cNvPr id="22" name="Picture 21">
          <a:extLst xmlns:a="http://schemas.openxmlformats.org/drawingml/2006/main">
            <a:ext uri="{FF2B5EF4-FFF2-40B4-BE49-F238E27FC236}">
              <a16:creationId xmlns:a16="http://schemas.microsoft.com/office/drawing/2014/main" id="{A872D5D8-010A-AB48-A4D5-0CE4EBBE4AEF}"/>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cstate="print">
          <a:extLst>
            <a:ext uri="{28A0092B-C50C-407E-A947-70E740481C1C}">
              <a14:useLocalDpi xmlns:a14="http://schemas.microsoft.com/office/drawing/2010/main" val="0"/>
            </a:ext>
          </a:extLst>
        </a:blip>
        <a:srcRect xmlns:a="http://schemas.openxmlformats.org/drawingml/2006/main"/>
        <a:stretch xmlns:a="http://schemas.openxmlformats.org/drawingml/2006/main"/>
      </cdr:blipFill>
      <cdr:spPr>
        <a:xfrm xmlns:a="http://schemas.openxmlformats.org/drawingml/2006/main">
          <a:off x="7098941" y="7158438"/>
          <a:ext cx="285558" cy="281362"/>
        </a:xfrm>
        <a:prstGeom xmlns:a="http://schemas.openxmlformats.org/drawingml/2006/main" prst="rect">
          <a:avLst/>
        </a:prstGeom>
      </cdr:spPr>
    </cdr:pic>
  </cdr:relSizeAnchor>
  <cdr:relSizeAnchor xmlns:cdr="http://schemas.openxmlformats.org/drawingml/2006/chartDrawing">
    <cdr:from>
      <cdr:x>0.57689</cdr:x>
      <cdr:y>0.95788</cdr:y>
    </cdr:from>
    <cdr:to>
      <cdr:x>0.90387</cdr:x>
      <cdr:y>0.99864</cdr:y>
    </cdr:to>
    <cdr:sp macro="" textlink="">
      <cdr:nvSpPr>
        <cdr:cNvPr id="23" name="TextBox 3">
          <a:extLst xmlns:a="http://schemas.openxmlformats.org/drawingml/2006/main">
            <a:ext uri="{FF2B5EF4-FFF2-40B4-BE49-F238E27FC236}">
              <a16:creationId xmlns:a16="http://schemas.microsoft.com/office/drawing/2014/main" id="{A29125F4-D1F4-B247-B8F3-148D146D3EB1}"/>
            </a:ext>
          </a:extLst>
        </cdr:cNvPr>
        <cdr:cNvSpPr txBox="1"/>
      </cdr:nvSpPr>
      <cdr:spPr>
        <a:xfrm xmlns:a="http://schemas.openxmlformats.org/drawingml/2006/main">
          <a:off x="4322620" y="7177395"/>
          <a:ext cx="2450076" cy="305414"/>
        </a:xfrm>
        <a:prstGeom xmlns:a="http://schemas.openxmlformats.org/drawingml/2006/main" prst="rect">
          <a:avLst/>
        </a:prstGeom>
        <a:noFill xmlns:a="http://schemas.openxmlformats.org/drawingml/2006/main"/>
      </cdr:spPr>
      <cdr:txBody>
        <a:bodyPr xmlns:a="http://schemas.openxmlformats.org/drawingml/2006/main" wrap="square" r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algn="r" defTabSz="914400" eaLnBrk="1" fontAlgn="auto" latinLnBrk="0" hangingPunct="1">
            <a:lnSpc>
              <a:spcPct val="100000"/>
            </a:lnSpc>
            <a:spcBef>
              <a:spcPts val="0"/>
            </a:spcBef>
            <a:spcAft>
              <a:spcPts val="0"/>
            </a:spcAft>
            <a:buClrTx/>
            <a:buSzTx/>
            <a:buFontTx/>
            <a:buNone/>
            <a:tabLst/>
            <a:defRPr/>
          </a:pPr>
          <a:r>
            <a:rPr lang="en-US" sz="1200" b="1">
              <a:solidFill>
                <a:srgbClr val="CCCCFF"/>
              </a:solidFill>
              <a:latin typeface="Helvetica" pitchFamily="2" charset="0"/>
            </a:rPr>
            <a:t>daily updates</a:t>
          </a:r>
          <a:r>
            <a:rPr lang="en-US" sz="1200" b="1">
              <a:solidFill>
                <a:schemeClr val="bg1"/>
              </a:solidFill>
              <a:latin typeface="Helvetica" pitchFamily="2" charset="0"/>
            </a:rPr>
            <a:t> @BeachAnalytics</a:t>
          </a:r>
          <a:endParaRPr lang="en-US" sz="1200" b="1">
            <a:solidFill>
              <a:schemeClr val="bg1"/>
            </a:solidFill>
          </a:endParaRPr>
        </a:p>
      </cdr:txBody>
    </cdr:sp>
  </cdr:relSizeAnchor>
  <cdr:relSizeAnchor xmlns:cdr="http://schemas.openxmlformats.org/drawingml/2006/chartDrawing">
    <cdr:from>
      <cdr:x>0.25889</cdr:x>
      <cdr:y>0.95787</cdr:y>
    </cdr:from>
    <cdr:to>
      <cdr:x>0.57689</cdr:x>
      <cdr:y>0.99665</cdr:y>
    </cdr:to>
    <cdr:sp macro="" textlink="">
      <cdr:nvSpPr>
        <cdr:cNvPr id="24" name="TextBox 1">
          <a:extLst xmlns:a="http://schemas.openxmlformats.org/drawingml/2006/main">
            <a:ext uri="{FF2B5EF4-FFF2-40B4-BE49-F238E27FC236}">
              <a16:creationId xmlns:a16="http://schemas.microsoft.com/office/drawing/2014/main" id="{8BC1877F-1D3A-D344-B98F-F9C9C795F40C}"/>
            </a:ext>
          </a:extLst>
        </cdr:cNvPr>
        <cdr:cNvSpPr txBox="1"/>
      </cdr:nvSpPr>
      <cdr:spPr>
        <a:xfrm xmlns:a="http://schemas.openxmlformats.org/drawingml/2006/main">
          <a:off x="1939869" y="7177319"/>
          <a:ext cx="2382750" cy="290580"/>
        </a:xfrm>
        <a:prstGeom xmlns:a="http://schemas.openxmlformats.org/drawingml/2006/main" prst="rect">
          <a:avLst/>
        </a:prstGeom>
        <a:noFill xmlns:a="http://schemas.openxmlformats.org/drawingml/2006/main"/>
      </cdr:spPr>
      <cdr:txBody>
        <a:bodyPr xmlns:a="http://schemas.openxmlformats.org/drawingml/2006/main" wrap="square" lIns="182880" bIns="9144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b="1" i="0" u="none" strike="noStrike">
              <a:solidFill>
                <a:schemeClr val="bg1"/>
              </a:solidFill>
              <a:latin typeface="Helvetica"/>
            </a:rPr>
            <a:t>https://</a:t>
          </a:r>
          <a:r>
            <a:rPr lang="en-US" sz="1200" b="1" i="0" u="none" strike="noStrike">
              <a:solidFill>
                <a:srgbClr val="CCCCFF"/>
              </a:solidFill>
              <a:latin typeface="Helvetica"/>
            </a:rPr>
            <a:t>Beach</a:t>
          </a:r>
          <a:r>
            <a:rPr lang="en-US" sz="1200" b="1" i="0" u="none" strike="noStrike">
              <a:solidFill>
                <a:schemeClr val="bg1"/>
              </a:solidFill>
              <a:latin typeface="Helvetica"/>
            </a:rPr>
            <a:t>Analytics.info</a:t>
          </a:r>
          <a:endParaRPr lang="en-US" sz="1100" b="1">
            <a:solidFill>
              <a:schemeClr val="bg1"/>
            </a:solidFill>
          </a:endParaRPr>
        </a:p>
      </cdr:txBody>
    </cdr:sp>
  </cdr:relSizeAnchor>
  <cdr:relSizeAnchor xmlns:cdr="http://schemas.openxmlformats.org/drawingml/2006/chartDrawing">
    <cdr:from>
      <cdr:x>0.03703</cdr:x>
      <cdr:y>0.95934</cdr:y>
    </cdr:from>
    <cdr:to>
      <cdr:x>0.24121</cdr:x>
      <cdr:y>0.98771</cdr:y>
    </cdr:to>
    <cdr:pic>
      <cdr:nvPicPr>
        <cdr:cNvPr id="28" name="Picture 27">
          <a:extLst xmlns:a="http://schemas.openxmlformats.org/drawingml/2006/main">
            <a:ext uri="{FF2B5EF4-FFF2-40B4-BE49-F238E27FC236}">
              <a16:creationId xmlns:a16="http://schemas.microsoft.com/office/drawing/2014/main" id="{2912BAF4-DC51-CB41-9D9C-B467385EAB79}"/>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extLst>
            <a:ext uri="{28A0092B-C50C-407E-A947-70E740481C1C}">
              <a14:useLocalDpi xmlns:a14="http://schemas.microsoft.com/office/drawing/2010/main" val="0"/>
            </a:ext>
          </a:extLst>
        </a:blip>
        <a:srcRect xmlns:a="http://schemas.openxmlformats.org/drawingml/2006/main"/>
        <a:stretch xmlns:a="http://schemas.openxmlformats.org/drawingml/2006/main"/>
      </cdr:blipFill>
      <cdr:spPr>
        <a:xfrm xmlns:a="http://schemas.openxmlformats.org/drawingml/2006/main">
          <a:off x="277463" y="7188333"/>
          <a:ext cx="1529921" cy="212578"/>
        </a:xfrm>
        <a:prstGeom xmlns:a="http://schemas.openxmlformats.org/drawingml/2006/main" prst="rect">
          <a:avLst/>
        </a:prstGeom>
      </cdr:spPr>
    </cdr:pic>
  </cdr:relSizeAnchor>
</c:userShapes>
</file>

<file path=xl/drawings/drawing15.xml><?xml version="1.0" encoding="utf-8"?>
<xdr:wsDr xmlns:xdr="http://schemas.openxmlformats.org/drawingml/2006/spreadsheetDrawing" xmlns:a="http://schemas.openxmlformats.org/drawingml/2006/main">
  <xdr:twoCellAnchor>
    <xdr:from>
      <xdr:col>0</xdr:col>
      <xdr:colOff>0</xdr:colOff>
      <xdr:row>0</xdr:row>
      <xdr:rowOff>0</xdr:rowOff>
    </xdr:from>
    <xdr:to>
      <xdr:col>9</xdr:col>
      <xdr:colOff>63500</xdr:colOff>
      <xdr:row>36</xdr:row>
      <xdr:rowOff>177800</xdr:rowOff>
    </xdr:to>
    <xdr:graphicFrame macro="">
      <xdr:nvGraphicFramePr>
        <xdr:cNvPr id="2" name="Chart 1">
          <a:extLst>
            <a:ext uri="{FF2B5EF4-FFF2-40B4-BE49-F238E27FC236}">
              <a16:creationId xmlns:a16="http://schemas.microsoft.com/office/drawing/2014/main" id="{28343D07-9895-1749-A6D0-89B65ACAC0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c:userShapes xmlns:c="http://schemas.openxmlformats.org/drawingml/2006/chart">
  <cdr:relSizeAnchor xmlns:cdr="http://schemas.openxmlformats.org/drawingml/2006/chartDrawing">
    <cdr:from>
      <cdr:x>0.35593</cdr:x>
      <cdr:y>0.31162</cdr:y>
    </cdr:from>
    <cdr:to>
      <cdr:x>0.85932</cdr:x>
      <cdr:y>0.45932</cdr:y>
    </cdr:to>
    <cdr:sp macro="" textlink="compute!$V$45">
      <cdr:nvSpPr>
        <cdr:cNvPr id="3" name="TextBox 2">
          <a:extLst xmlns:a="http://schemas.openxmlformats.org/drawingml/2006/main">
            <a:ext uri="{FF2B5EF4-FFF2-40B4-BE49-F238E27FC236}">
              <a16:creationId xmlns:a16="http://schemas.microsoft.com/office/drawing/2014/main" id="{04C86D55-AD5D-0647-BDF9-E042E5833A90}"/>
            </a:ext>
          </a:extLst>
        </cdr:cNvPr>
        <cdr:cNvSpPr txBox="1"/>
      </cdr:nvSpPr>
      <cdr:spPr>
        <a:xfrm xmlns:a="http://schemas.openxmlformats.org/drawingml/2006/main">
          <a:off x="2666950" y="2334974"/>
          <a:ext cx="3771950" cy="1106726"/>
        </a:xfrm>
        <a:prstGeom xmlns:a="http://schemas.openxmlformats.org/drawingml/2006/main" prst="roundRect">
          <a:avLst>
            <a:gd name="adj" fmla="val 8987"/>
          </a:avLst>
        </a:prstGeom>
        <a:solidFill xmlns:a="http://schemas.openxmlformats.org/drawingml/2006/main">
          <a:schemeClr val="accent3"/>
        </a:solidFill>
      </cdr:spPr>
      <cdr:txBody>
        <a:bodyPr xmlns:a="http://schemas.openxmlformats.org/drawingml/2006/main" vertOverflow="clip" wrap="square" rtlCol="0"/>
        <a:lstStyle xmlns:a="http://schemas.openxmlformats.org/drawingml/2006/main"/>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fld id="{824B62BF-AB09-2348-B33A-89A0AABA3DD2}" type="TxLink">
            <a:rPr lang="en-US" sz="1800" b="0" i="0" u="none" strike="noStrike">
              <a:solidFill>
                <a:schemeClr val="bg1"/>
              </a:solidFill>
              <a:latin typeface="Helvetica"/>
            </a:rPr>
            <a:pPr marL="0" marR="0" lvl="0" indent="0" defTabSz="914400" eaLnBrk="1" fontAlgn="auto" latinLnBrk="0" hangingPunct="1">
              <a:lnSpc>
                <a:spcPct val="100000"/>
              </a:lnSpc>
              <a:spcBef>
                <a:spcPts val="0"/>
              </a:spcBef>
              <a:spcAft>
                <a:spcPts val="0"/>
              </a:spcAft>
              <a:buClrTx/>
              <a:buSzTx/>
              <a:buFontTx/>
              <a:buNone/>
              <a:tabLst/>
              <a:defRPr/>
            </a:pPr>
            <a:t>The odds of any given person in Miami Beach having been infected with SARS-CoV-2 is currently estimated to be around one in 24.</a:t>
          </a:fld>
          <a:endParaRPr lang="en-US" sz="1800">
            <a:solidFill>
              <a:schemeClr val="bg1"/>
            </a:solidFill>
            <a:latin typeface="Helvetica" pitchFamily="2" charset="0"/>
          </a:endParaRPr>
        </a:p>
      </cdr:txBody>
    </cdr:sp>
  </cdr:relSizeAnchor>
  <cdr:relSizeAnchor xmlns:cdr="http://schemas.openxmlformats.org/drawingml/2006/chartDrawing">
    <cdr:from>
      <cdr:x>0.75074</cdr:x>
      <cdr:y>0.77572</cdr:y>
    </cdr:from>
    <cdr:to>
      <cdr:x>0.8999</cdr:x>
      <cdr:y>0.80786</cdr:y>
    </cdr:to>
    <cdr:sp macro="" textlink="">
      <cdr:nvSpPr>
        <cdr:cNvPr id="2" name="TextBox 1">
          <a:extLst xmlns:a="http://schemas.openxmlformats.org/drawingml/2006/main">
            <a:ext uri="{FF2B5EF4-FFF2-40B4-BE49-F238E27FC236}">
              <a16:creationId xmlns:a16="http://schemas.microsoft.com/office/drawing/2014/main" id="{C56340BD-9915-CB4B-9E72-92944620054E}"/>
            </a:ext>
          </a:extLst>
        </cdr:cNvPr>
        <cdr:cNvSpPr txBox="1"/>
      </cdr:nvSpPr>
      <cdr:spPr>
        <a:xfrm xmlns:a="http://schemas.openxmlformats.org/drawingml/2006/main">
          <a:off x="5636920" y="5793330"/>
          <a:ext cx="1119962" cy="240031"/>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r>
            <a:rPr lang="en-US" sz="2400" b="1">
              <a:latin typeface="Helvetica" pitchFamily="2" charset="0"/>
            </a:rPr>
            <a:t>one in</a:t>
          </a:r>
        </a:p>
      </cdr:txBody>
    </cdr:sp>
  </cdr:relSizeAnchor>
  <cdr:relSizeAnchor xmlns:cdr="http://schemas.openxmlformats.org/drawingml/2006/chartDrawing">
    <cdr:from>
      <cdr:x>0.2479</cdr:x>
      <cdr:y>0.39494</cdr:y>
    </cdr:from>
    <cdr:to>
      <cdr:x>0.84009</cdr:x>
      <cdr:y>0.49894</cdr:y>
    </cdr:to>
    <cdr:sp macro="" textlink="">
      <cdr:nvSpPr>
        <cdr:cNvPr id="13" name="TextBox 12">
          <a:extLst xmlns:a="http://schemas.openxmlformats.org/drawingml/2006/main">
            <a:ext uri="{FF2B5EF4-FFF2-40B4-BE49-F238E27FC236}">
              <a16:creationId xmlns:a16="http://schemas.microsoft.com/office/drawing/2014/main" id="{DD772915-F01C-B04E-9B3E-7C21D346BBA0}"/>
            </a:ext>
          </a:extLst>
        </cdr:cNvPr>
        <cdr:cNvSpPr txBox="1"/>
      </cdr:nvSpPr>
      <cdr:spPr>
        <a:xfrm xmlns:a="http://schemas.openxmlformats.org/drawingml/2006/main">
          <a:off x="1870364" y="3024909"/>
          <a:ext cx="4468091" cy="79663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1.06685E-16</cdr:x>
      <cdr:y>0.09196</cdr:y>
    </cdr:from>
    <cdr:to>
      <cdr:x>1</cdr:x>
      <cdr:y>0.12834</cdr:y>
    </cdr:to>
    <cdr:sp macro="" textlink="compute!$V$35">
      <cdr:nvSpPr>
        <cdr:cNvPr id="39" name="TextBox 1">
          <a:extLst xmlns:a="http://schemas.openxmlformats.org/drawingml/2006/main">
            <a:ext uri="{FF2B5EF4-FFF2-40B4-BE49-F238E27FC236}">
              <a16:creationId xmlns:a16="http://schemas.microsoft.com/office/drawing/2014/main" id="{F62ECED0-729C-E740-9410-EC4CCC53F1DE}"/>
            </a:ext>
          </a:extLst>
        </cdr:cNvPr>
        <cdr:cNvSpPr txBox="1"/>
      </cdr:nvSpPr>
      <cdr:spPr>
        <a:xfrm xmlns:a="http://schemas.openxmlformats.org/drawingml/2006/main">
          <a:off x="50800" y="689051"/>
          <a:ext cx="7493000" cy="272580"/>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9E6E665F-A9F3-FF4B-A3C4-C8AE622DF187}" type="TxLink">
            <a:rPr lang="en-US" sz="2000" b="1" i="0" u="none" strike="noStrike">
              <a:solidFill>
                <a:schemeClr val="accent1"/>
              </a:solidFill>
              <a:effectLst/>
              <a:latin typeface="Helvetica"/>
              <a:ea typeface="+mn-ea"/>
              <a:cs typeface="+mn-cs"/>
            </a:rPr>
            <a:pPr algn="ctr"/>
            <a:t>updated April 21, 2020, evening</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1.06685E-16</cdr:x>
      <cdr:y>0.05759</cdr:y>
    </cdr:from>
    <cdr:to>
      <cdr:x>1</cdr:x>
      <cdr:y>0.08756</cdr:y>
    </cdr:to>
    <cdr:sp macro="" textlink="compute!$B$1">
      <cdr:nvSpPr>
        <cdr:cNvPr id="40" name="TextBox 1">
          <a:extLst xmlns:a="http://schemas.openxmlformats.org/drawingml/2006/main">
            <a:ext uri="{FF2B5EF4-FFF2-40B4-BE49-F238E27FC236}">
              <a16:creationId xmlns:a16="http://schemas.microsoft.com/office/drawing/2014/main" id="{F854C3F0-0C05-B74C-9E6E-A9A33E8838D4}"/>
            </a:ext>
          </a:extLst>
        </cdr:cNvPr>
        <cdr:cNvSpPr txBox="1"/>
      </cdr:nvSpPr>
      <cdr:spPr>
        <a:xfrm xmlns:a="http://schemas.openxmlformats.org/drawingml/2006/main">
          <a:off x="50800" y="431531"/>
          <a:ext cx="7493000" cy="224567"/>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C1CBFC29-7C09-CD49-8C11-D50347592760}" type="TxLink">
            <a:rPr lang="en-US" sz="2000" b="1" i="0" u="none" strike="noStrike">
              <a:solidFill>
                <a:schemeClr val="accent1"/>
              </a:solidFill>
              <a:effectLst/>
              <a:latin typeface="Helvetica"/>
              <a:ea typeface="+mn-ea"/>
              <a:cs typeface="+mn-cs"/>
            </a:rPr>
            <a:pPr algn="ctr"/>
            <a:t>Miami Beach</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1.06685E-16</cdr:x>
      <cdr:y>0.00678</cdr:y>
    </cdr:from>
    <cdr:to>
      <cdr:x>1</cdr:x>
      <cdr:y>0.06623</cdr:y>
    </cdr:to>
    <cdr:sp macro="" textlink="">
      <cdr:nvSpPr>
        <cdr:cNvPr id="41" name="TextBox 2">
          <a:extLst xmlns:a="http://schemas.openxmlformats.org/drawingml/2006/main">
            <a:ext uri="{FF2B5EF4-FFF2-40B4-BE49-F238E27FC236}">
              <a16:creationId xmlns:a16="http://schemas.microsoft.com/office/drawing/2014/main" id="{33DFD8D0-1551-8C4F-A531-BF975680D844}"/>
            </a:ext>
          </a:extLst>
        </cdr:cNvPr>
        <cdr:cNvSpPr txBox="1"/>
      </cdr:nvSpPr>
      <cdr:spPr>
        <a:xfrm xmlns:a="http://schemas.openxmlformats.org/drawingml/2006/main">
          <a:off x="50800" y="50800"/>
          <a:ext cx="7493000" cy="445433"/>
        </a:xfrm>
        <a:prstGeom xmlns:a="http://schemas.openxmlformats.org/drawingml/2006/main" prst="rect">
          <a:avLst/>
        </a:prstGeom>
      </cdr:spPr>
      <cdr:txBody>
        <a:bodyPr xmlns:a="http://schemas.openxmlformats.org/drawingml/2006/main" wrap="square" lIns="0" tIns="9144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rtl="0">
            <a:defRPr sz="2000" b="1" i="0" u="none" strike="noStrike" kern="1200" spc="0" baseline="0">
              <a:solidFill>
                <a:srgbClr val="242852"/>
              </a:solidFill>
              <a:latin typeface="Helvetica" pitchFamily="2" charset="0"/>
              <a:ea typeface="+mn-ea"/>
              <a:cs typeface="+mn-cs"/>
            </a:defRPr>
          </a:pPr>
          <a:r>
            <a:rPr lang="en-US" sz="2400" b="1" i="0">
              <a:solidFill>
                <a:schemeClr val="accent1"/>
              </a:solidFill>
              <a:latin typeface="Helvetica" pitchFamily="2" charset="0"/>
            </a:rPr>
            <a:t>Estimated One-in-X</a:t>
          </a:r>
          <a:r>
            <a:rPr lang="en-US" sz="2400" b="1" i="0" baseline="0">
              <a:solidFill>
                <a:schemeClr val="accent1"/>
              </a:solidFill>
              <a:latin typeface="Helvetica" pitchFamily="2" charset="0"/>
            </a:rPr>
            <a:t> SARS-CoV-2 Infection Odds</a:t>
          </a:r>
          <a:endParaRPr lang="en-US" sz="2400">
            <a:solidFill>
              <a:schemeClr val="accent1"/>
            </a:solidFill>
            <a:latin typeface="Helvetica" pitchFamily="2" charset="0"/>
          </a:endParaRPr>
        </a:p>
      </cdr:txBody>
    </cdr:sp>
  </cdr:relSizeAnchor>
  <cdr:relSizeAnchor xmlns:cdr="http://schemas.openxmlformats.org/drawingml/2006/chartDrawing">
    <cdr:from>
      <cdr:x>0.00141</cdr:x>
      <cdr:y>0.94925</cdr:y>
    </cdr:from>
    <cdr:to>
      <cdr:x>1</cdr:x>
      <cdr:y>1</cdr:y>
    </cdr:to>
    <cdr:sp macro="" textlink="">
      <cdr:nvSpPr>
        <cdr:cNvPr id="14" name="Rectangle 13">
          <a:extLst xmlns:a="http://schemas.openxmlformats.org/drawingml/2006/main">
            <a:ext uri="{FF2B5EF4-FFF2-40B4-BE49-F238E27FC236}">
              <a16:creationId xmlns:a16="http://schemas.microsoft.com/office/drawing/2014/main" id="{C22568FA-7A10-8B48-8604-354E123DFD15}"/>
            </a:ext>
          </a:extLst>
        </cdr:cNvPr>
        <cdr:cNvSpPr/>
      </cdr:nvSpPr>
      <cdr:spPr>
        <a:xfrm xmlns:a="http://schemas.openxmlformats.org/drawingml/2006/main">
          <a:off x="10565" y="7112730"/>
          <a:ext cx="7482435" cy="380270"/>
        </a:xfrm>
        <a:prstGeom xmlns:a="http://schemas.openxmlformats.org/drawingml/2006/main" prst="rect">
          <a:avLst/>
        </a:prstGeom>
        <a:solidFill xmlns:a="http://schemas.openxmlformats.org/drawingml/2006/main">
          <a:srgbClr val="337CBD"/>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0.9148</cdr:x>
      <cdr:y>0.95922</cdr:y>
    </cdr:from>
    <cdr:to>
      <cdr:x>0.94491</cdr:x>
      <cdr:y>0.98869</cdr:y>
    </cdr:to>
    <cdr:pic>
      <cdr:nvPicPr>
        <cdr:cNvPr id="15" name="Picture 14">
          <a:extLst xmlns:a="http://schemas.openxmlformats.org/drawingml/2006/main">
            <a:ext uri="{FF2B5EF4-FFF2-40B4-BE49-F238E27FC236}">
              <a16:creationId xmlns:a16="http://schemas.microsoft.com/office/drawing/2014/main" id="{0F6EEC7E-1E73-0541-99B0-5919D900E384}"/>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6854594" y="7187435"/>
          <a:ext cx="225614" cy="220819"/>
        </a:xfrm>
        <a:prstGeom xmlns:a="http://schemas.openxmlformats.org/drawingml/2006/main" prst="rect">
          <a:avLst/>
        </a:prstGeom>
      </cdr:spPr>
    </cdr:pic>
  </cdr:relSizeAnchor>
  <cdr:relSizeAnchor xmlns:cdr="http://schemas.openxmlformats.org/drawingml/2006/chartDrawing">
    <cdr:from>
      <cdr:x>0.94741</cdr:x>
      <cdr:y>0.95535</cdr:y>
    </cdr:from>
    <cdr:to>
      <cdr:x>0.98552</cdr:x>
      <cdr:y>0.9929</cdr:y>
    </cdr:to>
    <cdr:pic>
      <cdr:nvPicPr>
        <cdr:cNvPr id="16" name="Picture 15">
          <a:extLst xmlns:a="http://schemas.openxmlformats.org/drawingml/2006/main">
            <a:ext uri="{FF2B5EF4-FFF2-40B4-BE49-F238E27FC236}">
              <a16:creationId xmlns:a16="http://schemas.microsoft.com/office/drawing/2014/main" id="{A872D5D8-010A-AB48-A4D5-0CE4EBBE4AEF}"/>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cstate="print">
          <a:extLst>
            <a:ext uri="{28A0092B-C50C-407E-A947-70E740481C1C}">
              <a14:useLocalDpi xmlns:a14="http://schemas.microsoft.com/office/drawing/2010/main" val="0"/>
            </a:ext>
          </a:extLst>
        </a:blip>
        <a:srcRect xmlns:a="http://schemas.openxmlformats.org/drawingml/2006/main"/>
        <a:stretch xmlns:a="http://schemas.openxmlformats.org/drawingml/2006/main"/>
      </cdr:blipFill>
      <cdr:spPr>
        <a:xfrm xmlns:a="http://schemas.openxmlformats.org/drawingml/2006/main">
          <a:off x="7098941" y="7158438"/>
          <a:ext cx="285558" cy="281362"/>
        </a:xfrm>
        <a:prstGeom xmlns:a="http://schemas.openxmlformats.org/drawingml/2006/main" prst="rect">
          <a:avLst/>
        </a:prstGeom>
      </cdr:spPr>
    </cdr:pic>
  </cdr:relSizeAnchor>
  <cdr:relSizeAnchor xmlns:cdr="http://schemas.openxmlformats.org/drawingml/2006/chartDrawing">
    <cdr:from>
      <cdr:x>0.57689</cdr:x>
      <cdr:y>0.95788</cdr:y>
    </cdr:from>
    <cdr:to>
      <cdr:x>0.90387</cdr:x>
      <cdr:y>0.99864</cdr:y>
    </cdr:to>
    <cdr:sp macro="" textlink="">
      <cdr:nvSpPr>
        <cdr:cNvPr id="17" name="TextBox 3">
          <a:extLst xmlns:a="http://schemas.openxmlformats.org/drawingml/2006/main">
            <a:ext uri="{FF2B5EF4-FFF2-40B4-BE49-F238E27FC236}">
              <a16:creationId xmlns:a16="http://schemas.microsoft.com/office/drawing/2014/main" id="{A29125F4-D1F4-B247-B8F3-148D146D3EB1}"/>
            </a:ext>
          </a:extLst>
        </cdr:cNvPr>
        <cdr:cNvSpPr txBox="1"/>
      </cdr:nvSpPr>
      <cdr:spPr>
        <a:xfrm xmlns:a="http://schemas.openxmlformats.org/drawingml/2006/main">
          <a:off x="4322620" y="7177395"/>
          <a:ext cx="2450076" cy="305414"/>
        </a:xfrm>
        <a:prstGeom xmlns:a="http://schemas.openxmlformats.org/drawingml/2006/main" prst="rect">
          <a:avLst/>
        </a:prstGeom>
        <a:noFill xmlns:a="http://schemas.openxmlformats.org/drawingml/2006/main"/>
      </cdr:spPr>
      <cdr:txBody>
        <a:bodyPr xmlns:a="http://schemas.openxmlformats.org/drawingml/2006/main" wrap="square" r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algn="r" defTabSz="914400" eaLnBrk="1" fontAlgn="auto" latinLnBrk="0" hangingPunct="1">
            <a:lnSpc>
              <a:spcPct val="100000"/>
            </a:lnSpc>
            <a:spcBef>
              <a:spcPts val="0"/>
            </a:spcBef>
            <a:spcAft>
              <a:spcPts val="0"/>
            </a:spcAft>
            <a:buClrTx/>
            <a:buSzTx/>
            <a:buFontTx/>
            <a:buNone/>
            <a:tabLst/>
            <a:defRPr/>
          </a:pPr>
          <a:r>
            <a:rPr lang="en-US" sz="1200" b="1">
              <a:solidFill>
                <a:srgbClr val="CCCCFF"/>
              </a:solidFill>
              <a:latin typeface="Helvetica" pitchFamily="2" charset="0"/>
            </a:rPr>
            <a:t>daily updates</a:t>
          </a:r>
          <a:r>
            <a:rPr lang="en-US" sz="1200" b="1">
              <a:solidFill>
                <a:schemeClr val="bg1"/>
              </a:solidFill>
              <a:latin typeface="Helvetica" pitchFamily="2" charset="0"/>
            </a:rPr>
            <a:t> @BeachAnalytics</a:t>
          </a:r>
          <a:endParaRPr lang="en-US" sz="1200" b="1">
            <a:solidFill>
              <a:schemeClr val="bg1"/>
            </a:solidFill>
          </a:endParaRPr>
        </a:p>
      </cdr:txBody>
    </cdr:sp>
  </cdr:relSizeAnchor>
  <cdr:relSizeAnchor xmlns:cdr="http://schemas.openxmlformats.org/drawingml/2006/chartDrawing">
    <cdr:from>
      <cdr:x>0.25889</cdr:x>
      <cdr:y>0.95787</cdr:y>
    </cdr:from>
    <cdr:to>
      <cdr:x>0.57689</cdr:x>
      <cdr:y>0.99665</cdr:y>
    </cdr:to>
    <cdr:sp macro="" textlink="">
      <cdr:nvSpPr>
        <cdr:cNvPr id="23" name="TextBox 1">
          <a:extLst xmlns:a="http://schemas.openxmlformats.org/drawingml/2006/main">
            <a:ext uri="{FF2B5EF4-FFF2-40B4-BE49-F238E27FC236}">
              <a16:creationId xmlns:a16="http://schemas.microsoft.com/office/drawing/2014/main" id="{8BC1877F-1D3A-D344-B98F-F9C9C795F40C}"/>
            </a:ext>
          </a:extLst>
        </cdr:cNvPr>
        <cdr:cNvSpPr txBox="1"/>
      </cdr:nvSpPr>
      <cdr:spPr>
        <a:xfrm xmlns:a="http://schemas.openxmlformats.org/drawingml/2006/main">
          <a:off x="1939869" y="7177319"/>
          <a:ext cx="2382750" cy="290580"/>
        </a:xfrm>
        <a:prstGeom xmlns:a="http://schemas.openxmlformats.org/drawingml/2006/main" prst="rect">
          <a:avLst/>
        </a:prstGeom>
        <a:noFill xmlns:a="http://schemas.openxmlformats.org/drawingml/2006/main"/>
      </cdr:spPr>
      <cdr:txBody>
        <a:bodyPr xmlns:a="http://schemas.openxmlformats.org/drawingml/2006/main" wrap="square" lIns="182880" bIns="9144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b="1" i="0" u="none" strike="noStrike">
              <a:solidFill>
                <a:schemeClr val="bg1"/>
              </a:solidFill>
              <a:latin typeface="Helvetica"/>
            </a:rPr>
            <a:t>https://</a:t>
          </a:r>
          <a:r>
            <a:rPr lang="en-US" sz="1200" b="1" i="0" u="none" strike="noStrike">
              <a:solidFill>
                <a:srgbClr val="CCCCFF"/>
              </a:solidFill>
              <a:latin typeface="Helvetica"/>
            </a:rPr>
            <a:t>Beach</a:t>
          </a:r>
          <a:r>
            <a:rPr lang="en-US" sz="1200" b="1" i="0" u="none" strike="noStrike">
              <a:solidFill>
                <a:schemeClr val="bg1"/>
              </a:solidFill>
              <a:latin typeface="Helvetica"/>
            </a:rPr>
            <a:t>Analytics.info</a:t>
          </a:r>
          <a:endParaRPr lang="en-US" sz="1100" b="1">
            <a:solidFill>
              <a:schemeClr val="bg1"/>
            </a:solidFill>
          </a:endParaRPr>
        </a:p>
      </cdr:txBody>
    </cdr:sp>
  </cdr:relSizeAnchor>
  <cdr:relSizeAnchor xmlns:cdr="http://schemas.openxmlformats.org/drawingml/2006/chartDrawing">
    <cdr:from>
      <cdr:x>0.03703</cdr:x>
      <cdr:y>0.95934</cdr:y>
    </cdr:from>
    <cdr:to>
      <cdr:x>0.24121</cdr:x>
      <cdr:y>0.98771</cdr:y>
    </cdr:to>
    <cdr:pic>
      <cdr:nvPicPr>
        <cdr:cNvPr id="24" name="Picture 23">
          <a:extLst xmlns:a="http://schemas.openxmlformats.org/drawingml/2006/main">
            <a:ext uri="{FF2B5EF4-FFF2-40B4-BE49-F238E27FC236}">
              <a16:creationId xmlns:a16="http://schemas.microsoft.com/office/drawing/2014/main" id="{2912BAF4-DC51-CB41-9D9C-B467385EAB79}"/>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extLst>
            <a:ext uri="{28A0092B-C50C-407E-A947-70E740481C1C}">
              <a14:useLocalDpi xmlns:a14="http://schemas.microsoft.com/office/drawing/2010/main" val="0"/>
            </a:ext>
          </a:extLst>
        </a:blip>
        <a:srcRect xmlns:a="http://schemas.openxmlformats.org/drawingml/2006/main"/>
        <a:stretch xmlns:a="http://schemas.openxmlformats.org/drawingml/2006/main"/>
      </cdr:blipFill>
      <cdr:spPr>
        <a:xfrm xmlns:a="http://schemas.openxmlformats.org/drawingml/2006/main">
          <a:off x="277463" y="7188333"/>
          <a:ext cx="1529921" cy="212578"/>
        </a:xfrm>
        <a:prstGeom xmlns:a="http://schemas.openxmlformats.org/drawingml/2006/main" prst="rect">
          <a:avLst/>
        </a:prstGeom>
      </cdr:spPr>
    </cdr:pic>
  </cdr:relSizeAnchor>
</c:userShapes>
</file>

<file path=xl/drawings/drawing17.xml><?xml version="1.0" encoding="utf-8"?>
<xdr:wsDr xmlns:xdr="http://schemas.openxmlformats.org/drawingml/2006/spreadsheetDrawing" xmlns:a="http://schemas.openxmlformats.org/drawingml/2006/main">
  <xdr:twoCellAnchor>
    <xdr:from>
      <xdr:col>0</xdr:col>
      <xdr:colOff>0</xdr:colOff>
      <xdr:row>1</xdr:row>
      <xdr:rowOff>637657</xdr:rowOff>
    </xdr:from>
    <xdr:to>
      <xdr:col>9</xdr:col>
      <xdr:colOff>27892</xdr:colOff>
      <xdr:row>1</xdr:row>
      <xdr:rowOff>912611</xdr:rowOff>
    </xdr:to>
    <xdr:sp macro="" textlink="compute!V35">
      <xdr:nvSpPr>
        <xdr:cNvPr id="19" name="TextBox 1">
          <a:extLst>
            <a:ext uri="{FF2B5EF4-FFF2-40B4-BE49-F238E27FC236}">
              <a16:creationId xmlns:a16="http://schemas.microsoft.com/office/drawing/2014/main" id="{9DED8223-8D21-2042-89B2-5590E25A44D5}"/>
            </a:ext>
          </a:extLst>
        </xdr:cNvPr>
        <xdr:cNvSpPr txBox="1"/>
      </xdr:nvSpPr>
      <xdr:spPr>
        <a:xfrm>
          <a:off x="0" y="697003"/>
          <a:ext cx="7541070" cy="274954"/>
        </a:xfrm>
        <a:prstGeom prst="rect">
          <a:avLst/>
        </a:prstGeom>
      </xdr:spPr>
      <xdr:txBody>
        <a:bodyPr wrap="square" lIns="0" tIns="0" rIns="0" bIns="0"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fld id="{A40695DC-999B-D346-8770-E0FB1029EBFD}" type="TxLink">
            <a:rPr lang="en-US" sz="2000" b="1" i="0" u="none" strike="noStrike">
              <a:solidFill>
                <a:schemeClr val="accent1"/>
              </a:solidFill>
              <a:effectLst/>
              <a:latin typeface="Helvetica"/>
              <a:ea typeface="+mn-ea"/>
              <a:cs typeface="+mn-cs"/>
            </a:rPr>
            <a:pPr algn="ctr"/>
            <a:t>updated April 21, 2020, evening</a:t>
          </a:fld>
          <a:endParaRPr lang="en-US" sz="2000" b="1">
            <a:solidFill>
              <a:schemeClr val="accent1"/>
            </a:solidFill>
            <a:effectLst/>
            <a:latin typeface="Helvetica" pitchFamily="2" charset="0"/>
            <a:ea typeface="+mn-ea"/>
            <a:cs typeface="+mn-cs"/>
          </a:endParaRPr>
        </a:p>
      </xdr:txBody>
    </xdr:sp>
    <xdr:clientData/>
  </xdr:twoCellAnchor>
  <xdr:twoCellAnchor>
    <xdr:from>
      <xdr:col>0</xdr:col>
      <xdr:colOff>0</xdr:colOff>
      <xdr:row>1</xdr:row>
      <xdr:rowOff>380137</xdr:rowOff>
    </xdr:from>
    <xdr:to>
      <xdr:col>9</xdr:col>
      <xdr:colOff>27892</xdr:colOff>
      <xdr:row>1</xdr:row>
      <xdr:rowOff>604704</xdr:rowOff>
    </xdr:to>
    <xdr:sp macro="" textlink="compute!B1">
      <xdr:nvSpPr>
        <xdr:cNvPr id="20" name="TextBox 1">
          <a:extLst>
            <a:ext uri="{FF2B5EF4-FFF2-40B4-BE49-F238E27FC236}">
              <a16:creationId xmlns:a16="http://schemas.microsoft.com/office/drawing/2014/main" id="{29DF9924-DC32-A14F-AA0D-93B2BC085361}"/>
            </a:ext>
          </a:extLst>
        </xdr:cNvPr>
        <xdr:cNvSpPr txBox="1"/>
      </xdr:nvSpPr>
      <xdr:spPr>
        <a:xfrm>
          <a:off x="0" y="439483"/>
          <a:ext cx="7541070" cy="224567"/>
        </a:xfrm>
        <a:prstGeom prst="rect">
          <a:avLst/>
        </a:prstGeom>
      </xdr:spPr>
      <xdr:txBody>
        <a:bodyPr wrap="square" lIns="0" tIns="0" rIns="0" bIns="0"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fld id="{12488336-478E-644B-A0CB-098D53311840}" type="TxLink">
            <a:rPr lang="en-US" sz="2000" b="1" i="0" u="none" strike="noStrike">
              <a:solidFill>
                <a:schemeClr val="accent1"/>
              </a:solidFill>
              <a:effectLst/>
              <a:latin typeface="Helvetica"/>
              <a:ea typeface="+mn-ea"/>
              <a:cs typeface="+mn-cs"/>
            </a:rPr>
            <a:pPr algn="ctr"/>
            <a:t>Miami Beach</a:t>
          </a:fld>
          <a:endParaRPr lang="en-US" sz="2000" b="1">
            <a:solidFill>
              <a:schemeClr val="accent1"/>
            </a:solidFill>
            <a:effectLst/>
            <a:latin typeface="Helvetica" pitchFamily="2" charset="0"/>
            <a:ea typeface="+mn-ea"/>
            <a:cs typeface="+mn-cs"/>
          </a:endParaRPr>
        </a:p>
      </xdr:txBody>
    </xdr:sp>
    <xdr:clientData/>
  </xdr:twoCellAnchor>
  <xdr:twoCellAnchor>
    <xdr:from>
      <xdr:col>0</xdr:col>
      <xdr:colOff>0</xdr:colOff>
      <xdr:row>1</xdr:row>
      <xdr:rowOff>0</xdr:rowOff>
    </xdr:from>
    <xdr:to>
      <xdr:col>9</xdr:col>
      <xdr:colOff>27892</xdr:colOff>
      <xdr:row>1</xdr:row>
      <xdr:rowOff>444839</xdr:rowOff>
    </xdr:to>
    <xdr:sp macro="" textlink="">
      <xdr:nvSpPr>
        <xdr:cNvPr id="22" name="TextBox 2">
          <a:extLst>
            <a:ext uri="{FF2B5EF4-FFF2-40B4-BE49-F238E27FC236}">
              <a16:creationId xmlns:a16="http://schemas.microsoft.com/office/drawing/2014/main" id="{A691A762-5E91-5E40-964B-284D46B5B935}"/>
            </a:ext>
          </a:extLst>
        </xdr:cNvPr>
        <xdr:cNvSpPr txBox="1"/>
      </xdr:nvSpPr>
      <xdr:spPr>
        <a:xfrm>
          <a:off x="0" y="59346"/>
          <a:ext cx="7541070" cy="444839"/>
        </a:xfrm>
        <a:prstGeom prst="rect">
          <a:avLst/>
        </a:prstGeom>
      </xdr:spPr>
      <xdr:txBody>
        <a:bodyPr wrap="square" lIns="0" tIns="91440" rIns="0" bIns="0"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rtl="0">
            <a:defRPr sz="2000" b="1" i="0" u="none" strike="noStrike" kern="1200" spc="0" baseline="0">
              <a:solidFill>
                <a:srgbClr val="242852"/>
              </a:solidFill>
              <a:latin typeface="Helvetica" pitchFamily="2" charset="0"/>
              <a:ea typeface="+mn-ea"/>
              <a:cs typeface="+mn-cs"/>
            </a:defRPr>
          </a:pPr>
          <a:r>
            <a:rPr lang="en-US" sz="2400" b="1" i="0" baseline="0">
              <a:solidFill>
                <a:schemeClr val="accent1"/>
              </a:solidFill>
              <a:latin typeface="Helvetica" pitchFamily="2" charset="0"/>
            </a:rPr>
            <a:t>SARS-CoV-2 Infection Estimates</a:t>
          </a:r>
          <a:endParaRPr lang="en-US" sz="2400">
            <a:solidFill>
              <a:schemeClr val="accent1"/>
            </a:solidFill>
            <a:latin typeface="Helvetica" pitchFamily="2" charset="0"/>
          </a:endParaRPr>
        </a:p>
      </xdr:txBody>
    </xdr:sp>
    <xdr:clientData/>
  </xdr:twoCellAnchor>
  <xdr:twoCellAnchor>
    <xdr:from>
      <xdr:col>0</xdr:col>
      <xdr:colOff>0</xdr:colOff>
      <xdr:row>18</xdr:row>
      <xdr:rowOff>11442</xdr:rowOff>
    </xdr:from>
    <xdr:to>
      <xdr:col>8</xdr:col>
      <xdr:colOff>192635</xdr:colOff>
      <xdr:row>19</xdr:row>
      <xdr:rowOff>8424</xdr:rowOff>
    </xdr:to>
    <xdr:sp macro="" textlink="">
      <xdr:nvSpPr>
        <xdr:cNvPr id="10" name="Rectangle 9">
          <a:extLst>
            <a:ext uri="{FF2B5EF4-FFF2-40B4-BE49-F238E27FC236}">
              <a16:creationId xmlns:a16="http://schemas.microsoft.com/office/drawing/2014/main" id="{C22568FA-7A10-8B48-8604-354E123DFD15}"/>
            </a:ext>
          </a:extLst>
        </xdr:cNvPr>
        <xdr:cNvSpPr/>
      </xdr:nvSpPr>
      <xdr:spPr>
        <a:xfrm>
          <a:off x="0" y="7122298"/>
          <a:ext cx="7475112" cy="380270"/>
        </a:xfrm>
        <a:prstGeom prst="rect">
          <a:avLst/>
        </a:prstGeom>
        <a:solidFill>
          <a:srgbClr val="337CBD"/>
        </a:solidFill>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en-US"/>
        </a:p>
      </xdr:txBody>
    </xdr:sp>
    <xdr:clientData/>
  </xdr:twoCellAnchor>
  <xdr:twoCellAnchor editAs="oneCell">
    <xdr:from>
      <xdr:col>6</xdr:col>
      <xdr:colOff>2765194</xdr:colOff>
      <xdr:row>18</xdr:row>
      <xdr:rowOff>86147</xdr:rowOff>
    </xdr:from>
    <xdr:to>
      <xdr:col>6</xdr:col>
      <xdr:colOff>2990808</xdr:colOff>
      <xdr:row>18</xdr:row>
      <xdr:rowOff>306966</xdr:rowOff>
    </xdr:to>
    <xdr:pic>
      <xdr:nvPicPr>
        <xdr:cNvPr id="15" name="Picture 14">
          <a:extLst>
            <a:ext uri="{FF2B5EF4-FFF2-40B4-BE49-F238E27FC236}">
              <a16:creationId xmlns:a16="http://schemas.microsoft.com/office/drawing/2014/main" id="{0F6EEC7E-1E73-0541-99B0-5919D900E3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98302" y="7197003"/>
          <a:ext cx="225614" cy="220819"/>
        </a:xfrm>
        <a:prstGeom prst="rect">
          <a:avLst/>
        </a:prstGeom>
      </xdr:spPr>
    </xdr:pic>
    <xdr:clientData/>
  </xdr:twoCellAnchor>
  <xdr:twoCellAnchor editAs="oneCell">
    <xdr:from>
      <xdr:col>6</xdr:col>
      <xdr:colOff>3009541</xdr:colOff>
      <xdr:row>18</xdr:row>
      <xdr:rowOff>57150</xdr:rowOff>
    </xdr:from>
    <xdr:to>
      <xdr:col>8</xdr:col>
      <xdr:colOff>43899</xdr:colOff>
      <xdr:row>18</xdr:row>
      <xdr:rowOff>338512</xdr:rowOff>
    </xdr:to>
    <xdr:pic>
      <xdr:nvPicPr>
        <xdr:cNvPr id="16" name="Picture 15">
          <a:extLst>
            <a:ext uri="{FF2B5EF4-FFF2-40B4-BE49-F238E27FC236}">
              <a16:creationId xmlns:a16="http://schemas.microsoft.com/office/drawing/2014/main" id="{A872D5D8-010A-AB48-A4D5-0CE4EBBE4AEF}"/>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7042649" y="7168006"/>
          <a:ext cx="283727" cy="281362"/>
        </a:xfrm>
        <a:prstGeom prst="rect">
          <a:avLst/>
        </a:prstGeom>
      </xdr:spPr>
    </xdr:pic>
    <xdr:clientData/>
  </xdr:twoCellAnchor>
  <xdr:twoCellAnchor>
    <xdr:from>
      <xdr:col>6</xdr:col>
      <xdr:colOff>233220</xdr:colOff>
      <xdr:row>18</xdr:row>
      <xdr:rowOff>76107</xdr:rowOff>
    </xdr:from>
    <xdr:to>
      <xdr:col>6</xdr:col>
      <xdr:colOff>2683296</xdr:colOff>
      <xdr:row>18</xdr:row>
      <xdr:rowOff>381521</xdr:rowOff>
    </xdr:to>
    <xdr:sp macro="" textlink="">
      <xdr:nvSpPr>
        <xdr:cNvPr id="17" name="TextBox 3">
          <a:extLst>
            <a:ext uri="{FF2B5EF4-FFF2-40B4-BE49-F238E27FC236}">
              <a16:creationId xmlns:a16="http://schemas.microsoft.com/office/drawing/2014/main" id="{A29125F4-D1F4-B247-B8F3-148D146D3EB1}"/>
            </a:ext>
          </a:extLst>
        </xdr:cNvPr>
        <xdr:cNvSpPr txBox="1"/>
      </xdr:nvSpPr>
      <xdr:spPr>
        <a:xfrm>
          <a:off x="4266328" y="7186963"/>
          <a:ext cx="2450076" cy="305414"/>
        </a:xfrm>
        <a:prstGeom prst="rect">
          <a:avLst/>
        </a:prstGeom>
        <a:noFill/>
      </xdr:spPr>
      <xdr:txBody>
        <a:bodyPr wrap="square" rIns="0"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marR="0" lvl="0" indent="0" algn="r" defTabSz="914400" eaLnBrk="1" fontAlgn="auto" latinLnBrk="0" hangingPunct="1">
            <a:lnSpc>
              <a:spcPct val="100000"/>
            </a:lnSpc>
            <a:spcBef>
              <a:spcPts val="0"/>
            </a:spcBef>
            <a:spcAft>
              <a:spcPts val="0"/>
            </a:spcAft>
            <a:buClrTx/>
            <a:buSzTx/>
            <a:buFontTx/>
            <a:buNone/>
            <a:tabLst/>
            <a:defRPr/>
          </a:pPr>
          <a:r>
            <a:rPr lang="en-US" sz="1200" b="1">
              <a:solidFill>
                <a:srgbClr val="CCCCFF"/>
              </a:solidFill>
              <a:latin typeface="Helvetica" pitchFamily="2" charset="0"/>
            </a:rPr>
            <a:t>daily updates</a:t>
          </a:r>
          <a:r>
            <a:rPr lang="en-US" sz="1200" b="1">
              <a:solidFill>
                <a:schemeClr val="bg1"/>
              </a:solidFill>
              <a:latin typeface="Helvetica" pitchFamily="2" charset="0"/>
            </a:rPr>
            <a:t> @BeachAnalytics</a:t>
          </a:r>
          <a:endParaRPr lang="en-US" sz="1200" b="1">
            <a:solidFill>
              <a:schemeClr val="bg1"/>
            </a:solidFill>
          </a:endParaRPr>
        </a:p>
      </xdr:txBody>
    </xdr:sp>
    <xdr:clientData/>
  </xdr:twoCellAnchor>
  <xdr:twoCellAnchor>
    <xdr:from>
      <xdr:col>2</xdr:col>
      <xdr:colOff>1533469</xdr:colOff>
      <xdr:row>18</xdr:row>
      <xdr:rowOff>76031</xdr:rowOff>
    </xdr:from>
    <xdr:to>
      <xdr:col>6</xdr:col>
      <xdr:colOff>233219</xdr:colOff>
      <xdr:row>18</xdr:row>
      <xdr:rowOff>366611</xdr:rowOff>
    </xdr:to>
    <xdr:sp macro="" textlink="">
      <xdr:nvSpPr>
        <xdr:cNvPr id="18" name="TextBox 1">
          <a:extLst>
            <a:ext uri="{FF2B5EF4-FFF2-40B4-BE49-F238E27FC236}">
              <a16:creationId xmlns:a16="http://schemas.microsoft.com/office/drawing/2014/main" id="{8BC1877F-1D3A-D344-B98F-F9C9C795F40C}"/>
            </a:ext>
          </a:extLst>
        </xdr:cNvPr>
        <xdr:cNvSpPr txBox="1"/>
      </xdr:nvSpPr>
      <xdr:spPr>
        <a:xfrm>
          <a:off x="1888154" y="7186887"/>
          <a:ext cx="2378173" cy="290580"/>
        </a:xfrm>
        <a:prstGeom prst="rect">
          <a:avLst/>
        </a:prstGeom>
        <a:noFill/>
      </xdr:spPr>
      <xdr:txBody>
        <a:bodyPr wrap="square" lIns="182880" bIns="91440"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r>
            <a:rPr lang="en-US" sz="1200" b="1" i="0" u="none" strike="noStrike">
              <a:solidFill>
                <a:schemeClr val="bg1"/>
              </a:solidFill>
              <a:latin typeface="Helvetica"/>
            </a:rPr>
            <a:t>https://</a:t>
          </a:r>
          <a:r>
            <a:rPr lang="en-US" sz="1200" b="1" i="0" u="none" strike="noStrike">
              <a:solidFill>
                <a:srgbClr val="CCCCFF"/>
              </a:solidFill>
              <a:latin typeface="Helvetica"/>
            </a:rPr>
            <a:t>Beach</a:t>
          </a:r>
          <a:r>
            <a:rPr lang="en-US" sz="1200" b="1" i="0" u="none" strike="noStrike">
              <a:solidFill>
                <a:schemeClr val="bg1"/>
              </a:solidFill>
              <a:latin typeface="Helvetica"/>
            </a:rPr>
            <a:t>Analytics.info</a:t>
          </a:r>
          <a:endParaRPr lang="en-US" sz="1100" b="1">
            <a:solidFill>
              <a:schemeClr val="bg1"/>
            </a:solidFill>
          </a:endParaRPr>
        </a:p>
      </xdr:txBody>
    </xdr:sp>
    <xdr:clientData/>
  </xdr:twoCellAnchor>
  <xdr:twoCellAnchor editAs="oneCell">
    <xdr:from>
      <xdr:col>1</xdr:col>
      <xdr:colOff>10763</xdr:colOff>
      <xdr:row>18</xdr:row>
      <xdr:rowOff>87045</xdr:rowOff>
    </xdr:from>
    <xdr:to>
      <xdr:col>2</xdr:col>
      <xdr:colOff>1400984</xdr:colOff>
      <xdr:row>18</xdr:row>
      <xdr:rowOff>299623</xdr:rowOff>
    </xdr:to>
    <xdr:pic>
      <xdr:nvPicPr>
        <xdr:cNvPr id="21" name="Picture 20">
          <a:extLst>
            <a:ext uri="{FF2B5EF4-FFF2-40B4-BE49-F238E27FC236}">
              <a16:creationId xmlns:a16="http://schemas.microsoft.com/office/drawing/2014/main" id="{2912BAF4-DC51-CB41-9D9C-B467385EAB79}"/>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228150" y="7197901"/>
          <a:ext cx="1527519" cy="212578"/>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BE4AE7D-0714-C143-A688-292634C906F9}" name="Table2" displayName="Table2" ref="A4:V34" totalsRowShown="0" headerRowDxfId="23" dataDxfId="22" headerRowCellStyle="Heading 3">
  <autoFilter ref="A4:V34" xr:uid="{550F0C45-D7F8-B94B-924D-6E337BF889A7}"/>
  <tableColumns count="22">
    <tableColumn id="1" xr3:uid="{5A8F4760-7ADB-5643-B32D-8C30EC7E1E18}" name="date" dataDxfId="1"/>
    <tableColumn id="2" xr3:uid="{1A056131-5760-2749-834E-BF55DAB2649A}" name="cases" dataDxfId="0"/>
    <tableColumn id="7" xr3:uid="{E5423AEA-3C8B-5E41-AC0D-429045679C6E}" name="case percentage" dataDxfId="21" dataCellStyle="Percent">
      <calculatedColumnFormula>Table2[[#This Row],[cases]]/$B$2</calculatedColumnFormula>
    </tableColumn>
    <tableColumn id="20" xr3:uid="{583731BA-1864-EF40-AEF7-A80834F00231}" name="% increase" dataDxfId="20">
      <calculatedColumnFormula>(Table2[[#This Row],[cases]]-B4)/B4</calculatedColumnFormula>
    </tableColumn>
    <tableColumn id="19" xr3:uid="{C3C6B808-3CB5-8B45-A4B9-4A6CDF5E27BE}" name="doubling time (days)" dataDxfId="19">
      <calculatedColumnFormula>(LN(2)/LN(B5/B4))</calculatedColumnFormula>
    </tableColumn>
    <tableColumn id="22" xr3:uid="{90069003-40F0-4A42-B540-85A67A611F36}" name="estimated infections" dataDxfId="18">
      <calculatedColumnFormula>Table2[[#This Row],[cases]]*100/$T$19</calculatedColumnFormula>
    </tableColumn>
    <tableColumn id="8" xr3:uid="{C899EFA6-17F8-B447-A1DB-6D7083A2F531}" name="infection count, low end of estimate range" dataDxfId="17">
      <calculatedColumnFormula>Table2[[#This Row],[cases]]*100/$T$13</calculatedColumnFormula>
    </tableColumn>
    <tableColumn id="9" xr3:uid="{9DA1C9E0-36F7-DE43-8448-4D8CE8B57839}" name="infection count, high end of estimate range" dataDxfId="16">
      <calculatedColumnFormula>Table2[[#This Row],[cases]]*100/$T$16</calculatedColumnFormula>
    </tableColumn>
    <tableColumn id="11" xr3:uid="{DF5E18EF-399D-9948-A8F2-9862C2232353}" name="infection count difference" dataDxfId="15">
      <calculatedColumnFormula>Table2[[#This Row],[infection count, high end of estimate range]]-Table2[[#This Row],[infection count, low end of estimate range]]</calculatedColumnFormula>
    </tableColumn>
    <tableColumn id="10" xr3:uid="{F5EF272D-BCCD-9A42-A437-406EF6A3644D}" name="average infection count" dataDxfId="14">
      <calculatedColumnFormula>(Table2[[#This Row],[infection count, low end of estimate range]]+Table2[[#This Row],[infection count, high end of estimate range]])/2</calculatedColumnFormula>
    </tableColumn>
    <tableColumn id="21" xr3:uid="{B5888CB3-C5F1-5841-B1D0-5A7380A5C5EF}" name="estimated infections as percentage" dataDxfId="13">
      <calculatedColumnFormula>Table2[[#This Row],[estimated infections]]/$T$6</calculatedColumnFormula>
    </tableColumn>
    <tableColumn id="12" xr3:uid="{8AB0CE19-F28B-1B41-B08C-6F528E4C628D}" name="infection percentage, low end of estimate range" dataDxfId="12">
      <calculatedColumnFormula>Table2[[#This Row],[infection count, low end of estimate range]]/$T$6</calculatedColumnFormula>
    </tableColumn>
    <tableColumn id="13" xr3:uid="{1109EB50-6E0E-5D49-923A-162321C9390D}" name="infection percentage, high end of estimate range" dataDxfId="11">
      <calculatedColumnFormula>Table2[[#This Row],[infection count, high end of estimate range]]/$T$6</calculatedColumnFormula>
    </tableColumn>
    <tableColumn id="14" xr3:uid="{238DA9D3-166B-A04A-B1CF-89D64E5C9BCE}" name="infection percentage difference" dataDxfId="10">
      <calculatedColumnFormula>Table2[[#This Row],[infection percentage, high end of estimate range]]-Table2[[#This Row],[infection percentage, low end of estimate range]]</calculatedColumnFormula>
    </tableColumn>
    <tableColumn id="15" xr3:uid="{DE45558E-71C3-0C4E-A3A2-8B967C3E17AB}" name="average infection percentage" dataDxfId="9">
      <calculatedColumnFormula>(Table2[[#This Row],[infection percentage, low end of estimate range]]+Table2[[#This Row],[infection percentage, high end of estimate range]])/2</calculatedColumnFormula>
    </tableColumn>
    <tableColumn id="3" xr3:uid="{02005BA0-C3BB-F54B-908A-B7ECE76A73E8}" name="1-in-X odds, estimating 5x cases infected" dataDxfId="8">
      <calculatedColumnFormula>$T$6/(Table2[[#This Row],[cases]]*5)</calculatedColumnFormula>
    </tableColumn>
    <tableColumn id="4" xr3:uid="{244EEAB7-EA2F-9142-A896-C40C6D4A9BE9}" name="1-in-X odds, estimating 7x cases infected" dataDxfId="7">
      <calculatedColumnFormula>$T$6/(Table2[[#This Row],[cases]]*7)</calculatedColumnFormula>
    </tableColumn>
    <tableColumn id="5" xr3:uid="{8F986CA1-2145-0B4C-AAAE-6153D0E4F495}" name="1-in-X odds difference" dataDxfId="6">
      <calculatedColumnFormula>Table2[[#This Row],[1-in-X odds, estimating 5x cases infected]]-Table2[[#This Row],[1-in-X odds, estimating 7x cases infected]]</calculatedColumnFormula>
    </tableColumn>
    <tableColumn id="6" xr3:uid="{A840ABA5-36ED-FF4A-9BD9-42132A34A0D4}" name="average 1-in-X odds" dataDxfId="5">
      <calculatedColumnFormula>(Table2[[#This Row],[1-in-X odds, estimating 5x cases infected]]+Table2[[#This Row],[1-in-X odds, estimating 7x cases infected]])/2</calculatedColumnFormula>
    </tableColumn>
    <tableColumn id="16" xr3:uid="{3F9CC5ED-74BF-8D4B-A8C4-40AA15D26E71}" name="constants" dataDxfId="4"/>
    <tableColumn id="17" xr3:uid="{B5DA71D5-91C3-F54E-9A79-5F7DD2472B6E}" name="computed" dataDxfId="3"/>
    <tableColumn id="18" xr3:uid="{22EA3CBE-6B18-9845-9A5C-8FD79B240D43}" name="Column1" dataDxfId="2"/>
  </tableColumns>
  <tableStyleInfo name="TableStyleLight10" showFirstColumn="0" showLastColumn="0" showRowStripes="1" showColumnStripes="0"/>
</table>
</file>

<file path=xl/theme/theme1.xml><?xml version="1.0" encoding="utf-8"?>
<a:theme xmlns:a="http://schemas.openxmlformats.org/drawingml/2006/main" name="Office Theme">
  <a:themeElements>
    <a:clrScheme name="Blue Warm">
      <a:dk1>
        <a:sysClr val="windowText" lastClr="000000"/>
      </a:dk1>
      <a:lt1>
        <a:sysClr val="window" lastClr="FFFFFF"/>
      </a:lt1>
      <a:dk2>
        <a:srgbClr val="242852"/>
      </a:dk2>
      <a:lt2>
        <a:srgbClr val="ACCBF9"/>
      </a:lt2>
      <a:accent1>
        <a:srgbClr val="4A66AC"/>
      </a:accent1>
      <a:accent2>
        <a:srgbClr val="629DD1"/>
      </a:accent2>
      <a:accent3>
        <a:srgbClr val="297FD5"/>
      </a:accent3>
      <a:accent4>
        <a:srgbClr val="7F8FA9"/>
      </a:accent4>
      <a:accent5>
        <a:srgbClr val="5AA2AE"/>
      </a:accent5>
      <a:accent6>
        <a:srgbClr val="9D90A0"/>
      </a:accent6>
      <a:hlink>
        <a:srgbClr val="9454C3"/>
      </a:hlink>
      <a:folHlink>
        <a:srgbClr val="3EBBF0"/>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0C3CE-5E19-6B41-9872-01F52BB95541}">
  <sheetPr codeName="Sheet1"/>
  <dimension ref="A1"/>
  <sheetViews>
    <sheetView zoomScaleNormal="100" workbookViewId="0">
      <selection activeCell="L31" sqref="L31"/>
    </sheetView>
  </sheetViews>
  <sheetFormatPr baseColWidth="10" defaultRowHeight="16" x14ac:dyDescent="0.2"/>
  <sheetData/>
  <dataConsolidate/>
  <pageMargins left="0.7" right="0.7" top="0.75" bottom="0.75" header="0.3" footer="0.3"/>
  <pageSetup orientation="portrait" horizontalDpi="0" verticalDpi="0"/>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073465-3D1F-6C47-92FC-023D9EFCFB0F}">
  <sheetPr codeName="Sheet16"/>
  <dimension ref="A1"/>
  <sheetViews>
    <sheetView zoomScaleNormal="100" workbookViewId="0">
      <selection activeCell="M36" sqref="M36"/>
    </sheetView>
  </sheetViews>
  <sheetFormatPr baseColWidth="10" defaultRowHeight="16" x14ac:dyDescent="0.2"/>
  <sheetData/>
  <pageMargins left="0.7" right="0.7" top="0.75" bottom="0.75" header="0.3" footer="0.3"/>
  <pageSetup orientation="portrait" horizontalDpi="0" verticalDpi="0"/>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9325F-4CB1-3F40-94C5-A1802ACCE420}">
  <sheetPr codeName="Sheet2"/>
  <dimension ref="A1"/>
  <sheetViews>
    <sheetView zoomScaleNormal="100" workbookViewId="0">
      <selection activeCell="N30" sqref="N30"/>
    </sheetView>
  </sheetViews>
  <sheetFormatPr baseColWidth="10" defaultRowHeight="16" x14ac:dyDescent="0.2"/>
  <sheetData/>
  <pageMargins left="0.7" right="0.7" top="0.75" bottom="0.75" header="0.3" footer="0.3"/>
  <pageSetup orientation="portrait" horizontalDpi="0" verticalDpi="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26BEB-40E2-ED4B-A542-5EA1102CBE4A}">
  <sheetPr codeName="Sheet3"/>
  <dimension ref="A1"/>
  <sheetViews>
    <sheetView zoomScaleNormal="100" workbookViewId="0">
      <selection activeCell="O20" sqref="O20"/>
    </sheetView>
  </sheetViews>
  <sheetFormatPr baseColWidth="10" defaultRowHeight="16" x14ac:dyDescent="0.2"/>
  <sheetData/>
  <pageMargins left="0.7" right="0.7" top="0.75" bottom="0.75" header="0.3" footer="0.3"/>
  <pageSetup orientation="portrait" horizontalDpi="0" verticalDpi="0"/>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EB5C43-2AA7-0745-A71C-8E84F1FEDF5A}">
  <sheetPr codeName="Sheet21"/>
  <dimension ref="K1:M396"/>
  <sheetViews>
    <sheetView zoomScaleNormal="100" workbookViewId="0">
      <selection activeCell="O13" sqref="O13"/>
    </sheetView>
  </sheetViews>
  <sheetFormatPr baseColWidth="10" defaultRowHeight="16" x14ac:dyDescent="0.2"/>
  <cols>
    <col min="11" max="14" width="10.83203125" customWidth="1"/>
  </cols>
  <sheetData>
    <row r="1" spans="11:13" x14ac:dyDescent="0.2">
      <c r="K1" t="s">
        <v>53</v>
      </c>
    </row>
    <row r="2" spans="11:13" x14ac:dyDescent="0.2">
      <c r="K2" t="s">
        <v>0</v>
      </c>
      <c r="L2" t="s">
        <v>54</v>
      </c>
      <c r="M2" t="s">
        <v>55</v>
      </c>
    </row>
    <row r="3" spans="11:13" x14ac:dyDescent="0.2">
      <c r="K3" s="76">
        <v>43913</v>
      </c>
      <c r="L3" s="70">
        <v>0.2</v>
      </c>
      <c r="M3" s="70">
        <v>1</v>
      </c>
    </row>
    <row r="4" spans="11:13" x14ac:dyDescent="0.2">
      <c r="K4" s="76">
        <v>43914</v>
      </c>
      <c r="L4" s="70">
        <v>0.2</v>
      </c>
      <c r="M4" s="70">
        <v>1</v>
      </c>
    </row>
    <row r="5" spans="11:13" x14ac:dyDescent="0.2">
      <c r="K5" s="76">
        <v>43915</v>
      </c>
      <c r="L5" s="70">
        <v>0.2</v>
      </c>
      <c r="M5" s="70">
        <v>1</v>
      </c>
    </row>
    <row r="6" spans="11:13" x14ac:dyDescent="0.2">
      <c r="K6" s="76">
        <v>43916</v>
      </c>
      <c r="L6" s="70">
        <v>0.2</v>
      </c>
      <c r="M6" s="70">
        <v>1</v>
      </c>
    </row>
    <row r="7" spans="11:13" x14ac:dyDescent="0.2">
      <c r="K7" s="76">
        <v>43917</v>
      </c>
      <c r="L7" s="70">
        <v>0.2</v>
      </c>
      <c r="M7" s="70">
        <v>1</v>
      </c>
    </row>
    <row r="8" spans="11:13" x14ac:dyDescent="0.2">
      <c r="K8" s="76">
        <v>43918</v>
      </c>
      <c r="L8" s="70">
        <v>0.2</v>
      </c>
      <c r="M8" s="70">
        <v>1</v>
      </c>
    </row>
    <row r="9" spans="11:13" x14ac:dyDescent="0.2">
      <c r="K9" s="76">
        <v>43919</v>
      </c>
      <c r="L9" s="70">
        <v>0.2</v>
      </c>
      <c r="M9" s="70">
        <v>1</v>
      </c>
    </row>
    <row r="10" spans="11:13" x14ac:dyDescent="0.2">
      <c r="K10" s="76">
        <v>43920</v>
      </c>
      <c r="L10" s="70">
        <v>0.2</v>
      </c>
      <c r="M10" s="70">
        <v>1</v>
      </c>
    </row>
    <row r="11" spans="11:13" x14ac:dyDescent="0.2">
      <c r="K11" s="76">
        <v>43921</v>
      </c>
      <c r="L11" s="70">
        <v>0.2</v>
      </c>
      <c r="M11" s="70">
        <v>1</v>
      </c>
    </row>
    <row r="12" spans="11:13" x14ac:dyDescent="0.2">
      <c r="K12" s="76">
        <v>43922</v>
      </c>
      <c r="L12" s="70">
        <v>0.2</v>
      </c>
      <c r="M12" s="70">
        <v>1</v>
      </c>
    </row>
    <row r="13" spans="11:13" x14ac:dyDescent="0.2">
      <c r="K13" s="76">
        <v>43923</v>
      </c>
      <c r="L13" s="70">
        <v>0.2</v>
      </c>
      <c r="M13" s="70">
        <v>1</v>
      </c>
    </row>
    <row r="14" spans="11:13" x14ac:dyDescent="0.2">
      <c r="K14" s="76">
        <v>43924</v>
      </c>
      <c r="L14" s="70">
        <v>0.2</v>
      </c>
      <c r="M14" s="70">
        <v>1</v>
      </c>
    </row>
    <row r="15" spans="11:13" x14ac:dyDescent="0.2">
      <c r="K15" s="76">
        <v>43925</v>
      </c>
      <c r="L15" s="70">
        <v>0.2</v>
      </c>
      <c r="M15" s="70">
        <v>1</v>
      </c>
    </row>
    <row r="16" spans="11:13" x14ac:dyDescent="0.2">
      <c r="K16" s="76">
        <v>43926</v>
      </c>
      <c r="L16" s="70">
        <v>0.2</v>
      </c>
      <c r="M16" s="70">
        <v>1</v>
      </c>
    </row>
    <row r="17" spans="11:13" x14ac:dyDescent="0.2">
      <c r="K17" s="76">
        <v>43927</v>
      </c>
      <c r="L17" s="70">
        <v>0.2</v>
      </c>
      <c r="M17" s="70">
        <v>1</v>
      </c>
    </row>
    <row r="18" spans="11:13" x14ac:dyDescent="0.2">
      <c r="K18" s="76">
        <v>43928</v>
      </c>
      <c r="L18" s="70">
        <v>0.2</v>
      </c>
      <c r="M18" s="70">
        <v>1</v>
      </c>
    </row>
    <row r="19" spans="11:13" x14ac:dyDescent="0.2">
      <c r="K19" s="76">
        <v>43929</v>
      </c>
      <c r="L19" s="70">
        <v>0.2</v>
      </c>
      <c r="M19" s="70">
        <v>1</v>
      </c>
    </row>
    <row r="20" spans="11:13" x14ac:dyDescent="0.2">
      <c r="K20" s="76">
        <v>43930</v>
      </c>
      <c r="L20" s="70">
        <v>0.2</v>
      </c>
      <c r="M20" s="70">
        <v>1</v>
      </c>
    </row>
    <row r="21" spans="11:13" x14ac:dyDescent="0.2">
      <c r="K21" s="76">
        <v>43931</v>
      </c>
      <c r="L21" s="70">
        <v>0.2</v>
      </c>
      <c r="M21" s="70">
        <v>1</v>
      </c>
    </row>
    <row r="22" spans="11:13" x14ac:dyDescent="0.2">
      <c r="K22" s="76">
        <v>43932</v>
      </c>
      <c r="L22" s="70">
        <v>0.2</v>
      </c>
      <c r="M22" s="70">
        <v>1</v>
      </c>
    </row>
    <row r="23" spans="11:13" x14ac:dyDescent="0.2">
      <c r="K23" s="76">
        <v>43933</v>
      </c>
      <c r="L23" s="70">
        <v>0.2</v>
      </c>
      <c r="M23" s="70">
        <v>1</v>
      </c>
    </row>
    <row r="24" spans="11:13" x14ac:dyDescent="0.2">
      <c r="K24" s="76">
        <v>43934</v>
      </c>
      <c r="L24" s="70">
        <v>0.2</v>
      </c>
      <c r="M24" s="70">
        <v>1</v>
      </c>
    </row>
    <row r="25" spans="11:13" x14ac:dyDescent="0.2">
      <c r="K25" s="76">
        <v>43935</v>
      </c>
      <c r="L25" s="70">
        <v>0.2</v>
      </c>
      <c r="M25" s="70">
        <v>1</v>
      </c>
    </row>
    <row r="26" spans="11:13" x14ac:dyDescent="0.2">
      <c r="K26" s="76">
        <v>43936</v>
      </c>
      <c r="L26" s="70">
        <v>0.2</v>
      </c>
      <c r="M26" s="70">
        <v>1</v>
      </c>
    </row>
    <row r="27" spans="11:13" x14ac:dyDescent="0.2">
      <c r="K27" s="76">
        <v>43937</v>
      </c>
      <c r="L27" s="70">
        <v>0.2</v>
      </c>
      <c r="M27" s="70">
        <v>1</v>
      </c>
    </row>
    <row r="28" spans="11:13" x14ac:dyDescent="0.2">
      <c r="K28" s="76">
        <v>43938</v>
      </c>
      <c r="L28" s="70">
        <v>0.2</v>
      </c>
      <c r="M28" s="70">
        <v>1</v>
      </c>
    </row>
    <row r="29" spans="11:13" x14ac:dyDescent="0.2">
      <c r="K29" s="76">
        <v>43939</v>
      </c>
      <c r="L29" s="70">
        <v>0.2</v>
      </c>
      <c r="M29" s="70">
        <v>1</v>
      </c>
    </row>
    <row r="30" spans="11:13" x14ac:dyDescent="0.2">
      <c r="K30" s="76">
        <v>43940</v>
      </c>
      <c r="L30" s="70">
        <v>0.2</v>
      </c>
      <c r="M30" s="70">
        <v>1</v>
      </c>
    </row>
    <row r="31" spans="11:13" x14ac:dyDescent="0.2">
      <c r="K31" s="76">
        <v>43941</v>
      </c>
      <c r="L31" s="70">
        <v>0.2</v>
      </c>
      <c r="M31" s="70">
        <v>1</v>
      </c>
    </row>
    <row r="32" spans="11:13" x14ac:dyDescent="0.2">
      <c r="K32" s="76">
        <v>43942</v>
      </c>
      <c r="L32" s="70">
        <v>0.2</v>
      </c>
      <c r="M32" s="70">
        <v>1</v>
      </c>
    </row>
    <row r="33" spans="11:13" x14ac:dyDescent="0.2">
      <c r="K33" s="76">
        <v>43943</v>
      </c>
      <c r="L33" s="70">
        <v>0.2</v>
      </c>
      <c r="M33" s="70">
        <v>1</v>
      </c>
    </row>
    <row r="34" spans="11:13" x14ac:dyDescent="0.2">
      <c r="K34" s="76">
        <v>43944</v>
      </c>
      <c r="L34" s="70">
        <v>0.2</v>
      </c>
      <c r="M34" s="70">
        <v>1</v>
      </c>
    </row>
    <row r="35" spans="11:13" x14ac:dyDescent="0.2">
      <c r="K35" s="76">
        <v>43945</v>
      </c>
      <c r="L35" s="70">
        <v>0.2</v>
      </c>
      <c r="M35" s="70">
        <v>1</v>
      </c>
    </row>
    <row r="36" spans="11:13" x14ac:dyDescent="0.2">
      <c r="K36" s="76">
        <v>43946</v>
      </c>
      <c r="L36" s="70">
        <v>0.2</v>
      </c>
      <c r="M36" s="70">
        <v>1</v>
      </c>
    </row>
    <row r="37" spans="11:13" x14ac:dyDescent="0.2">
      <c r="K37" s="76">
        <v>43947</v>
      </c>
      <c r="L37" s="70">
        <v>0.2</v>
      </c>
      <c r="M37" s="70">
        <v>1</v>
      </c>
    </row>
    <row r="38" spans="11:13" x14ac:dyDescent="0.2">
      <c r="K38" s="76">
        <v>43948</v>
      </c>
      <c r="L38" s="70">
        <v>0.2</v>
      </c>
      <c r="M38" s="70">
        <v>1</v>
      </c>
    </row>
    <row r="39" spans="11:13" x14ac:dyDescent="0.2">
      <c r="K39" s="76">
        <v>43949</v>
      </c>
      <c r="L39" s="70">
        <v>0.2</v>
      </c>
      <c r="M39" s="70">
        <v>1</v>
      </c>
    </row>
    <row r="40" spans="11:13" x14ac:dyDescent="0.2">
      <c r="K40" s="76">
        <v>43950</v>
      </c>
      <c r="L40" s="70">
        <v>0.2</v>
      </c>
      <c r="M40" s="70">
        <v>1</v>
      </c>
    </row>
    <row r="41" spans="11:13" x14ac:dyDescent="0.2">
      <c r="K41" s="76">
        <v>43951</v>
      </c>
      <c r="L41" s="70">
        <v>0.2</v>
      </c>
      <c r="M41" s="70">
        <v>1</v>
      </c>
    </row>
    <row r="42" spans="11:13" x14ac:dyDescent="0.2">
      <c r="K42" s="76">
        <v>43952</v>
      </c>
      <c r="L42" s="70">
        <v>0.2</v>
      </c>
      <c r="M42" s="70">
        <v>1</v>
      </c>
    </row>
    <row r="43" spans="11:13" x14ac:dyDescent="0.2">
      <c r="K43" s="76">
        <v>43953</v>
      </c>
      <c r="L43" s="70">
        <v>0.2</v>
      </c>
      <c r="M43" s="70">
        <v>1</v>
      </c>
    </row>
    <row r="44" spans="11:13" x14ac:dyDescent="0.2">
      <c r="K44" s="76">
        <v>43954</v>
      </c>
      <c r="L44" s="70">
        <v>0.2</v>
      </c>
      <c r="M44" s="70">
        <v>1</v>
      </c>
    </row>
    <row r="45" spans="11:13" x14ac:dyDescent="0.2">
      <c r="K45" s="76">
        <v>43955</v>
      </c>
      <c r="L45" s="70">
        <v>0.2</v>
      </c>
      <c r="M45" s="70">
        <v>1</v>
      </c>
    </row>
    <row r="46" spans="11:13" x14ac:dyDescent="0.2">
      <c r="K46" s="76">
        <v>43956</v>
      </c>
      <c r="L46" s="70">
        <v>0.2</v>
      </c>
      <c r="M46" s="70">
        <v>1</v>
      </c>
    </row>
    <row r="47" spans="11:13" x14ac:dyDescent="0.2">
      <c r="K47" s="76">
        <v>43957</v>
      </c>
      <c r="L47" s="70">
        <v>0.2</v>
      </c>
      <c r="M47" s="70">
        <v>1</v>
      </c>
    </row>
    <row r="48" spans="11:13" x14ac:dyDescent="0.2">
      <c r="K48" s="76">
        <v>43958</v>
      </c>
      <c r="L48" s="70">
        <v>0.2</v>
      </c>
      <c r="M48" s="70">
        <v>1</v>
      </c>
    </row>
    <row r="49" spans="11:13" x14ac:dyDescent="0.2">
      <c r="K49" s="76">
        <v>43959</v>
      </c>
      <c r="L49" s="70">
        <v>0.2</v>
      </c>
      <c r="M49" s="70">
        <v>1</v>
      </c>
    </row>
    <row r="50" spans="11:13" x14ac:dyDescent="0.2">
      <c r="K50" s="76">
        <v>43960</v>
      </c>
      <c r="L50" s="70">
        <v>0.2</v>
      </c>
      <c r="M50" s="70">
        <v>1</v>
      </c>
    </row>
    <row r="51" spans="11:13" x14ac:dyDescent="0.2">
      <c r="K51" s="76">
        <v>43961</v>
      </c>
      <c r="L51" s="70">
        <v>0.2</v>
      </c>
      <c r="M51" s="70">
        <v>1</v>
      </c>
    </row>
    <row r="52" spans="11:13" x14ac:dyDescent="0.2">
      <c r="K52" s="76">
        <v>43962</v>
      </c>
      <c r="L52" s="70">
        <v>0.2</v>
      </c>
      <c r="M52" s="70">
        <v>1</v>
      </c>
    </row>
    <row r="53" spans="11:13" x14ac:dyDescent="0.2">
      <c r="K53" s="76">
        <v>43963</v>
      </c>
      <c r="L53" s="70">
        <v>0.2</v>
      </c>
      <c r="M53" s="70">
        <v>1</v>
      </c>
    </row>
    <row r="54" spans="11:13" x14ac:dyDescent="0.2">
      <c r="K54" s="76">
        <v>43964</v>
      </c>
      <c r="L54" s="70">
        <v>0.2</v>
      </c>
      <c r="M54" s="70">
        <v>1</v>
      </c>
    </row>
    <row r="55" spans="11:13" x14ac:dyDescent="0.2">
      <c r="K55" s="76">
        <v>43965</v>
      </c>
      <c r="L55" s="70">
        <v>0.2</v>
      </c>
      <c r="M55" s="70">
        <v>1</v>
      </c>
    </row>
    <row r="56" spans="11:13" x14ac:dyDescent="0.2">
      <c r="K56" s="76">
        <v>43966</v>
      </c>
      <c r="L56" s="70">
        <v>0.2</v>
      </c>
      <c r="M56" s="70">
        <v>1</v>
      </c>
    </row>
    <row r="57" spans="11:13" x14ac:dyDescent="0.2">
      <c r="K57" s="76">
        <v>43967</v>
      </c>
      <c r="L57" s="70">
        <v>0.2</v>
      </c>
      <c r="M57" s="70">
        <v>1</v>
      </c>
    </row>
    <row r="58" spans="11:13" x14ac:dyDescent="0.2">
      <c r="K58" s="76">
        <v>43968</v>
      </c>
      <c r="L58" s="70">
        <v>0.2</v>
      </c>
      <c r="M58" s="70">
        <v>1</v>
      </c>
    </row>
    <row r="59" spans="11:13" x14ac:dyDescent="0.2">
      <c r="K59" s="76">
        <v>43969</v>
      </c>
      <c r="L59" s="70">
        <v>0.2</v>
      </c>
      <c r="M59" s="70">
        <v>1</v>
      </c>
    </row>
    <row r="60" spans="11:13" x14ac:dyDescent="0.2">
      <c r="K60" s="76">
        <v>43970</v>
      </c>
      <c r="L60" s="70">
        <v>0.2</v>
      </c>
      <c r="M60" s="70">
        <v>1</v>
      </c>
    </row>
    <row r="61" spans="11:13" x14ac:dyDescent="0.2">
      <c r="K61" s="76">
        <v>43971</v>
      </c>
      <c r="L61" s="70">
        <v>0.2</v>
      </c>
      <c r="M61" s="70">
        <v>1</v>
      </c>
    </row>
    <row r="62" spans="11:13" x14ac:dyDescent="0.2">
      <c r="K62" s="76">
        <v>43972</v>
      </c>
      <c r="L62" s="70">
        <v>0.2</v>
      </c>
      <c r="M62" s="70">
        <v>1</v>
      </c>
    </row>
    <row r="63" spans="11:13" x14ac:dyDescent="0.2">
      <c r="K63" s="76">
        <v>43973</v>
      </c>
      <c r="L63" s="70">
        <v>0.2</v>
      </c>
      <c r="M63" s="70">
        <v>1</v>
      </c>
    </row>
    <row r="64" spans="11:13" x14ac:dyDescent="0.2">
      <c r="K64" s="76">
        <v>43974</v>
      </c>
      <c r="L64" s="70">
        <v>0.2</v>
      </c>
      <c r="M64" s="70">
        <v>1</v>
      </c>
    </row>
    <row r="65" spans="11:13" x14ac:dyDescent="0.2">
      <c r="K65" s="76">
        <v>43975</v>
      </c>
      <c r="L65" s="70">
        <v>0.2</v>
      </c>
      <c r="M65" s="70">
        <v>1</v>
      </c>
    </row>
    <row r="66" spans="11:13" x14ac:dyDescent="0.2">
      <c r="K66" s="76">
        <v>43976</v>
      </c>
      <c r="L66" s="70">
        <v>0.2</v>
      </c>
      <c r="M66" s="70">
        <v>1</v>
      </c>
    </row>
    <row r="67" spans="11:13" x14ac:dyDescent="0.2">
      <c r="K67" s="76">
        <v>43977</v>
      </c>
      <c r="L67" s="70">
        <v>0.2</v>
      </c>
      <c r="M67" s="70">
        <v>1</v>
      </c>
    </row>
    <row r="68" spans="11:13" x14ac:dyDescent="0.2">
      <c r="K68" s="76">
        <v>43978</v>
      </c>
      <c r="L68" s="70">
        <v>0.2</v>
      </c>
      <c r="M68" s="70">
        <v>1</v>
      </c>
    </row>
    <row r="69" spans="11:13" x14ac:dyDescent="0.2">
      <c r="K69" s="76">
        <v>43979</v>
      </c>
      <c r="L69" s="70">
        <v>0.2</v>
      </c>
      <c r="M69" s="70">
        <v>1</v>
      </c>
    </row>
    <row r="70" spans="11:13" x14ac:dyDescent="0.2">
      <c r="K70" s="76">
        <v>43980</v>
      </c>
      <c r="L70" s="70">
        <v>0.2</v>
      </c>
      <c r="M70" s="70">
        <v>1</v>
      </c>
    </row>
    <row r="71" spans="11:13" x14ac:dyDescent="0.2">
      <c r="K71" s="76">
        <v>43981</v>
      </c>
      <c r="L71" s="70">
        <v>0.2</v>
      </c>
      <c r="M71" s="70">
        <v>1</v>
      </c>
    </row>
    <row r="72" spans="11:13" x14ac:dyDescent="0.2">
      <c r="K72" s="76">
        <v>43982</v>
      </c>
      <c r="L72" s="70">
        <v>0.2</v>
      </c>
      <c r="M72" s="70">
        <v>1</v>
      </c>
    </row>
    <row r="73" spans="11:13" x14ac:dyDescent="0.2">
      <c r="K73" s="76">
        <v>43983</v>
      </c>
      <c r="L73" s="70">
        <v>0.2</v>
      </c>
      <c r="M73" s="70">
        <v>1</v>
      </c>
    </row>
    <row r="74" spans="11:13" x14ac:dyDescent="0.2">
      <c r="K74" s="76">
        <v>43984</v>
      </c>
      <c r="L74" s="70">
        <v>0.2</v>
      </c>
      <c r="M74" s="70">
        <v>1</v>
      </c>
    </row>
    <row r="75" spans="11:13" x14ac:dyDescent="0.2">
      <c r="K75" s="76">
        <v>43985</v>
      </c>
      <c r="L75" s="70">
        <v>0.2</v>
      </c>
      <c r="M75" s="70">
        <v>1</v>
      </c>
    </row>
    <row r="76" spans="11:13" x14ac:dyDescent="0.2">
      <c r="K76" s="76">
        <v>43986</v>
      </c>
      <c r="L76" s="70">
        <v>0.2</v>
      </c>
      <c r="M76" s="70">
        <v>1</v>
      </c>
    </row>
    <row r="77" spans="11:13" x14ac:dyDescent="0.2">
      <c r="K77" s="76">
        <v>43987</v>
      </c>
      <c r="L77" s="70">
        <v>0.2</v>
      </c>
      <c r="M77" s="70">
        <v>1</v>
      </c>
    </row>
    <row r="78" spans="11:13" x14ac:dyDescent="0.2">
      <c r="K78" s="76">
        <v>43988</v>
      </c>
      <c r="L78" s="70">
        <v>0.2</v>
      </c>
      <c r="M78" s="70">
        <v>1</v>
      </c>
    </row>
    <row r="79" spans="11:13" x14ac:dyDescent="0.2">
      <c r="K79" s="76">
        <v>43989</v>
      </c>
      <c r="L79" s="70">
        <v>0.2</v>
      </c>
      <c r="M79" s="70">
        <v>1</v>
      </c>
    </row>
    <row r="80" spans="11:13" x14ac:dyDescent="0.2">
      <c r="K80" s="76">
        <v>43990</v>
      </c>
      <c r="L80" s="70">
        <v>0.2</v>
      </c>
      <c r="M80" s="70">
        <v>1</v>
      </c>
    </row>
    <row r="81" spans="11:13" x14ac:dyDescent="0.2">
      <c r="K81" s="76">
        <v>43991</v>
      </c>
      <c r="L81" s="70">
        <v>0.2</v>
      </c>
      <c r="M81" s="70">
        <v>1</v>
      </c>
    </row>
    <row r="82" spans="11:13" x14ac:dyDescent="0.2">
      <c r="K82" s="76">
        <v>43992</v>
      </c>
      <c r="L82" s="70">
        <v>0.2</v>
      </c>
      <c r="M82" s="70">
        <v>1</v>
      </c>
    </row>
    <row r="83" spans="11:13" x14ac:dyDescent="0.2">
      <c r="K83" s="76">
        <v>43993</v>
      </c>
      <c r="L83" s="70">
        <v>0.2</v>
      </c>
      <c r="M83" s="70">
        <v>1</v>
      </c>
    </row>
    <row r="84" spans="11:13" x14ac:dyDescent="0.2">
      <c r="K84" s="76">
        <v>43994</v>
      </c>
      <c r="L84" s="70">
        <v>0.2</v>
      </c>
      <c r="M84" s="70">
        <v>1</v>
      </c>
    </row>
    <row r="85" spans="11:13" x14ac:dyDescent="0.2">
      <c r="K85" s="76">
        <v>43995</v>
      </c>
      <c r="L85" s="70">
        <v>0.2</v>
      </c>
      <c r="M85" s="70">
        <v>1</v>
      </c>
    </row>
    <row r="86" spans="11:13" x14ac:dyDescent="0.2">
      <c r="K86" s="76">
        <v>43996</v>
      </c>
      <c r="L86" s="70">
        <v>0.2</v>
      </c>
      <c r="M86" s="70">
        <v>1</v>
      </c>
    </row>
    <row r="87" spans="11:13" x14ac:dyDescent="0.2">
      <c r="K87" s="76">
        <v>43997</v>
      </c>
      <c r="L87" s="70">
        <v>0.2</v>
      </c>
      <c r="M87" s="70">
        <v>1</v>
      </c>
    </row>
    <row r="88" spans="11:13" x14ac:dyDescent="0.2">
      <c r="K88" s="76">
        <v>43998</v>
      </c>
      <c r="L88" s="70">
        <v>0.2</v>
      </c>
      <c r="M88" s="70">
        <v>1</v>
      </c>
    </row>
    <row r="89" spans="11:13" x14ac:dyDescent="0.2">
      <c r="K89" s="76">
        <v>43999</v>
      </c>
      <c r="L89" s="70">
        <v>0.2</v>
      </c>
      <c r="M89" s="70">
        <v>1</v>
      </c>
    </row>
    <row r="90" spans="11:13" x14ac:dyDescent="0.2">
      <c r="K90" s="76">
        <v>44000</v>
      </c>
      <c r="L90" s="70">
        <v>0.2</v>
      </c>
      <c r="M90" s="70">
        <v>1</v>
      </c>
    </row>
    <row r="91" spans="11:13" x14ac:dyDescent="0.2">
      <c r="K91" s="76">
        <v>44001</v>
      </c>
      <c r="L91" s="70">
        <v>0.2</v>
      </c>
      <c r="M91" s="70">
        <v>1</v>
      </c>
    </row>
    <row r="92" spans="11:13" x14ac:dyDescent="0.2">
      <c r="K92" s="76">
        <v>44002</v>
      </c>
      <c r="L92" s="70">
        <v>0.2</v>
      </c>
      <c r="M92" s="70">
        <v>1</v>
      </c>
    </row>
    <row r="93" spans="11:13" x14ac:dyDescent="0.2">
      <c r="K93" s="76">
        <v>44003</v>
      </c>
      <c r="L93" s="70">
        <v>0.2</v>
      </c>
      <c r="M93" s="70">
        <v>1</v>
      </c>
    </row>
    <row r="94" spans="11:13" x14ac:dyDescent="0.2">
      <c r="K94" s="76">
        <v>44004</v>
      </c>
      <c r="L94" s="70">
        <v>0.2</v>
      </c>
      <c r="M94" s="70">
        <v>1</v>
      </c>
    </row>
    <row r="95" spans="11:13" x14ac:dyDescent="0.2">
      <c r="K95" s="76">
        <v>44005</v>
      </c>
      <c r="L95" s="70">
        <v>0.2</v>
      </c>
      <c r="M95" s="70">
        <v>1</v>
      </c>
    </row>
    <row r="96" spans="11:13" x14ac:dyDescent="0.2">
      <c r="K96" s="76">
        <v>44006</v>
      </c>
      <c r="L96" s="70">
        <v>0.2</v>
      </c>
      <c r="M96" s="70">
        <v>1</v>
      </c>
    </row>
    <row r="97" spans="11:13" x14ac:dyDescent="0.2">
      <c r="K97" s="76">
        <v>44007</v>
      </c>
      <c r="L97" s="70">
        <v>0.2</v>
      </c>
      <c r="M97" s="70">
        <v>1</v>
      </c>
    </row>
    <row r="98" spans="11:13" x14ac:dyDescent="0.2">
      <c r="K98" s="76">
        <v>44008</v>
      </c>
      <c r="L98" s="70">
        <v>0.2</v>
      </c>
      <c r="M98" s="70">
        <v>1</v>
      </c>
    </row>
    <row r="99" spans="11:13" x14ac:dyDescent="0.2">
      <c r="K99" s="76">
        <v>44009</v>
      </c>
      <c r="L99" s="70">
        <v>0.2</v>
      </c>
      <c r="M99" s="70">
        <v>1</v>
      </c>
    </row>
    <row r="100" spans="11:13" x14ac:dyDescent="0.2">
      <c r="K100" s="76">
        <v>44010</v>
      </c>
      <c r="L100" s="70">
        <v>0.2</v>
      </c>
      <c r="M100" s="70">
        <v>1</v>
      </c>
    </row>
    <row r="101" spans="11:13" x14ac:dyDescent="0.2">
      <c r="K101" s="76">
        <v>44011</v>
      </c>
      <c r="L101" s="70">
        <v>0.2</v>
      </c>
      <c r="M101" s="70">
        <v>1</v>
      </c>
    </row>
    <row r="102" spans="11:13" x14ac:dyDescent="0.2">
      <c r="K102" s="76">
        <v>44012</v>
      </c>
      <c r="L102" s="70">
        <v>0.2</v>
      </c>
      <c r="M102" s="70">
        <v>1</v>
      </c>
    </row>
    <row r="103" spans="11:13" x14ac:dyDescent="0.2">
      <c r="K103" s="76">
        <v>44013</v>
      </c>
      <c r="L103" s="70">
        <v>0.2</v>
      </c>
      <c r="M103" s="70">
        <v>1</v>
      </c>
    </row>
    <row r="104" spans="11:13" x14ac:dyDescent="0.2">
      <c r="K104" s="76">
        <v>44014</v>
      </c>
      <c r="L104" s="70">
        <v>0.2</v>
      </c>
      <c r="M104" s="70">
        <v>1</v>
      </c>
    </row>
    <row r="105" spans="11:13" x14ac:dyDescent="0.2">
      <c r="K105" s="76">
        <v>44015</v>
      </c>
      <c r="L105" s="70">
        <v>0.2</v>
      </c>
      <c r="M105" s="70">
        <v>1</v>
      </c>
    </row>
    <row r="106" spans="11:13" x14ac:dyDescent="0.2">
      <c r="K106" s="76">
        <v>44016</v>
      </c>
      <c r="L106" s="70">
        <v>0.2</v>
      </c>
      <c r="M106" s="70">
        <v>1</v>
      </c>
    </row>
    <row r="107" spans="11:13" x14ac:dyDescent="0.2">
      <c r="K107" s="76">
        <v>44017</v>
      </c>
      <c r="L107" s="70">
        <v>0.2</v>
      </c>
      <c r="M107" s="70">
        <v>1</v>
      </c>
    </row>
    <row r="108" spans="11:13" x14ac:dyDescent="0.2">
      <c r="K108" s="76">
        <v>44018</v>
      </c>
      <c r="L108" s="70">
        <v>0.2</v>
      </c>
      <c r="M108" s="70">
        <v>1</v>
      </c>
    </row>
    <row r="109" spans="11:13" x14ac:dyDescent="0.2">
      <c r="K109" s="76">
        <v>44019</v>
      </c>
      <c r="L109" s="70">
        <v>0.2</v>
      </c>
      <c r="M109" s="70">
        <v>1</v>
      </c>
    </row>
    <row r="110" spans="11:13" x14ac:dyDescent="0.2">
      <c r="K110" s="76">
        <v>44020</v>
      </c>
      <c r="L110" s="70">
        <v>0.2</v>
      </c>
      <c r="M110" s="70">
        <v>1</v>
      </c>
    </row>
    <row r="111" spans="11:13" x14ac:dyDescent="0.2">
      <c r="K111" s="76">
        <v>44021</v>
      </c>
      <c r="L111" s="70">
        <v>0.2</v>
      </c>
      <c r="M111" s="70">
        <v>1</v>
      </c>
    </row>
    <row r="112" spans="11:13" x14ac:dyDescent="0.2">
      <c r="K112" s="76">
        <v>44022</v>
      </c>
      <c r="L112" s="70">
        <v>0.2</v>
      </c>
      <c r="M112" s="70">
        <v>1</v>
      </c>
    </row>
    <row r="113" spans="11:13" x14ac:dyDescent="0.2">
      <c r="K113" s="76">
        <v>44023</v>
      </c>
      <c r="L113" s="70">
        <v>0.2</v>
      </c>
      <c r="M113" s="70">
        <v>1</v>
      </c>
    </row>
    <row r="114" spans="11:13" x14ac:dyDescent="0.2">
      <c r="K114" s="76">
        <v>44024</v>
      </c>
      <c r="L114" s="70">
        <v>0.2</v>
      </c>
      <c r="M114" s="70">
        <v>1</v>
      </c>
    </row>
    <row r="115" spans="11:13" x14ac:dyDescent="0.2">
      <c r="K115" s="76">
        <v>44025</v>
      </c>
      <c r="L115" s="70">
        <v>0.2</v>
      </c>
      <c r="M115" s="70">
        <v>1</v>
      </c>
    </row>
    <row r="116" spans="11:13" x14ac:dyDescent="0.2">
      <c r="K116" s="76">
        <v>44026</v>
      </c>
      <c r="L116" s="70">
        <v>0.2</v>
      </c>
      <c r="M116" s="70">
        <v>1</v>
      </c>
    </row>
    <row r="117" spans="11:13" x14ac:dyDescent="0.2">
      <c r="K117" s="76">
        <v>44027</v>
      </c>
      <c r="L117" s="70">
        <v>0.2</v>
      </c>
      <c r="M117" s="70">
        <v>1</v>
      </c>
    </row>
    <row r="118" spans="11:13" x14ac:dyDescent="0.2">
      <c r="K118" s="76">
        <v>44028</v>
      </c>
      <c r="L118" s="70">
        <v>0.2</v>
      </c>
      <c r="M118" s="70">
        <v>1</v>
      </c>
    </row>
    <row r="119" spans="11:13" x14ac:dyDescent="0.2">
      <c r="K119" s="76">
        <v>44029</v>
      </c>
      <c r="L119" s="70">
        <v>0.2</v>
      </c>
      <c r="M119" s="70">
        <v>1</v>
      </c>
    </row>
    <row r="120" spans="11:13" x14ac:dyDescent="0.2">
      <c r="K120" s="76">
        <v>44030</v>
      </c>
      <c r="L120" s="70">
        <v>0.2</v>
      </c>
      <c r="M120" s="70">
        <v>1</v>
      </c>
    </row>
    <row r="121" spans="11:13" x14ac:dyDescent="0.2">
      <c r="K121" s="76">
        <v>44031</v>
      </c>
      <c r="L121" s="70">
        <v>0.2</v>
      </c>
      <c r="M121" s="70">
        <v>1</v>
      </c>
    </row>
    <row r="122" spans="11:13" x14ac:dyDescent="0.2">
      <c r="K122" s="76">
        <v>44032</v>
      </c>
      <c r="L122" s="70">
        <v>0.2</v>
      </c>
      <c r="M122" s="70">
        <v>1</v>
      </c>
    </row>
    <row r="123" spans="11:13" x14ac:dyDescent="0.2">
      <c r="K123" s="76">
        <v>44033</v>
      </c>
      <c r="L123" s="70">
        <v>0.2</v>
      </c>
      <c r="M123" s="70">
        <v>1</v>
      </c>
    </row>
    <row r="124" spans="11:13" x14ac:dyDescent="0.2">
      <c r="K124" s="76">
        <v>44034</v>
      </c>
      <c r="L124" s="70">
        <v>0.2</v>
      </c>
      <c r="M124" s="70">
        <v>1</v>
      </c>
    </row>
    <row r="125" spans="11:13" x14ac:dyDescent="0.2">
      <c r="K125" s="76">
        <v>44035</v>
      </c>
      <c r="L125" s="70">
        <v>0.2</v>
      </c>
      <c r="M125" s="70">
        <v>1</v>
      </c>
    </row>
    <row r="126" spans="11:13" x14ac:dyDescent="0.2">
      <c r="K126" s="76">
        <v>44036</v>
      </c>
      <c r="L126" s="70">
        <v>0.2</v>
      </c>
      <c r="M126" s="70">
        <v>1</v>
      </c>
    </row>
    <row r="127" spans="11:13" x14ac:dyDescent="0.2">
      <c r="K127" s="76">
        <v>44037</v>
      </c>
      <c r="L127" s="70">
        <v>0.2</v>
      </c>
      <c r="M127" s="70">
        <v>1</v>
      </c>
    </row>
    <row r="128" spans="11:13" x14ac:dyDescent="0.2">
      <c r="K128" s="76">
        <v>44038</v>
      </c>
      <c r="L128" s="70">
        <v>0.2</v>
      </c>
      <c r="M128" s="70">
        <v>1</v>
      </c>
    </row>
    <row r="129" spans="11:13" x14ac:dyDescent="0.2">
      <c r="K129" s="76">
        <v>44039</v>
      </c>
      <c r="L129" s="70">
        <v>0.2</v>
      </c>
      <c r="M129" s="70">
        <v>1</v>
      </c>
    </row>
    <row r="130" spans="11:13" x14ac:dyDescent="0.2">
      <c r="K130" s="76">
        <v>44040</v>
      </c>
      <c r="L130" s="70">
        <v>0.2</v>
      </c>
      <c r="M130" s="70">
        <v>1</v>
      </c>
    </row>
    <row r="131" spans="11:13" x14ac:dyDescent="0.2">
      <c r="K131" s="76">
        <v>44041</v>
      </c>
      <c r="L131" s="70">
        <v>0.2</v>
      </c>
      <c r="M131" s="70">
        <v>1</v>
      </c>
    </row>
    <row r="132" spans="11:13" x14ac:dyDescent="0.2">
      <c r="K132" s="76">
        <v>44042</v>
      </c>
      <c r="L132" s="70">
        <v>0.2</v>
      </c>
      <c r="M132" s="70">
        <v>1</v>
      </c>
    </row>
    <row r="133" spans="11:13" x14ac:dyDescent="0.2">
      <c r="K133" s="76">
        <v>44043</v>
      </c>
      <c r="L133" s="70">
        <v>0.2</v>
      </c>
      <c r="M133" s="70">
        <v>1</v>
      </c>
    </row>
    <row r="134" spans="11:13" x14ac:dyDescent="0.2">
      <c r="K134" s="76">
        <v>44044</v>
      </c>
      <c r="L134" s="70">
        <v>0.2</v>
      </c>
      <c r="M134" s="70">
        <v>1</v>
      </c>
    </row>
    <row r="135" spans="11:13" x14ac:dyDescent="0.2">
      <c r="K135" s="76">
        <v>44045</v>
      </c>
      <c r="L135" s="70">
        <v>0.2</v>
      </c>
      <c r="M135" s="70">
        <v>1</v>
      </c>
    </row>
    <row r="136" spans="11:13" x14ac:dyDescent="0.2">
      <c r="K136" s="76">
        <v>44046</v>
      </c>
      <c r="L136" s="70">
        <v>0.2</v>
      </c>
      <c r="M136" s="70">
        <v>1</v>
      </c>
    </row>
    <row r="137" spans="11:13" x14ac:dyDescent="0.2">
      <c r="K137" s="76">
        <v>44047</v>
      </c>
      <c r="L137" s="70">
        <v>0.2</v>
      </c>
      <c r="M137" s="70">
        <v>1</v>
      </c>
    </row>
    <row r="138" spans="11:13" x14ac:dyDescent="0.2">
      <c r="K138" s="76">
        <v>44048</v>
      </c>
      <c r="L138" s="70">
        <v>0.2</v>
      </c>
      <c r="M138" s="70">
        <v>1</v>
      </c>
    </row>
    <row r="139" spans="11:13" x14ac:dyDescent="0.2">
      <c r="K139" s="76">
        <v>44049</v>
      </c>
      <c r="L139" s="70">
        <v>0.2</v>
      </c>
      <c r="M139" s="70">
        <v>1</v>
      </c>
    </row>
    <row r="140" spans="11:13" x14ac:dyDescent="0.2">
      <c r="K140" s="76">
        <v>44050</v>
      </c>
      <c r="L140" s="70">
        <v>0.2</v>
      </c>
      <c r="M140" s="70">
        <v>1</v>
      </c>
    </row>
    <row r="141" spans="11:13" x14ac:dyDescent="0.2">
      <c r="K141" s="76">
        <v>44051</v>
      </c>
      <c r="L141" s="70">
        <v>0.2</v>
      </c>
      <c r="M141" s="70">
        <v>1</v>
      </c>
    </row>
    <row r="142" spans="11:13" x14ac:dyDescent="0.2">
      <c r="K142" s="76">
        <v>44052</v>
      </c>
      <c r="L142" s="70">
        <v>0.2</v>
      </c>
      <c r="M142" s="70">
        <v>1</v>
      </c>
    </row>
    <row r="143" spans="11:13" x14ac:dyDescent="0.2">
      <c r="K143" s="76">
        <v>44053</v>
      </c>
      <c r="L143" s="70">
        <v>0.2</v>
      </c>
      <c r="M143" s="70">
        <v>1</v>
      </c>
    </row>
    <row r="144" spans="11:13" x14ac:dyDescent="0.2">
      <c r="K144" s="76">
        <v>44054</v>
      </c>
      <c r="L144" s="70">
        <v>0.2</v>
      </c>
      <c r="M144" s="70">
        <v>1</v>
      </c>
    </row>
    <row r="145" spans="11:13" x14ac:dyDescent="0.2">
      <c r="K145" s="76">
        <v>44055</v>
      </c>
      <c r="L145" s="70">
        <v>0.2</v>
      </c>
      <c r="M145" s="70">
        <v>1</v>
      </c>
    </row>
    <row r="146" spans="11:13" x14ac:dyDescent="0.2">
      <c r="K146" s="76">
        <v>44056</v>
      </c>
      <c r="L146" s="70">
        <v>0.2</v>
      </c>
      <c r="M146" s="70">
        <v>1</v>
      </c>
    </row>
    <row r="147" spans="11:13" x14ac:dyDescent="0.2">
      <c r="K147" s="76">
        <v>44057</v>
      </c>
      <c r="L147" s="70">
        <v>0.2</v>
      </c>
      <c r="M147" s="70">
        <v>1</v>
      </c>
    </row>
    <row r="148" spans="11:13" x14ac:dyDescent="0.2">
      <c r="K148" s="76">
        <v>44058</v>
      </c>
      <c r="L148" s="70">
        <v>0.2</v>
      </c>
      <c r="M148" s="70">
        <v>1</v>
      </c>
    </row>
    <row r="149" spans="11:13" x14ac:dyDescent="0.2">
      <c r="K149" s="76">
        <v>44059</v>
      </c>
      <c r="L149" s="70">
        <v>0.2</v>
      </c>
      <c r="M149" s="70">
        <v>1</v>
      </c>
    </row>
    <row r="150" spans="11:13" x14ac:dyDescent="0.2">
      <c r="K150" s="76">
        <v>44060</v>
      </c>
      <c r="L150" s="70">
        <v>0.2</v>
      </c>
      <c r="M150" s="70">
        <v>1</v>
      </c>
    </row>
    <row r="151" spans="11:13" x14ac:dyDescent="0.2">
      <c r="K151" s="76">
        <v>44061</v>
      </c>
      <c r="L151" s="70">
        <v>0.2</v>
      </c>
      <c r="M151" s="70">
        <v>1</v>
      </c>
    </row>
    <row r="152" spans="11:13" x14ac:dyDescent="0.2">
      <c r="K152" s="76">
        <v>44062</v>
      </c>
      <c r="L152" s="70">
        <v>0.2</v>
      </c>
      <c r="M152" s="70">
        <v>1</v>
      </c>
    </row>
    <row r="153" spans="11:13" x14ac:dyDescent="0.2">
      <c r="K153" s="76">
        <v>44063</v>
      </c>
      <c r="L153" s="70">
        <v>0.2</v>
      </c>
      <c r="M153" s="70">
        <v>1</v>
      </c>
    </row>
    <row r="154" spans="11:13" x14ac:dyDescent="0.2">
      <c r="K154" s="76">
        <v>44064</v>
      </c>
      <c r="L154" s="70">
        <v>0.2</v>
      </c>
      <c r="M154" s="70">
        <v>1</v>
      </c>
    </row>
    <row r="155" spans="11:13" x14ac:dyDescent="0.2">
      <c r="K155" s="76">
        <v>44065</v>
      </c>
      <c r="L155" s="70">
        <v>0.2</v>
      </c>
      <c r="M155" s="70">
        <v>1</v>
      </c>
    </row>
    <row r="156" spans="11:13" x14ac:dyDescent="0.2">
      <c r="K156" s="76">
        <v>44066</v>
      </c>
      <c r="L156" s="70">
        <v>0.2</v>
      </c>
      <c r="M156" s="70">
        <v>1</v>
      </c>
    </row>
    <row r="157" spans="11:13" x14ac:dyDescent="0.2">
      <c r="K157" s="76">
        <v>44067</v>
      </c>
      <c r="L157" s="70">
        <v>0.2</v>
      </c>
      <c r="M157" s="70">
        <v>1</v>
      </c>
    </row>
    <row r="158" spans="11:13" x14ac:dyDescent="0.2">
      <c r="K158" s="76">
        <v>44068</v>
      </c>
      <c r="L158" s="70">
        <v>0.2</v>
      </c>
      <c r="M158" s="70">
        <v>1</v>
      </c>
    </row>
    <row r="159" spans="11:13" x14ac:dyDescent="0.2">
      <c r="K159" s="76">
        <v>44069</v>
      </c>
      <c r="L159" s="70">
        <v>0.2</v>
      </c>
      <c r="M159" s="70">
        <v>1</v>
      </c>
    </row>
    <row r="160" spans="11:13" x14ac:dyDescent="0.2">
      <c r="K160" s="76">
        <v>44070</v>
      </c>
      <c r="L160" s="70">
        <v>0.2</v>
      </c>
      <c r="M160" s="70">
        <v>1</v>
      </c>
    </row>
    <row r="161" spans="11:13" x14ac:dyDescent="0.2">
      <c r="K161" s="76">
        <v>44071</v>
      </c>
      <c r="L161" s="70">
        <v>0.2</v>
      </c>
      <c r="M161" s="70">
        <v>1</v>
      </c>
    </row>
    <row r="162" spans="11:13" x14ac:dyDescent="0.2">
      <c r="K162" s="76">
        <v>44072</v>
      </c>
      <c r="L162" s="70">
        <v>0.2</v>
      </c>
      <c r="M162" s="70">
        <v>1</v>
      </c>
    </row>
    <row r="163" spans="11:13" x14ac:dyDescent="0.2">
      <c r="K163" s="76">
        <v>44073</v>
      </c>
      <c r="L163" s="70">
        <v>0.2</v>
      </c>
      <c r="M163" s="70">
        <v>1</v>
      </c>
    </row>
    <row r="164" spans="11:13" x14ac:dyDescent="0.2">
      <c r="K164" s="76">
        <v>44074</v>
      </c>
      <c r="L164" s="70">
        <v>0.2</v>
      </c>
      <c r="M164" s="70">
        <v>1</v>
      </c>
    </row>
    <row r="165" spans="11:13" x14ac:dyDescent="0.2">
      <c r="K165" s="76">
        <v>44075</v>
      </c>
      <c r="L165" s="70">
        <v>0.2</v>
      </c>
      <c r="M165" s="70">
        <v>1</v>
      </c>
    </row>
    <row r="166" spans="11:13" x14ac:dyDescent="0.2">
      <c r="K166" s="76">
        <v>44076</v>
      </c>
      <c r="L166" s="70">
        <v>0.2</v>
      </c>
      <c r="M166" s="70">
        <v>1</v>
      </c>
    </row>
    <row r="167" spans="11:13" x14ac:dyDescent="0.2">
      <c r="K167" s="76">
        <v>44077</v>
      </c>
      <c r="L167" s="70">
        <v>0.2</v>
      </c>
      <c r="M167" s="70">
        <v>1</v>
      </c>
    </row>
    <row r="168" spans="11:13" x14ac:dyDescent="0.2">
      <c r="K168" s="76">
        <v>44078</v>
      </c>
      <c r="L168" s="70">
        <v>0.2</v>
      </c>
      <c r="M168" s="70">
        <v>1</v>
      </c>
    </row>
    <row r="169" spans="11:13" x14ac:dyDescent="0.2">
      <c r="K169" s="76">
        <v>44079</v>
      </c>
      <c r="L169" s="70">
        <v>0.2</v>
      </c>
      <c r="M169" s="70">
        <v>1</v>
      </c>
    </row>
    <row r="170" spans="11:13" x14ac:dyDescent="0.2">
      <c r="K170" s="76">
        <v>44080</v>
      </c>
      <c r="L170" s="70">
        <v>0.2</v>
      </c>
      <c r="M170" s="70">
        <v>1</v>
      </c>
    </row>
    <row r="171" spans="11:13" x14ac:dyDescent="0.2">
      <c r="K171" s="76">
        <v>44081</v>
      </c>
      <c r="L171" s="70">
        <v>0.2</v>
      </c>
      <c r="M171" s="70">
        <v>1</v>
      </c>
    </row>
    <row r="172" spans="11:13" x14ac:dyDescent="0.2">
      <c r="K172" s="76">
        <v>44082</v>
      </c>
      <c r="L172" s="70">
        <v>0.2</v>
      </c>
      <c r="M172" s="70">
        <v>1</v>
      </c>
    </row>
    <row r="173" spans="11:13" x14ac:dyDescent="0.2">
      <c r="K173" s="76">
        <v>44083</v>
      </c>
      <c r="L173" s="70">
        <v>0.2</v>
      </c>
      <c r="M173" s="70">
        <v>1</v>
      </c>
    </row>
    <row r="174" spans="11:13" x14ac:dyDescent="0.2">
      <c r="K174" s="76">
        <v>44084</v>
      </c>
      <c r="L174" s="70">
        <v>0.2</v>
      </c>
      <c r="M174" s="70">
        <v>1</v>
      </c>
    </row>
    <row r="175" spans="11:13" x14ac:dyDescent="0.2">
      <c r="K175" s="76">
        <v>44085</v>
      </c>
      <c r="L175" s="70">
        <v>0.2</v>
      </c>
      <c r="M175" s="70">
        <v>1</v>
      </c>
    </row>
    <row r="176" spans="11:13" x14ac:dyDescent="0.2">
      <c r="K176" s="76">
        <v>44086</v>
      </c>
      <c r="L176" s="70">
        <v>0.2</v>
      </c>
      <c r="M176" s="70">
        <v>1</v>
      </c>
    </row>
    <row r="177" spans="11:13" x14ac:dyDescent="0.2">
      <c r="K177" s="76">
        <v>44087</v>
      </c>
      <c r="L177" s="70">
        <v>0.2</v>
      </c>
      <c r="M177" s="70">
        <v>1</v>
      </c>
    </row>
    <row r="178" spans="11:13" x14ac:dyDescent="0.2">
      <c r="K178" s="76">
        <v>44088</v>
      </c>
      <c r="L178" s="70">
        <v>0.2</v>
      </c>
      <c r="M178" s="70">
        <v>1</v>
      </c>
    </row>
    <row r="179" spans="11:13" x14ac:dyDescent="0.2">
      <c r="K179" s="76">
        <v>44089</v>
      </c>
      <c r="L179" s="70">
        <v>0.2</v>
      </c>
      <c r="M179" s="70">
        <v>1</v>
      </c>
    </row>
    <row r="180" spans="11:13" x14ac:dyDescent="0.2">
      <c r="K180" s="76">
        <v>44090</v>
      </c>
      <c r="L180" s="70">
        <v>0.2</v>
      </c>
      <c r="M180" s="70">
        <v>1</v>
      </c>
    </row>
    <row r="181" spans="11:13" x14ac:dyDescent="0.2">
      <c r="K181" s="76">
        <v>44091</v>
      </c>
      <c r="L181" s="70">
        <v>0.2</v>
      </c>
      <c r="M181" s="70">
        <v>1</v>
      </c>
    </row>
    <row r="182" spans="11:13" x14ac:dyDescent="0.2">
      <c r="K182" s="76">
        <v>44092</v>
      </c>
      <c r="L182" s="70">
        <v>0.2</v>
      </c>
      <c r="M182" s="70">
        <v>1</v>
      </c>
    </row>
    <row r="183" spans="11:13" x14ac:dyDescent="0.2">
      <c r="K183" s="76">
        <v>44093</v>
      </c>
      <c r="L183" s="70">
        <v>0.2</v>
      </c>
      <c r="M183" s="70">
        <v>1</v>
      </c>
    </row>
    <row r="184" spans="11:13" x14ac:dyDescent="0.2">
      <c r="K184" s="76">
        <v>44094</v>
      </c>
      <c r="L184" s="70">
        <v>0.2</v>
      </c>
      <c r="M184" s="70">
        <v>1</v>
      </c>
    </row>
    <row r="185" spans="11:13" x14ac:dyDescent="0.2">
      <c r="K185" s="76">
        <v>44095</v>
      </c>
      <c r="L185" s="70">
        <v>0.2</v>
      </c>
      <c r="M185" s="70">
        <v>1</v>
      </c>
    </row>
    <row r="186" spans="11:13" x14ac:dyDescent="0.2">
      <c r="K186" s="76">
        <v>44096</v>
      </c>
      <c r="L186" s="70">
        <v>0.2</v>
      </c>
      <c r="M186" s="70">
        <v>1</v>
      </c>
    </row>
    <row r="187" spans="11:13" x14ac:dyDescent="0.2">
      <c r="K187" s="76">
        <v>44097</v>
      </c>
      <c r="L187" s="70">
        <v>0.2</v>
      </c>
      <c r="M187" s="70">
        <v>1</v>
      </c>
    </row>
    <row r="188" spans="11:13" x14ac:dyDescent="0.2">
      <c r="K188" s="76">
        <v>44098</v>
      </c>
      <c r="L188" s="70">
        <v>0.2</v>
      </c>
      <c r="M188" s="70">
        <v>1</v>
      </c>
    </row>
    <row r="189" spans="11:13" x14ac:dyDescent="0.2">
      <c r="K189" s="76">
        <v>44099</v>
      </c>
      <c r="L189" s="70">
        <v>0.2</v>
      </c>
      <c r="M189" s="70">
        <v>1</v>
      </c>
    </row>
    <row r="190" spans="11:13" x14ac:dyDescent="0.2">
      <c r="K190" s="76">
        <v>44100</v>
      </c>
      <c r="L190" s="70">
        <v>0.2</v>
      </c>
      <c r="M190" s="70">
        <v>1</v>
      </c>
    </row>
    <row r="191" spans="11:13" x14ac:dyDescent="0.2">
      <c r="K191" s="76">
        <v>44101</v>
      </c>
      <c r="L191" s="70">
        <v>0.2</v>
      </c>
      <c r="M191" s="70">
        <v>1</v>
      </c>
    </row>
    <row r="192" spans="11:13" x14ac:dyDescent="0.2">
      <c r="K192" s="76">
        <v>44102</v>
      </c>
      <c r="L192" s="70">
        <v>0.2</v>
      </c>
      <c r="M192" s="70">
        <v>1</v>
      </c>
    </row>
    <row r="193" spans="11:13" x14ac:dyDescent="0.2">
      <c r="K193" s="76">
        <v>44103</v>
      </c>
      <c r="L193" s="70">
        <v>0.2</v>
      </c>
      <c r="M193" s="70">
        <v>1</v>
      </c>
    </row>
    <row r="194" spans="11:13" x14ac:dyDescent="0.2">
      <c r="K194" s="76">
        <v>44104</v>
      </c>
      <c r="L194" s="70">
        <v>0.2</v>
      </c>
      <c r="M194" s="70">
        <v>1</v>
      </c>
    </row>
    <row r="195" spans="11:13" x14ac:dyDescent="0.2">
      <c r="K195" s="76">
        <v>44105</v>
      </c>
      <c r="L195" s="70">
        <v>0.2</v>
      </c>
      <c r="M195" s="70">
        <v>1</v>
      </c>
    </row>
    <row r="196" spans="11:13" x14ac:dyDescent="0.2">
      <c r="K196" s="76">
        <v>44106</v>
      </c>
      <c r="L196" s="70">
        <v>0.2</v>
      </c>
      <c r="M196" s="70">
        <v>1</v>
      </c>
    </row>
    <row r="197" spans="11:13" x14ac:dyDescent="0.2">
      <c r="K197" s="76">
        <v>44107</v>
      </c>
      <c r="L197" s="70">
        <v>0.2</v>
      </c>
      <c r="M197" s="70">
        <v>1</v>
      </c>
    </row>
    <row r="198" spans="11:13" x14ac:dyDescent="0.2">
      <c r="K198" s="76">
        <v>44108</v>
      </c>
      <c r="L198" s="70">
        <v>0.2</v>
      </c>
      <c r="M198" s="70">
        <v>1</v>
      </c>
    </row>
    <row r="199" spans="11:13" x14ac:dyDescent="0.2">
      <c r="K199" s="76">
        <v>44109</v>
      </c>
      <c r="L199" s="70">
        <v>0.2</v>
      </c>
      <c r="M199" s="70">
        <v>1</v>
      </c>
    </row>
    <row r="200" spans="11:13" x14ac:dyDescent="0.2">
      <c r="K200" s="76">
        <v>44110</v>
      </c>
      <c r="L200" s="70">
        <v>0.2</v>
      </c>
      <c r="M200" s="70">
        <v>1</v>
      </c>
    </row>
    <row r="201" spans="11:13" x14ac:dyDescent="0.2">
      <c r="K201" s="76">
        <v>44111</v>
      </c>
      <c r="L201" s="70">
        <v>0.2</v>
      </c>
      <c r="M201" s="70">
        <v>1</v>
      </c>
    </row>
    <row r="202" spans="11:13" x14ac:dyDescent="0.2">
      <c r="K202" s="76">
        <v>44112</v>
      </c>
      <c r="L202" s="70">
        <v>0.2</v>
      </c>
      <c r="M202" s="70">
        <v>1</v>
      </c>
    </row>
    <row r="203" spans="11:13" x14ac:dyDescent="0.2">
      <c r="K203" s="76">
        <v>44113</v>
      </c>
      <c r="L203" s="70">
        <v>0.2</v>
      </c>
      <c r="M203" s="70">
        <v>1</v>
      </c>
    </row>
    <row r="204" spans="11:13" x14ac:dyDescent="0.2">
      <c r="K204" s="76">
        <v>44114</v>
      </c>
      <c r="L204" s="70">
        <v>0.2</v>
      </c>
      <c r="M204" s="70">
        <v>1</v>
      </c>
    </row>
    <row r="205" spans="11:13" x14ac:dyDescent="0.2">
      <c r="K205" s="76">
        <v>44115</v>
      </c>
      <c r="L205" s="70">
        <v>0.2</v>
      </c>
      <c r="M205" s="70">
        <v>1</v>
      </c>
    </row>
    <row r="206" spans="11:13" x14ac:dyDescent="0.2">
      <c r="K206" s="76">
        <v>44116</v>
      </c>
      <c r="L206" s="70">
        <v>0.2</v>
      </c>
      <c r="M206" s="70">
        <v>1</v>
      </c>
    </row>
    <row r="207" spans="11:13" x14ac:dyDescent="0.2">
      <c r="K207" s="76">
        <v>44117</v>
      </c>
      <c r="L207" s="70">
        <v>0.2</v>
      </c>
      <c r="M207" s="70">
        <v>1</v>
      </c>
    </row>
    <row r="208" spans="11:13" x14ac:dyDescent="0.2">
      <c r="K208" s="76">
        <v>44118</v>
      </c>
      <c r="L208" s="70">
        <v>0.2</v>
      </c>
      <c r="M208" s="70">
        <v>1</v>
      </c>
    </row>
    <row r="209" spans="11:13" x14ac:dyDescent="0.2">
      <c r="K209" s="76">
        <v>44119</v>
      </c>
      <c r="L209" s="70">
        <v>0.2</v>
      </c>
      <c r="M209" s="70">
        <v>1</v>
      </c>
    </row>
    <row r="210" spans="11:13" x14ac:dyDescent="0.2">
      <c r="K210" s="76">
        <v>44120</v>
      </c>
      <c r="L210" s="70">
        <v>0.2</v>
      </c>
      <c r="M210" s="70">
        <v>1</v>
      </c>
    </row>
    <row r="211" spans="11:13" x14ac:dyDescent="0.2">
      <c r="K211" s="76">
        <v>44121</v>
      </c>
      <c r="L211" s="70">
        <v>0.2</v>
      </c>
      <c r="M211" s="70">
        <v>1</v>
      </c>
    </row>
    <row r="212" spans="11:13" x14ac:dyDescent="0.2">
      <c r="K212" s="76">
        <v>44122</v>
      </c>
      <c r="L212" s="70">
        <v>0.2</v>
      </c>
      <c r="M212" s="70">
        <v>1</v>
      </c>
    </row>
    <row r="213" spans="11:13" x14ac:dyDescent="0.2">
      <c r="K213" s="76">
        <v>44123</v>
      </c>
      <c r="L213" s="70">
        <v>0.2</v>
      </c>
      <c r="M213" s="70">
        <v>1</v>
      </c>
    </row>
    <row r="214" spans="11:13" x14ac:dyDescent="0.2">
      <c r="K214" s="76">
        <v>44124</v>
      </c>
      <c r="L214" s="70">
        <v>0.2</v>
      </c>
      <c r="M214" s="70">
        <v>1</v>
      </c>
    </row>
    <row r="215" spans="11:13" x14ac:dyDescent="0.2">
      <c r="K215" s="76">
        <v>44125</v>
      </c>
      <c r="L215" s="70">
        <v>0.2</v>
      </c>
      <c r="M215" s="70">
        <v>1</v>
      </c>
    </row>
    <row r="216" spans="11:13" x14ac:dyDescent="0.2">
      <c r="K216" s="76">
        <v>44126</v>
      </c>
      <c r="L216" s="70">
        <v>0.2</v>
      </c>
      <c r="M216" s="70">
        <v>1</v>
      </c>
    </row>
    <row r="217" spans="11:13" x14ac:dyDescent="0.2">
      <c r="K217" s="76">
        <v>44127</v>
      </c>
      <c r="L217" s="70">
        <v>0.2</v>
      </c>
      <c r="M217" s="70">
        <v>1</v>
      </c>
    </row>
    <row r="218" spans="11:13" x14ac:dyDescent="0.2">
      <c r="K218" s="76">
        <v>44128</v>
      </c>
      <c r="L218" s="70">
        <v>0.2</v>
      </c>
      <c r="M218" s="70">
        <v>1</v>
      </c>
    </row>
    <row r="219" spans="11:13" x14ac:dyDescent="0.2">
      <c r="K219" s="76">
        <v>44129</v>
      </c>
      <c r="L219" s="70">
        <v>0.2</v>
      </c>
      <c r="M219" s="70">
        <v>1</v>
      </c>
    </row>
    <row r="220" spans="11:13" x14ac:dyDescent="0.2">
      <c r="K220" s="76">
        <v>44130</v>
      </c>
      <c r="L220" s="70">
        <v>0.2</v>
      </c>
      <c r="M220" s="70">
        <v>1</v>
      </c>
    </row>
    <row r="221" spans="11:13" x14ac:dyDescent="0.2">
      <c r="K221" s="76">
        <v>44131</v>
      </c>
      <c r="L221" s="70">
        <v>0.2</v>
      </c>
      <c r="M221" s="70">
        <v>1</v>
      </c>
    </row>
    <row r="222" spans="11:13" x14ac:dyDescent="0.2">
      <c r="K222" s="76">
        <v>44132</v>
      </c>
      <c r="L222" s="70">
        <v>0.2</v>
      </c>
      <c r="M222" s="70">
        <v>1</v>
      </c>
    </row>
    <row r="223" spans="11:13" x14ac:dyDescent="0.2">
      <c r="K223" s="76">
        <v>44133</v>
      </c>
      <c r="L223" s="70">
        <v>0.2</v>
      </c>
      <c r="M223" s="70">
        <v>1</v>
      </c>
    </row>
    <row r="224" spans="11:13" x14ac:dyDescent="0.2">
      <c r="K224" s="76">
        <v>44134</v>
      </c>
      <c r="L224" s="70">
        <v>0.2</v>
      </c>
      <c r="M224" s="70">
        <v>1</v>
      </c>
    </row>
    <row r="225" spans="11:13" x14ac:dyDescent="0.2">
      <c r="K225" s="76">
        <v>44135</v>
      </c>
      <c r="L225" s="70">
        <v>0.2</v>
      </c>
      <c r="M225" s="70">
        <v>1</v>
      </c>
    </row>
    <row r="226" spans="11:13" x14ac:dyDescent="0.2">
      <c r="K226" s="76">
        <v>44136</v>
      </c>
      <c r="L226" s="70">
        <v>0.2</v>
      </c>
      <c r="M226" s="70">
        <v>1</v>
      </c>
    </row>
    <row r="227" spans="11:13" x14ac:dyDescent="0.2">
      <c r="K227" s="76">
        <v>44137</v>
      </c>
      <c r="L227" s="70">
        <v>0.2</v>
      </c>
      <c r="M227" s="70">
        <v>1</v>
      </c>
    </row>
    <row r="228" spans="11:13" x14ac:dyDescent="0.2">
      <c r="K228" s="76">
        <v>44138</v>
      </c>
      <c r="L228" s="70">
        <v>0.2</v>
      </c>
      <c r="M228" s="70">
        <v>1</v>
      </c>
    </row>
    <row r="229" spans="11:13" x14ac:dyDescent="0.2">
      <c r="K229" s="76">
        <v>44139</v>
      </c>
      <c r="L229" s="70">
        <v>0.2</v>
      </c>
      <c r="M229" s="70">
        <v>1</v>
      </c>
    </row>
    <row r="230" spans="11:13" x14ac:dyDescent="0.2">
      <c r="K230" s="76">
        <v>44140</v>
      </c>
      <c r="L230" s="70">
        <v>0.2</v>
      </c>
      <c r="M230" s="70">
        <v>1</v>
      </c>
    </row>
    <row r="231" spans="11:13" x14ac:dyDescent="0.2">
      <c r="K231" s="76">
        <v>44141</v>
      </c>
      <c r="L231" s="70">
        <v>0.2</v>
      </c>
      <c r="M231" s="70">
        <v>1</v>
      </c>
    </row>
    <row r="232" spans="11:13" x14ac:dyDescent="0.2">
      <c r="K232" s="76">
        <v>44142</v>
      </c>
      <c r="L232" s="70">
        <v>0.2</v>
      </c>
      <c r="M232" s="70">
        <v>1</v>
      </c>
    </row>
    <row r="233" spans="11:13" x14ac:dyDescent="0.2">
      <c r="K233" s="76">
        <v>44143</v>
      </c>
      <c r="L233" s="70">
        <v>0.2</v>
      </c>
      <c r="M233" s="70">
        <v>1</v>
      </c>
    </row>
    <row r="234" spans="11:13" x14ac:dyDescent="0.2">
      <c r="K234" s="76">
        <v>44144</v>
      </c>
      <c r="L234" s="70">
        <v>0.2</v>
      </c>
      <c r="M234" s="70">
        <v>1</v>
      </c>
    </row>
    <row r="235" spans="11:13" x14ac:dyDescent="0.2">
      <c r="K235" s="76">
        <v>44145</v>
      </c>
      <c r="L235" s="70">
        <v>0.2</v>
      </c>
      <c r="M235" s="70">
        <v>1</v>
      </c>
    </row>
    <row r="236" spans="11:13" x14ac:dyDescent="0.2">
      <c r="K236" s="76">
        <v>44146</v>
      </c>
      <c r="L236" s="70">
        <v>0.2</v>
      </c>
      <c r="M236" s="70">
        <v>1</v>
      </c>
    </row>
    <row r="237" spans="11:13" x14ac:dyDescent="0.2">
      <c r="K237" s="76">
        <v>44147</v>
      </c>
      <c r="L237" s="70">
        <v>0.2</v>
      </c>
      <c r="M237" s="70">
        <v>1</v>
      </c>
    </row>
    <row r="238" spans="11:13" x14ac:dyDescent="0.2">
      <c r="K238" s="76">
        <v>44148</v>
      </c>
      <c r="L238" s="70">
        <v>0.2</v>
      </c>
      <c r="M238" s="70">
        <v>1</v>
      </c>
    </row>
    <row r="239" spans="11:13" x14ac:dyDescent="0.2">
      <c r="K239" s="76">
        <v>44149</v>
      </c>
      <c r="L239" s="70">
        <v>0.2</v>
      </c>
      <c r="M239" s="70">
        <v>1</v>
      </c>
    </row>
    <row r="240" spans="11:13" x14ac:dyDescent="0.2">
      <c r="K240" s="76">
        <v>44150</v>
      </c>
      <c r="L240" s="70">
        <v>0.2</v>
      </c>
      <c r="M240" s="70">
        <v>1</v>
      </c>
    </row>
    <row r="241" spans="11:13" x14ac:dyDescent="0.2">
      <c r="K241" s="76">
        <v>44151</v>
      </c>
      <c r="L241" s="70">
        <v>0.2</v>
      </c>
      <c r="M241" s="70">
        <v>1</v>
      </c>
    </row>
    <row r="242" spans="11:13" x14ac:dyDescent="0.2">
      <c r="K242" s="76">
        <v>44152</v>
      </c>
      <c r="L242" s="70">
        <v>0.2</v>
      </c>
      <c r="M242" s="70">
        <v>1</v>
      </c>
    </row>
    <row r="243" spans="11:13" x14ac:dyDescent="0.2">
      <c r="K243" s="76">
        <v>44153</v>
      </c>
      <c r="L243" s="70">
        <v>0.2</v>
      </c>
      <c r="M243" s="70">
        <v>1</v>
      </c>
    </row>
    <row r="244" spans="11:13" x14ac:dyDescent="0.2">
      <c r="K244" s="76">
        <v>44154</v>
      </c>
      <c r="L244" s="70">
        <v>0.2</v>
      </c>
      <c r="M244" s="70">
        <v>1</v>
      </c>
    </row>
    <row r="245" spans="11:13" x14ac:dyDescent="0.2">
      <c r="K245" s="76">
        <v>44155</v>
      </c>
      <c r="L245" s="70">
        <v>0.2</v>
      </c>
      <c r="M245" s="70">
        <v>1</v>
      </c>
    </row>
    <row r="246" spans="11:13" x14ac:dyDescent="0.2">
      <c r="K246" s="76">
        <v>44156</v>
      </c>
      <c r="L246" s="70">
        <v>0.2</v>
      </c>
      <c r="M246" s="70">
        <v>1</v>
      </c>
    </row>
    <row r="247" spans="11:13" x14ac:dyDescent="0.2">
      <c r="K247" s="76">
        <v>44157</v>
      </c>
      <c r="L247" s="70">
        <v>0.2</v>
      </c>
      <c r="M247" s="70">
        <v>1</v>
      </c>
    </row>
    <row r="248" spans="11:13" x14ac:dyDescent="0.2">
      <c r="K248" s="76">
        <v>44158</v>
      </c>
      <c r="L248" s="70">
        <v>0.2</v>
      </c>
      <c r="M248" s="70">
        <v>1</v>
      </c>
    </row>
    <row r="249" spans="11:13" x14ac:dyDescent="0.2">
      <c r="K249" s="76">
        <v>44159</v>
      </c>
      <c r="L249" s="70">
        <v>0.2</v>
      </c>
      <c r="M249" s="70">
        <v>1</v>
      </c>
    </row>
    <row r="250" spans="11:13" x14ac:dyDescent="0.2">
      <c r="K250" s="76">
        <v>44160</v>
      </c>
      <c r="L250" s="70">
        <v>0.2</v>
      </c>
      <c r="M250" s="70">
        <v>1</v>
      </c>
    </row>
    <row r="251" spans="11:13" x14ac:dyDescent="0.2">
      <c r="K251" s="76">
        <v>44161</v>
      </c>
      <c r="L251" s="70">
        <v>0.2</v>
      </c>
      <c r="M251" s="70">
        <v>1</v>
      </c>
    </row>
    <row r="252" spans="11:13" x14ac:dyDescent="0.2">
      <c r="K252" s="76">
        <v>44162</v>
      </c>
      <c r="L252" s="70">
        <v>0.2</v>
      </c>
      <c r="M252" s="70">
        <v>1</v>
      </c>
    </row>
    <row r="253" spans="11:13" x14ac:dyDescent="0.2">
      <c r="K253" s="76">
        <v>44163</v>
      </c>
      <c r="L253" s="70">
        <v>0.2</v>
      </c>
      <c r="M253" s="70">
        <v>1</v>
      </c>
    </row>
    <row r="254" spans="11:13" x14ac:dyDescent="0.2">
      <c r="K254" s="76">
        <v>44164</v>
      </c>
      <c r="L254" s="70">
        <v>0.2</v>
      </c>
      <c r="M254" s="70">
        <v>1</v>
      </c>
    </row>
    <row r="255" spans="11:13" x14ac:dyDescent="0.2">
      <c r="K255" s="76">
        <v>44165</v>
      </c>
      <c r="L255" s="70">
        <v>0.2</v>
      </c>
      <c r="M255" s="70">
        <v>1</v>
      </c>
    </row>
    <row r="256" spans="11:13" x14ac:dyDescent="0.2">
      <c r="K256" s="76">
        <v>44166</v>
      </c>
      <c r="L256" s="70">
        <v>0.2</v>
      </c>
      <c r="M256" s="70">
        <v>1</v>
      </c>
    </row>
    <row r="257" spans="11:13" x14ac:dyDescent="0.2">
      <c r="K257" s="76">
        <v>44167</v>
      </c>
      <c r="L257" s="70">
        <v>0.2</v>
      </c>
      <c r="M257" s="70">
        <v>1</v>
      </c>
    </row>
    <row r="258" spans="11:13" x14ac:dyDescent="0.2">
      <c r="K258" s="76">
        <v>44168</v>
      </c>
      <c r="L258" s="70">
        <v>0.2</v>
      </c>
      <c r="M258" s="70">
        <v>1</v>
      </c>
    </row>
    <row r="259" spans="11:13" x14ac:dyDescent="0.2">
      <c r="K259" s="76">
        <v>44169</v>
      </c>
      <c r="L259" s="70">
        <v>0.2</v>
      </c>
      <c r="M259" s="70">
        <v>1</v>
      </c>
    </row>
    <row r="260" spans="11:13" x14ac:dyDescent="0.2">
      <c r="K260" s="76">
        <v>44170</v>
      </c>
      <c r="L260" s="70">
        <v>0.2</v>
      </c>
      <c r="M260" s="70">
        <v>1</v>
      </c>
    </row>
    <row r="261" spans="11:13" x14ac:dyDescent="0.2">
      <c r="K261" s="76">
        <v>44171</v>
      </c>
      <c r="L261" s="70">
        <v>0.2</v>
      </c>
      <c r="M261" s="70">
        <v>1</v>
      </c>
    </row>
    <row r="262" spans="11:13" x14ac:dyDescent="0.2">
      <c r="K262" s="76">
        <v>44172</v>
      </c>
      <c r="L262" s="70">
        <v>0.2</v>
      </c>
      <c r="M262" s="70">
        <v>1</v>
      </c>
    </row>
    <row r="263" spans="11:13" x14ac:dyDescent="0.2">
      <c r="K263" s="76">
        <v>44173</v>
      </c>
      <c r="L263" s="70">
        <v>0.2</v>
      </c>
      <c r="M263" s="70">
        <v>1</v>
      </c>
    </row>
    <row r="264" spans="11:13" x14ac:dyDescent="0.2">
      <c r="K264" s="76">
        <v>44174</v>
      </c>
      <c r="L264" s="70">
        <v>0.2</v>
      </c>
      <c r="M264" s="70">
        <v>1</v>
      </c>
    </row>
    <row r="265" spans="11:13" x14ac:dyDescent="0.2">
      <c r="K265" s="76">
        <v>44175</v>
      </c>
      <c r="L265" s="70">
        <v>0.2</v>
      </c>
      <c r="M265" s="70">
        <v>1</v>
      </c>
    </row>
    <row r="266" spans="11:13" x14ac:dyDescent="0.2">
      <c r="K266" s="76">
        <v>44176</v>
      </c>
      <c r="L266" s="70">
        <v>0.2</v>
      </c>
      <c r="M266" s="70">
        <v>1</v>
      </c>
    </row>
    <row r="267" spans="11:13" x14ac:dyDescent="0.2">
      <c r="K267" s="76">
        <v>44177</v>
      </c>
      <c r="L267" s="70">
        <v>0.2</v>
      </c>
      <c r="M267" s="70">
        <v>1</v>
      </c>
    </row>
    <row r="268" spans="11:13" x14ac:dyDescent="0.2">
      <c r="K268" s="76">
        <v>44178</v>
      </c>
      <c r="L268" s="70">
        <v>0.2</v>
      </c>
      <c r="M268" s="70">
        <v>1</v>
      </c>
    </row>
    <row r="269" spans="11:13" x14ac:dyDescent="0.2">
      <c r="K269" s="76">
        <v>44179</v>
      </c>
      <c r="L269" s="70">
        <v>0.2</v>
      </c>
      <c r="M269" s="70">
        <v>1</v>
      </c>
    </row>
    <row r="270" spans="11:13" x14ac:dyDescent="0.2">
      <c r="K270" s="76">
        <v>44180</v>
      </c>
      <c r="L270" s="70">
        <v>0.2</v>
      </c>
      <c r="M270" s="70">
        <v>1</v>
      </c>
    </row>
    <row r="271" spans="11:13" x14ac:dyDescent="0.2">
      <c r="K271" s="76">
        <v>44181</v>
      </c>
      <c r="L271" s="70">
        <v>0.2</v>
      </c>
      <c r="M271" s="70">
        <v>1</v>
      </c>
    </row>
    <row r="272" spans="11:13" x14ac:dyDescent="0.2">
      <c r="K272" s="76">
        <v>44182</v>
      </c>
      <c r="L272" s="70">
        <v>0.2</v>
      </c>
      <c r="M272" s="70">
        <v>1</v>
      </c>
    </row>
    <row r="273" spans="11:13" x14ac:dyDescent="0.2">
      <c r="K273" s="76">
        <v>44183</v>
      </c>
      <c r="L273" s="70">
        <v>0.2</v>
      </c>
      <c r="M273" s="70">
        <v>1</v>
      </c>
    </row>
    <row r="274" spans="11:13" x14ac:dyDescent="0.2">
      <c r="K274" s="76">
        <v>44184</v>
      </c>
      <c r="L274" s="70">
        <v>0.2</v>
      </c>
      <c r="M274" s="70">
        <v>1</v>
      </c>
    </row>
    <row r="275" spans="11:13" x14ac:dyDescent="0.2">
      <c r="K275" s="76">
        <v>44185</v>
      </c>
      <c r="L275" s="70">
        <v>0.2</v>
      </c>
      <c r="M275" s="70">
        <v>1</v>
      </c>
    </row>
    <row r="276" spans="11:13" x14ac:dyDescent="0.2">
      <c r="K276" s="76">
        <v>44186</v>
      </c>
      <c r="L276" s="70">
        <v>0.2</v>
      </c>
      <c r="M276" s="70">
        <v>1</v>
      </c>
    </row>
    <row r="277" spans="11:13" x14ac:dyDescent="0.2">
      <c r="K277" s="76">
        <v>44187</v>
      </c>
      <c r="L277" s="70">
        <v>0.2</v>
      </c>
      <c r="M277" s="70">
        <v>1</v>
      </c>
    </row>
    <row r="278" spans="11:13" x14ac:dyDescent="0.2">
      <c r="K278" s="76">
        <v>44188</v>
      </c>
      <c r="L278" s="70">
        <v>0.2</v>
      </c>
      <c r="M278" s="70">
        <v>1</v>
      </c>
    </row>
    <row r="279" spans="11:13" x14ac:dyDescent="0.2">
      <c r="K279" s="76">
        <v>44189</v>
      </c>
      <c r="L279" s="70">
        <v>0.2</v>
      </c>
      <c r="M279" s="70">
        <v>1</v>
      </c>
    </row>
    <row r="280" spans="11:13" x14ac:dyDescent="0.2">
      <c r="K280" s="76">
        <v>44190</v>
      </c>
      <c r="L280" s="70">
        <v>0.2</v>
      </c>
      <c r="M280" s="70">
        <v>1</v>
      </c>
    </row>
    <row r="281" spans="11:13" x14ac:dyDescent="0.2">
      <c r="K281" s="76">
        <v>44191</v>
      </c>
      <c r="L281" s="70">
        <v>0.2</v>
      </c>
      <c r="M281" s="70">
        <v>1</v>
      </c>
    </row>
    <row r="282" spans="11:13" x14ac:dyDescent="0.2">
      <c r="K282" s="76">
        <v>44192</v>
      </c>
      <c r="L282" s="70">
        <v>0.2</v>
      </c>
      <c r="M282" s="70">
        <v>1</v>
      </c>
    </row>
    <row r="283" spans="11:13" x14ac:dyDescent="0.2">
      <c r="K283" s="76">
        <v>44193</v>
      </c>
      <c r="L283" s="70">
        <v>0.2</v>
      </c>
      <c r="M283" s="70">
        <v>1</v>
      </c>
    </row>
    <row r="284" spans="11:13" x14ac:dyDescent="0.2">
      <c r="K284" s="76">
        <v>44194</v>
      </c>
      <c r="L284" s="70">
        <v>0.2</v>
      </c>
      <c r="M284" s="70">
        <v>1</v>
      </c>
    </row>
    <row r="285" spans="11:13" x14ac:dyDescent="0.2">
      <c r="K285" s="76">
        <v>44195</v>
      </c>
      <c r="L285" s="70">
        <v>0.2</v>
      </c>
      <c r="M285" s="70">
        <v>1</v>
      </c>
    </row>
    <row r="286" spans="11:13" x14ac:dyDescent="0.2">
      <c r="K286" s="76">
        <v>44196</v>
      </c>
      <c r="L286" s="70">
        <v>0.2</v>
      </c>
      <c r="M286" s="70">
        <v>1</v>
      </c>
    </row>
    <row r="287" spans="11:13" x14ac:dyDescent="0.2">
      <c r="K287" s="76">
        <v>44197</v>
      </c>
      <c r="L287" s="70">
        <v>0.2</v>
      </c>
      <c r="M287" s="70">
        <v>1</v>
      </c>
    </row>
    <row r="288" spans="11:13" x14ac:dyDescent="0.2">
      <c r="K288" s="76">
        <v>44198</v>
      </c>
      <c r="L288" s="70">
        <v>0.2</v>
      </c>
      <c r="M288" s="70">
        <v>1</v>
      </c>
    </row>
    <row r="289" spans="11:13" x14ac:dyDescent="0.2">
      <c r="K289" s="76">
        <v>44199</v>
      </c>
      <c r="L289" s="70">
        <v>0.2</v>
      </c>
      <c r="M289" s="70">
        <v>1</v>
      </c>
    </row>
    <row r="290" spans="11:13" x14ac:dyDescent="0.2">
      <c r="K290" s="76">
        <v>44200</v>
      </c>
      <c r="L290" s="70">
        <v>0.2</v>
      </c>
      <c r="M290" s="70">
        <v>1</v>
      </c>
    </row>
    <row r="291" spans="11:13" x14ac:dyDescent="0.2">
      <c r="K291" s="76">
        <v>44201</v>
      </c>
      <c r="L291" s="70">
        <v>0.2</v>
      </c>
      <c r="M291" s="70">
        <v>1</v>
      </c>
    </row>
    <row r="292" spans="11:13" x14ac:dyDescent="0.2">
      <c r="K292" s="76">
        <v>44202</v>
      </c>
      <c r="L292" s="70">
        <v>0.2</v>
      </c>
      <c r="M292" s="70">
        <v>1</v>
      </c>
    </row>
    <row r="293" spans="11:13" x14ac:dyDescent="0.2">
      <c r="K293" s="76">
        <v>44203</v>
      </c>
      <c r="L293" s="70">
        <v>0.2</v>
      </c>
      <c r="M293" s="70">
        <v>1</v>
      </c>
    </row>
    <row r="294" spans="11:13" x14ac:dyDescent="0.2">
      <c r="K294" s="76">
        <v>44204</v>
      </c>
      <c r="L294" s="70">
        <v>0.2</v>
      </c>
      <c r="M294" s="70">
        <v>1</v>
      </c>
    </row>
    <row r="295" spans="11:13" x14ac:dyDescent="0.2">
      <c r="K295" s="76">
        <v>44205</v>
      </c>
      <c r="L295" s="70">
        <v>0.2</v>
      </c>
      <c r="M295" s="70">
        <v>1</v>
      </c>
    </row>
    <row r="296" spans="11:13" x14ac:dyDescent="0.2">
      <c r="K296" s="76">
        <v>44206</v>
      </c>
      <c r="L296" s="70">
        <v>0.2</v>
      </c>
      <c r="M296" s="70">
        <v>1</v>
      </c>
    </row>
    <row r="297" spans="11:13" x14ac:dyDescent="0.2">
      <c r="K297" s="76">
        <v>44207</v>
      </c>
      <c r="L297" s="70">
        <v>0.2</v>
      </c>
      <c r="M297" s="70">
        <v>1</v>
      </c>
    </row>
    <row r="298" spans="11:13" x14ac:dyDescent="0.2">
      <c r="K298" s="76">
        <v>44208</v>
      </c>
      <c r="L298" s="70">
        <v>0.2</v>
      </c>
      <c r="M298" s="70">
        <v>1</v>
      </c>
    </row>
    <row r="299" spans="11:13" x14ac:dyDescent="0.2">
      <c r="K299" s="76">
        <v>44209</v>
      </c>
      <c r="L299" s="70">
        <v>0.2</v>
      </c>
      <c r="M299" s="70">
        <v>1</v>
      </c>
    </row>
    <row r="300" spans="11:13" x14ac:dyDescent="0.2">
      <c r="K300" s="76">
        <v>44210</v>
      </c>
      <c r="L300" s="70">
        <v>0.2</v>
      </c>
      <c r="M300" s="70">
        <v>1</v>
      </c>
    </row>
    <row r="301" spans="11:13" x14ac:dyDescent="0.2">
      <c r="K301" s="76">
        <v>44211</v>
      </c>
      <c r="L301" s="70">
        <v>0.2</v>
      </c>
      <c r="M301" s="70">
        <v>1</v>
      </c>
    </row>
    <row r="302" spans="11:13" x14ac:dyDescent="0.2">
      <c r="K302" s="76">
        <v>44212</v>
      </c>
      <c r="L302" s="70">
        <v>0.2</v>
      </c>
      <c r="M302" s="70">
        <v>1</v>
      </c>
    </row>
    <row r="303" spans="11:13" x14ac:dyDescent="0.2">
      <c r="K303" s="76">
        <v>44213</v>
      </c>
      <c r="L303" s="70">
        <v>0.2</v>
      </c>
      <c r="M303" s="70">
        <v>1</v>
      </c>
    </row>
    <row r="304" spans="11:13" x14ac:dyDescent="0.2">
      <c r="K304" s="76">
        <v>44214</v>
      </c>
      <c r="L304" s="70">
        <v>0.2</v>
      </c>
      <c r="M304" s="70">
        <v>1</v>
      </c>
    </row>
    <row r="305" spans="11:13" x14ac:dyDescent="0.2">
      <c r="K305" s="76">
        <v>44215</v>
      </c>
      <c r="L305" s="70">
        <v>0.2</v>
      </c>
      <c r="M305" s="70">
        <v>1</v>
      </c>
    </row>
    <row r="306" spans="11:13" x14ac:dyDescent="0.2">
      <c r="K306" s="76">
        <v>44216</v>
      </c>
      <c r="L306" s="70">
        <v>0.2</v>
      </c>
      <c r="M306" s="70">
        <v>1</v>
      </c>
    </row>
    <row r="307" spans="11:13" x14ac:dyDescent="0.2">
      <c r="K307" s="76">
        <v>44217</v>
      </c>
      <c r="L307" s="70">
        <v>0.2</v>
      </c>
      <c r="M307" s="70">
        <v>1</v>
      </c>
    </row>
    <row r="308" spans="11:13" x14ac:dyDescent="0.2">
      <c r="K308" s="76">
        <v>44218</v>
      </c>
      <c r="L308" s="70">
        <v>0.2</v>
      </c>
      <c r="M308" s="70">
        <v>1</v>
      </c>
    </row>
    <row r="309" spans="11:13" x14ac:dyDescent="0.2">
      <c r="K309" s="76">
        <v>44219</v>
      </c>
      <c r="L309" s="70">
        <v>0.2</v>
      </c>
      <c r="M309" s="70">
        <v>1</v>
      </c>
    </row>
    <row r="310" spans="11:13" x14ac:dyDescent="0.2">
      <c r="K310" s="76">
        <v>44220</v>
      </c>
      <c r="L310" s="70">
        <v>0.2</v>
      </c>
      <c r="M310" s="70">
        <v>1</v>
      </c>
    </row>
    <row r="311" spans="11:13" x14ac:dyDescent="0.2">
      <c r="K311" s="76">
        <v>44221</v>
      </c>
      <c r="L311" s="70">
        <v>0.2</v>
      </c>
      <c r="M311" s="70">
        <v>1</v>
      </c>
    </row>
    <row r="312" spans="11:13" x14ac:dyDescent="0.2">
      <c r="K312" s="76">
        <v>44222</v>
      </c>
      <c r="L312" s="70">
        <v>0.2</v>
      </c>
      <c r="M312" s="70">
        <v>1</v>
      </c>
    </row>
    <row r="313" spans="11:13" x14ac:dyDescent="0.2">
      <c r="K313" s="76">
        <v>44223</v>
      </c>
      <c r="L313" s="70">
        <v>0.2</v>
      </c>
      <c r="M313" s="70">
        <v>1</v>
      </c>
    </row>
    <row r="314" spans="11:13" x14ac:dyDescent="0.2">
      <c r="K314" s="76">
        <v>44224</v>
      </c>
      <c r="L314" s="70">
        <v>0.2</v>
      </c>
      <c r="M314" s="70">
        <v>1</v>
      </c>
    </row>
    <row r="315" spans="11:13" x14ac:dyDescent="0.2">
      <c r="K315" s="76">
        <v>44225</v>
      </c>
      <c r="L315" s="70">
        <v>0.2</v>
      </c>
      <c r="M315" s="70">
        <v>1</v>
      </c>
    </row>
    <row r="316" spans="11:13" x14ac:dyDescent="0.2">
      <c r="K316" s="76">
        <v>44226</v>
      </c>
      <c r="L316" s="70">
        <v>0.2</v>
      </c>
      <c r="M316" s="70">
        <v>1</v>
      </c>
    </row>
    <row r="317" spans="11:13" x14ac:dyDescent="0.2">
      <c r="K317" s="76">
        <v>44227</v>
      </c>
      <c r="L317" s="70">
        <v>0.2</v>
      </c>
      <c r="M317" s="70">
        <v>1</v>
      </c>
    </row>
    <row r="318" spans="11:13" x14ac:dyDescent="0.2">
      <c r="K318" s="76">
        <v>44228</v>
      </c>
      <c r="L318" s="70">
        <v>0.2</v>
      </c>
      <c r="M318" s="70">
        <v>1</v>
      </c>
    </row>
    <row r="319" spans="11:13" x14ac:dyDescent="0.2">
      <c r="K319" s="76">
        <v>44229</v>
      </c>
      <c r="L319" s="70">
        <v>0.2</v>
      </c>
      <c r="M319" s="70">
        <v>1</v>
      </c>
    </row>
    <row r="320" spans="11:13" x14ac:dyDescent="0.2">
      <c r="K320" s="76">
        <v>44230</v>
      </c>
      <c r="L320" s="70">
        <v>0.2</v>
      </c>
      <c r="M320" s="70">
        <v>1</v>
      </c>
    </row>
    <row r="321" spans="11:13" x14ac:dyDescent="0.2">
      <c r="K321" s="76">
        <v>44231</v>
      </c>
      <c r="L321" s="70">
        <v>0.2</v>
      </c>
      <c r="M321" s="70">
        <v>1</v>
      </c>
    </row>
    <row r="322" spans="11:13" x14ac:dyDescent="0.2">
      <c r="K322" s="76">
        <v>44232</v>
      </c>
      <c r="L322" s="70">
        <v>0.2</v>
      </c>
      <c r="M322" s="70">
        <v>1</v>
      </c>
    </row>
    <row r="323" spans="11:13" x14ac:dyDescent="0.2">
      <c r="K323" s="76">
        <v>44233</v>
      </c>
      <c r="L323" s="70">
        <v>0.2</v>
      </c>
      <c r="M323" s="70">
        <v>1</v>
      </c>
    </row>
    <row r="324" spans="11:13" x14ac:dyDescent="0.2">
      <c r="K324" s="76">
        <v>44234</v>
      </c>
      <c r="L324" s="70">
        <v>0.2</v>
      </c>
      <c r="M324" s="70">
        <v>1</v>
      </c>
    </row>
    <row r="325" spans="11:13" x14ac:dyDescent="0.2">
      <c r="K325" s="76">
        <v>44235</v>
      </c>
      <c r="L325" s="70">
        <v>0.2</v>
      </c>
      <c r="M325" s="70">
        <v>1</v>
      </c>
    </row>
    <row r="326" spans="11:13" x14ac:dyDescent="0.2">
      <c r="K326" s="76">
        <v>44236</v>
      </c>
      <c r="L326" s="70">
        <v>0.2</v>
      </c>
      <c r="M326" s="70">
        <v>1</v>
      </c>
    </row>
    <row r="327" spans="11:13" x14ac:dyDescent="0.2">
      <c r="K327" s="76">
        <v>44237</v>
      </c>
      <c r="L327" s="70">
        <v>0.2</v>
      </c>
      <c r="M327" s="70">
        <v>1</v>
      </c>
    </row>
    <row r="328" spans="11:13" x14ac:dyDescent="0.2">
      <c r="K328" s="76">
        <v>44238</v>
      </c>
      <c r="L328" s="70">
        <v>0.2</v>
      </c>
      <c r="M328" s="70">
        <v>1</v>
      </c>
    </row>
    <row r="329" spans="11:13" x14ac:dyDescent="0.2">
      <c r="K329" s="76">
        <v>44239</v>
      </c>
      <c r="L329" s="70">
        <v>0.2</v>
      </c>
      <c r="M329" s="70">
        <v>1</v>
      </c>
    </row>
    <row r="330" spans="11:13" x14ac:dyDescent="0.2">
      <c r="K330" s="76">
        <v>44240</v>
      </c>
      <c r="L330" s="70">
        <v>0.2</v>
      </c>
      <c r="M330" s="70">
        <v>1</v>
      </c>
    </row>
    <row r="331" spans="11:13" x14ac:dyDescent="0.2">
      <c r="K331" s="76">
        <v>44241</v>
      </c>
      <c r="L331" s="70">
        <v>0.2</v>
      </c>
      <c r="M331" s="70">
        <v>1</v>
      </c>
    </row>
    <row r="332" spans="11:13" x14ac:dyDescent="0.2">
      <c r="K332" s="76">
        <v>44242</v>
      </c>
      <c r="L332" s="70">
        <v>0.2</v>
      </c>
      <c r="M332" s="70">
        <v>1</v>
      </c>
    </row>
    <row r="333" spans="11:13" x14ac:dyDescent="0.2">
      <c r="K333" s="76">
        <v>44243</v>
      </c>
      <c r="L333" s="70">
        <v>0.2</v>
      </c>
      <c r="M333" s="70">
        <v>1</v>
      </c>
    </row>
    <row r="334" spans="11:13" x14ac:dyDescent="0.2">
      <c r="K334" s="76">
        <v>44244</v>
      </c>
      <c r="L334" s="70">
        <v>0.2</v>
      </c>
      <c r="M334" s="70">
        <v>1</v>
      </c>
    </row>
    <row r="335" spans="11:13" x14ac:dyDescent="0.2">
      <c r="K335" s="76">
        <v>44245</v>
      </c>
      <c r="L335" s="70">
        <v>0.2</v>
      </c>
      <c r="M335" s="70">
        <v>1</v>
      </c>
    </row>
    <row r="336" spans="11:13" x14ac:dyDescent="0.2">
      <c r="K336" s="76">
        <v>44246</v>
      </c>
      <c r="L336" s="70">
        <v>0.2</v>
      </c>
      <c r="M336" s="70">
        <v>1</v>
      </c>
    </row>
    <row r="337" spans="11:13" x14ac:dyDescent="0.2">
      <c r="K337" s="76">
        <v>44247</v>
      </c>
      <c r="L337" s="70">
        <v>0.2</v>
      </c>
      <c r="M337" s="70">
        <v>1</v>
      </c>
    </row>
    <row r="338" spans="11:13" x14ac:dyDescent="0.2">
      <c r="K338" s="76">
        <v>44248</v>
      </c>
      <c r="L338" s="70">
        <v>0.2</v>
      </c>
      <c r="M338" s="70">
        <v>1</v>
      </c>
    </row>
    <row r="339" spans="11:13" x14ac:dyDescent="0.2">
      <c r="K339" s="76">
        <v>44249</v>
      </c>
      <c r="L339" s="70">
        <v>0.2</v>
      </c>
      <c r="M339" s="70">
        <v>1</v>
      </c>
    </row>
    <row r="340" spans="11:13" x14ac:dyDescent="0.2">
      <c r="K340" s="76">
        <v>44250</v>
      </c>
      <c r="L340" s="70">
        <v>0.2</v>
      </c>
      <c r="M340" s="70">
        <v>1</v>
      </c>
    </row>
    <row r="341" spans="11:13" x14ac:dyDescent="0.2">
      <c r="K341" s="76">
        <v>44251</v>
      </c>
      <c r="L341" s="70">
        <v>0.2</v>
      </c>
      <c r="M341" s="70">
        <v>1</v>
      </c>
    </row>
    <row r="342" spans="11:13" x14ac:dyDescent="0.2">
      <c r="K342" s="76">
        <v>44252</v>
      </c>
      <c r="L342" s="70">
        <v>0.2</v>
      </c>
      <c r="M342" s="70">
        <v>1</v>
      </c>
    </row>
    <row r="343" spans="11:13" x14ac:dyDescent="0.2">
      <c r="K343" s="76">
        <v>44253</v>
      </c>
      <c r="L343" s="70">
        <v>0.2</v>
      </c>
      <c r="M343" s="70">
        <v>1</v>
      </c>
    </row>
    <row r="344" spans="11:13" x14ac:dyDescent="0.2">
      <c r="K344" s="76">
        <v>44254</v>
      </c>
      <c r="L344" s="70">
        <v>0.2</v>
      </c>
      <c r="M344" s="70">
        <v>1</v>
      </c>
    </row>
    <row r="345" spans="11:13" x14ac:dyDescent="0.2">
      <c r="K345" s="76">
        <v>44255</v>
      </c>
      <c r="L345" s="70">
        <v>0.2</v>
      </c>
      <c r="M345" s="70">
        <v>1</v>
      </c>
    </row>
    <row r="346" spans="11:13" x14ac:dyDescent="0.2">
      <c r="K346" s="76">
        <v>44256</v>
      </c>
      <c r="L346" s="70">
        <v>0.2</v>
      </c>
      <c r="M346" s="70">
        <v>1</v>
      </c>
    </row>
    <row r="347" spans="11:13" x14ac:dyDescent="0.2">
      <c r="K347" s="76">
        <v>44257</v>
      </c>
      <c r="L347" s="70">
        <v>0.2</v>
      </c>
      <c r="M347" s="70">
        <v>1</v>
      </c>
    </row>
    <row r="348" spans="11:13" x14ac:dyDescent="0.2">
      <c r="K348" s="76">
        <v>44258</v>
      </c>
      <c r="L348" s="70">
        <v>0.2</v>
      </c>
      <c r="M348" s="70">
        <v>1</v>
      </c>
    </row>
    <row r="349" spans="11:13" x14ac:dyDescent="0.2">
      <c r="K349" s="76">
        <v>44259</v>
      </c>
      <c r="L349" s="70">
        <v>0.2</v>
      </c>
      <c r="M349" s="70">
        <v>1</v>
      </c>
    </row>
    <row r="350" spans="11:13" x14ac:dyDescent="0.2">
      <c r="K350" s="76">
        <v>44260</v>
      </c>
      <c r="L350" s="70">
        <v>0.2</v>
      </c>
      <c r="M350" s="70">
        <v>1</v>
      </c>
    </row>
    <row r="351" spans="11:13" x14ac:dyDescent="0.2">
      <c r="K351" s="76">
        <v>44261</v>
      </c>
      <c r="L351" s="70">
        <v>0.2</v>
      </c>
      <c r="M351" s="70">
        <v>1</v>
      </c>
    </row>
    <row r="352" spans="11:13" x14ac:dyDescent="0.2">
      <c r="K352" s="76">
        <v>44262</v>
      </c>
      <c r="L352" s="70">
        <v>0.2</v>
      </c>
      <c r="M352" s="70">
        <v>1</v>
      </c>
    </row>
    <row r="353" spans="11:13" x14ac:dyDescent="0.2">
      <c r="K353" s="76">
        <v>44263</v>
      </c>
      <c r="L353" s="70">
        <v>0.2</v>
      </c>
      <c r="M353" s="70">
        <v>1</v>
      </c>
    </row>
    <row r="354" spans="11:13" x14ac:dyDescent="0.2">
      <c r="K354" s="76">
        <v>44264</v>
      </c>
      <c r="L354" s="70">
        <v>0.2</v>
      </c>
      <c r="M354" s="70">
        <v>1</v>
      </c>
    </row>
    <row r="355" spans="11:13" x14ac:dyDescent="0.2">
      <c r="K355" s="76">
        <v>44265</v>
      </c>
      <c r="L355" s="70">
        <v>0.2</v>
      </c>
      <c r="M355" s="70">
        <v>1</v>
      </c>
    </row>
    <row r="356" spans="11:13" x14ac:dyDescent="0.2">
      <c r="K356" s="76">
        <v>44266</v>
      </c>
      <c r="L356" s="70">
        <v>0.2</v>
      </c>
      <c r="M356" s="70">
        <v>1</v>
      </c>
    </row>
    <row r="357" spans="11:13" x14ac:dyDescent="0.2">
      <c r="K357" s="76">
        <v>44267</v>
      </c>
      <c r="L357" s="70">
        <v>0.2</v>
      </c>
      <c r="M357" s="70">
        <v>1</v>
      </c>
    </row>
    <row r="358" spans="11:13" x14ac:dyDescent="0.2">
      <c r="K358" s="76">
        <v>44268</v>
      </c>
      <c r="L358" s="70">
        <v>0.2</v>
      </c>
      <c r="M358" s="70">
        <v>1</v>
      </c>
    </row>
    <row r="359" spans="11:13" x14ac:dyDescent="0.2">
      <c r="K359" s="76">
        <v>44269</v>
      </c>
      <c r="L359" s="70">
        <v>0.2</v>
      </c>
      <c r="M359" s="70">
        <v>1</v>
      </c>
    </row>
    <row r="360" spans="11:13" x14ac:dyDescent="0.2">
      <c r="K360" s="76">
        <v>44270</v>
      </c>
      <c r="L360" s="70">
        <v>0.2</v>
      </c>
      <c r="M360" s="70">
        <v>1</v>
      </c>
    </row>
    <row r="361" spans="11:13" x14ac:dyDescent="0.2">
      <c r="K361" s="76">
        <v>44271</v>
      </c>
      <c r="L361" s="70">
        <v>0.2</v>
      </c>
      <c r="M361" s="70">
        <v>1</v>
      </c>
    </row>
    <row r="362" spans="11:13" x14ac:dyDescent="0.2">
      <c r="K362" s="76">
        <v>44272</v>
      </c>
      <c r="L362" s="70">
        <v>0.2</v>
      </c>
      <c r="M362" s="70">
        <v>1</v>
      </c>
    </row>
    <row r="363" spans="11:13" x14ac:dyDescent="0.2">
      <c r="K363" s="76">
        <v>44273</v>
      </c>
      <c r="L363" s="70">
        <v>0.2</v>
      </c>
      <c r="M363" s="70">
        <v>1</v>
      </c>
    </row>
    <row r="364" spans="11:13" x14ac:dyDescent="0.2">
      <c r="K364" s="76">
        <v>44274</v>
      </c>
      <c r="L364" s="70">
        <v>0.2</v>
      </c>
      <c r="M364" s="70">
        <v>1</v>
      </c>
    </row>
    <row r="365" spans="11:13" x14ac:dyDescent="0.2">
      <c r="K365" s="76">
        <v>44275</v>
      </c>
      <c r="L365" s="70">
        <v>0.2</v>
      </c>
      <c r="M365" s="70">
        <v>1</v>
      </c>
    </row>
    <row r="366" spans="11:13" x14ac:dyDescent="0.2">
      <c r="K366" s="76">
        <v>44276</v>
      </c>
      <c r="L366" s="70">
        <v>0.2</v>
      </c>
      <c r="M366" s="70">
        <v>1</v>
      </c>
    </row>
    <row r="367" spans="11:13" x14ac:dyDescent="0.2">
      <c r="K367" s="76">
        <v>44277</v>
      </c>
      <c r="L367" s="70">
        <v>0.2</v>
      </c>
      <c r="M367" s="70">
        <v>1</v>
      </c>
    </row>
    <row r="368" spans="11:13" x14ac:dyDescent="0.2">
      <c r="K368" s="76">
        <v>44278</v>
      </c>
      <c r="L368" s="70">
        <v>0.2</v>
      </c>
      <c r="M368" s="70">
        <v>1</v>
      </c>
    </row>
    <row r="369" spans="11:13" x14ac:dyDescent="0.2">
      <c r="K369" s="76">
        <v>44279</v>
      </c>
      <c r="L369" s="70">
        <v>0.2</v>
      </c>
      <c r="M369" s="70">
        <v>1</v>
      </c>
    </row>
    <row r="370" spans="11:13" x14ac:dyDescent="0.2">
      <c r="K370" s="76">
        <v>44280</v>
      </c>
      <c r="L370" s="70">
        <v>0.2</v>
      </c>
      <c r="M370" s="70">
        <v>1</v>
      </c>
    </row>
    <row r="371" spans="11:13" x14ac:dyDescent="0.2">
      <c r="K371" s="76">
        <v>44281</v>
      </c>
      <c r="L371" s="70">
        <v>0.2</v>
      </c>
      <c r="M371" s="70">
        <v>1</v>
      </c>
    </row>
    <row r="372" spans="11:13" x14ac:dyDescent="0.2">
      <c r="K372" s="76">
        <v>44282</v>
      </c>
      <c r="L372" s="70">
        <v>0.2</v>
      </c>
      <c r="M372" s="70">
        <v>1</v>
      </c>
    </row>
    <row r="373" spans="11:13" x14ac:dyDescent="0.2">
      <c r="K373" s="76">
        <v>44283</v>
      </c>
      <c r="L373" s="70">
        <v>0.2</v>
      </c>
      <c r="M373" s="70">
        <v>1</v>
      </c>
    </row>
    <row r="374" spans="11:13" x14ac:dyDescent="0.2">
      <c r="K374" s="76">
        <v>44284</v>
      </c>
      <c r="L374" s="70">
        <v>0.2</v>
      </c>
      <c r="M374" s="70">
        <v>1</v>
      </c>
    </row>
    <row r="375" spans="11:13" x14ac:dyDescent="0.2">
      <c r="K375" s="76">
        <v>44285</v>
      </c>
      <c r="L375" s="70">
        <v>0.2</v>
      </c>
      <c r="M375" s="70">
        <v>1</v>
      </c>
    </row>
    <row r="376" spans="11:13" x14ac:dyDescent="0.2">
      <c r="K376" s="76">
        <v>44286</v>
      </c>
      <c r="L376" s="70">
        <v>0.2</v>
      </c>
      <c r="M376" s="70">
        <v>1</v>
      </c>
    </row>
    <row r="377" spans="11:13" x14ac:dyDescent="0.2">
      <c r="K377" s="76">
        <v>44287</v>
      </c>
      <c r="L377" s="70">
        <v>0.2</v>
      </c>
      <c r="M377" s="70">
        <v>1</v>
      </c>
    </row>
    <row r="378" spans="11:13" x14ac:dyDescent="0.2">
      <c r="K378" s="76">
        <v>44288</v>
      </c>
      <c r="L378" s="70">
        <v>0.2</v>
      </c>
      <c r="M378" s="70">
        <v>1</v>
      </c>
    </row>
    <row r="379" spans="11:13" x14ac:dyDescent="0.2">
      <c r="K379" s="76">
        <v>44289</v>
      </c>
      <c r="L379" s="70">
        <v>0.2</v>
      </c>
      <c r="M379" s="70">
        <v>1</v>
      </c>
    </row>
    <row r="380" spans="11:13" x14ac:dyDescent="0.2">
      <c r="K380" s="76">
        <v>44290</v>
      </c>
      <c r="L380" s="70">
        <v>0.2</v>
      </c>
      <c r="M380" s="70">
        <v>1</v>
      </c>
    </row>
    <row r="381" spans="11:13" x14ac:dyDescent="0.2">
      <c r="K381" s="76">
        <v>44291</v>
      </c>
      <c r="L381" s="70">
        <v>0.2</v>
      </c>
      <c r="M381" s="70">
        <v>1</v>
      </c>
    </row>
    <row r="382" spans="11:13" x14ac:dyDescent="0.2">
      <c r="K382" s="76">
        <v>44292</v>
      </c>
      <c r="L382" s="70">
        <v>0.2</v>
      </c>
      <c r="M382" s="70">
        <v>1</v>
      </c>
    </row>
    <row r="383" spans="11:13" x14ac:dyDescent="0.2">
      <c r="K383" s="76">
        <v>44293</v>
      </c>
      <c r="L383" s="70">
        <v>0.2</v>
      </c>
      <c r="M383" s="70">
        <v>1</v>
      </c>
    </row>
    <row r="384" spans="11:13" x14ac:dyDescent="0.2">
      <c r="K384" s="76">
        <v>44294</v>
      </c>
      <c r="L384" s="70">
        <v>0.2</v>
      </c>
      <c r="M384" s="70">
        <v>1</v>
      </c>
    </row>
    <row r="385" spans="11:13" x14ac:dyDescent="0.2">
      <c r="K385" s="76">
        <v>44295</v>
      </c>
      <c r="L385" s="70">
        <v>0.2</v>
      </c>
      <c r="M385" s="70">
        <v>1</v>
      </c>
    </row>
    <row r="386" spans="11:13" x14ac:dyDescent="0.2">
      <c r="K386" s="76">
        <v>44296</v>
      </c>
      <c r="L386" s="70">
        <v>0.2</v>
      </c>
      <c r="M386" s="70">
        <v>1</v>
      </c>
    </row>
    <row r="387" spans="11:13" x14ac:dyDescent="0.2">
      <c r="K387" s="76">
        <v>44297</v>
      </c>
      <c r="L387" s="70">
        <v>0.2</v>
      </c>
      <c r="M387" s="70">
        <v>1</v>
      </c>
    </row>
    <row r="388" spans="11:13" x14ac:dyDescent="0.2">
      <c r="K388" s="76">
        <v>44298</v>
      </c>
      <c r="L388" s="70">
        <v>0.2</v>
      </c>
      <c r="M388" s="70">
        <v>1</v>
      </c>
    </row>
    <row r="389" spans="11:13" x14ac:dyDescent="0.2">
      <c r="K389" s="76">
        <v>44299</v>
      </c>
      <c r="L389" s="70">
        <v>0.2</v>
      </c>
      <c r="M389" s="70">
        <v>1</v>
      </c>
    </row>
    <row r="390" spans="11:13" x14ac:dyDescent="0.2">
      <c r="K390" s="76">
        <v>44300</v>
      </c>
      <c r="L390" s="70">
        <v>0.2</v>
      </c>
      <c r="M390" s="70">
        <v>1</v>
      </c>
    </row>
    <row r="391" spans="11:13" x14ac:dyDescent="0.2">
      <c r="K391" s="76">
        <v>44301</v>
      </c>
      <c r="L391" s="70">
        <v>0.2</v>
      </c>
      <c r="M391" s="70">
        <v>1</v>
      </c>
    </row>
    <row r="392" spans="11:13" x14ac:dyDescent="0.2">
      <c r="K392" s="76">
        <v>44302</v>
      </c>
      <c r="L392" s="70">
        <v>0.2</v>
      </c>
      <c r="M392" s="70">
        <v>1</v>
      </c>
    </row>
    <row r="393" spans="11:13" x14ac:dyDescent="0.2">
      <c r="K393" s="76">
        <v>44303</v>
      </c>
      <c r="L393" s="70">
        <v>0.2</v>
      </c>
      <c r="M393" s="70">
        <v>1</v>
      </c>
    </row>
    <row r="394" spans="11:13" x14ac:dyDescent="0.2">
      <c r="K394" s="76">
        <v>44304</v>
      </c>
      <c r="L394" s="70">
        <v>0.2</v>
      </c>
      <c r="M394" s="70">
        <v>1</v>
      </c>
    </row>
    <row r="395" spans="11:13" x14ac:dyDescent="0.2">
      <c r="K395" s="76">
        <v>44305</v>
      </c>
      <c r="L395" s="70">
        <v>0.2</v>
      </c>
      <c r="M395" s="70">
        <v>1</v>
      </c>
    </row>
    <row r="396" spans="11:13" x14ac:dyDescent="0.2">
      <c r="K396" s="76">
        <v>44306</v>
      </c>
      <c r="L396" s="70">
        <v>0.2</v>
      </c>
      <c r="M396" s="70">
        <v>1</v>
      </c>
    </row>
  </sheetData>
  <pageMargins left="0.7" right="0.7" top="0.75" bottom="0.75" header="0.3" footer="0.3"/>
  <pageSetup orientation="portrait" horizontalDpi="0" verticalDpi="0"/>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53F4E2-E569-584B-807B-788C74BAEE7F}">
  <sheetPr codeName="Sheet20"/>
  <dimension ref="A1"/>
  <sheetViews>
    <sheetView zoomScaleNormal="100" workbookViewId="0">
      <selection activeCell="L19" sqref="L19"/>
    </sheetView>
  </sheetViews>
  <sheetFormatPr baseColWidth="10" defaultRowHeight="16" x14ac:dyDescent="0.2"/>
  <sheetData/>
  <pageMargins left="0.7" right="0.7" top="0.75" bottom="0.75" header="0.3" footer="0.3"/>
  <pageSetup orientation="portrait" horizontalDpi="0" verticalDpi="0"/>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BF10BE-52FE-794B-890A-D6D4B91A185A}">
  <sheetPr codeName="Sheet4"/>
  <dimension ref="K1:M396"/>
  <sheetViews>
    <sheetView zoomScaleNormal="100" workbookViewId="0">
      <selection activeCell="O26" sqref="O26"/>
    </sheetView>
  </sheetViews>
  <sheetFormatPr baseColWidth="10" defaultRowHeight="16" x14ac:dyDescent="0.2"/>
  <sheetData>
    <row r="1" spans="11:13" x14ac:dyDescent="0.2">
      <c r="K1" t="s">
        <v>53</v>
      </c>
    </row>
    <row r="2" spans="11:13" x14ac:dyDescent="0.2">
      <c r="K2" t="s">
        <v>0</v>
      </c>
      <c r="L2" t="s">
        <v>55</v>
      </c>
      <c r="M2" t="s">
        <v>54</v>
      </c>
    </row>
    <row r="3" spans="11:13" x14ac:dyDescent="0.2">
      <c r="K3" s="76">
        <v>43913</v>
      </c>
      <c r="L3" s="70">
        <v>0.5</v>
      </c>
      <c r="M3" s="70">
        <v>0.16</v>
      </c>
    </row>
    <row r="4" spans="11:13" x14ac:dyDescent="0.2">
      <c r="K4" s="76">
        <v>43914</v>
      </c>
      <c r="L4" s="70">
        <v>0.5</v>
      </c>
      <c r="M4" s="70">
        <v>0.16</v>
      </c>
    </row>
    <row r="5" spans="11:13" x14ac:dyDescent="0.2">
      <c r="K5" s="76">
        <v>43915</v>
      </c>
      <c r="L5" s="70">
        <v>0.5</v>
      </c>
      <c r="M5" s="70">
        <v>0.16</v>
      </c>
    </row>
    <row r="6" spans="11:13" x14ac:dyDescent="0.2">
      <c r="K6" s="76">
        <v>43916</v>
      </c>
      <c r="L6" s="70">
        <v>0.5</v>
      </c>
      <c r="M6" s="70">
        <v>0.16</v>
      </c>
    </row>
    <row r="7" spans="11:13" x14ac:dyDescent="0.2">
      <c r="K7" s="76">
        <v>43917</v>
      </c>
      <c r="L7" s="70">
        <v>0.5</v>
      </c>
      <c r="M7" s="70">
        <v>0.16</v>
      </c>
    </row>
    <row r="8" spans="11:13" x14ac:dyDescent="0.2">
      <c r="K8" s="76">
        <v>43918</v>
      </c>
      <c r="L8" s="70">
        <v>0.5</v>
      </c>
      <c r="M8" s="70">
        <v>0.16</v>
      </c>
    </row>
    <row r="9" spans="11:13" x14ac:dyDescent="0.2">
      <c r="K9" s="76">
        <v>43919</v>
      </c>
      <c r="L9" s="70">
        <v>0.5</v>
      </c>
      <c r="M9" s="70">
        <v>0.16</v>
      </c>
    </row>
    <row r="10" spans="11:13" x14ac:dyDescent="0.2">
      <c r="K10" s="76">
        <v>43920</v>
      </c>
      <c r="L10" s="70">
        <v>0.5</v>
      </c>
      <c r="M10" s="70">
        <v>0.16</v>
      </c>
    </row>
    <row r="11" spans="11:13" x14ac:dyDescent="0.2">
      <c r="K11" s="76">
        <v>43921</v>
      </c>
      <c r="L11" s="70">
        <v>0.5</v>
      </c>
      <c r="M11" s="70">
        <v>0.16</v>
      </c>
    </row>
    <row r="12" spans="11:13" x14ac:dyDescent="0.2">
      <c r="K12" s="76">
        <v>43922</v>
      </c>
      <c r="L12" s="70">
        <v>0.5</v>
      </c>
      <c r="M12" s="70">
        <v>0.16</v>
      </c>
    </row>
    <row r="13" spans="11:13" x14ac:dyDescent="0.2">
      <c r="K13" s="76">
        <v>43923</v>
      </c>
      <c r="L13" s="70">
        <v>0.5</v>
      </c>
      <c r="M13" s="70">
        <v>0.16</v>
      </c>
    </row>
    <row r="14" spans="11:13" x14ac:dyDescent="0.2">
      <c r="K14" s="76">
        <v>43924</v>
      </c>
      <c r="L14" s="70">
        <v>0.5</v>
      </c>
      <c r="M14" s="70">
        <v>0.16</v>
      </c>
    </row>
    <row r="15" spans="11:13" x14ac:dyDescent="0.2">
      <c r="K15" s="76">
        <v>43925</v>
      </c>
      <c r="L15" s="70">
        <v>0.5</v>
      </c>
      <c r="M15" s="70">
        <v>0.16</v>
      </c>
    </row>
    <row r="16" spans="11:13" x14ac:dyDescent="0.2">
      <c r="K16" s="76">
        <v>43926</v>
      </c>
      <c r="L16" s="70">
        <v>0.5</v>
      </c>
      <c r="M16" s="70">
        <v>0.16</v>
      </c>
    </row>
    <row r="17" spans="11:13" x14ac:dyDescent="0.2">
      <c r="K17" s="76">
        <v>43927</v>
      </c>
      <c r="L17" s="70">
        <v>0.5</v>
      </c>
      <c r="M17" s="70">
        <v>0.16</v>
      </c>
    </row>
    <row r="18" spans="11:13" x14ac:dyDescent="0.2">
      <c r="K18" s="76">
        <v>43928</v>
      </c>
      <c r="L18" s="70">
        <v>0.5</v>
      </c>
      <c r="M18" s="70">
        <v>0.16</v>
      </c>
    </row>
    <row r="19" spans="11:13" x14ac:dyDescent="0.2">
      <c r="K19" s="76">
        <v>43929</v>
      </c>
      <c r="L19" s="70">
        <v>0.5</v>
      </c>
      <c r="M19" s="70">
        <v>0.16</v>
      </c>
    </row>
    <row r="20" spans="11:13" x14ac:dyDescent="0.2">
      <c r="K20" s="76">
        <v>43930</v>
      </c>
      <c r="L20" s="70">
        <v>0.5</v>
      </c>
      <c r="M20" s="70">
        <v>0.16</v>
      </c>
    </row>
    <row r="21" spans="11:13" x14ac:dyDescent="0.2">
      <c r="K21" s="76">
        <v>43931</v>
      </c>
      <c r="L21" s="70">
        <v>0.5</v>
      </c>
      <c r="M21" s="70">
        <v>0.16</v>
      </c>
    </row>
    <row r="22" spans="11:13" x14ac:dyDescent="0.2">
      <c r="K22" s="76">
        <v>43932</v>
      </c>
      <c r="L22" s="70">
        <v>0.5</v>
      </c>
      <c r="M22" s="70">
        <v>0.16</v>
      </c>
    </row>
    <row r="23" spans="11:13" x14ac:dyDescent="0.2">
      <c r="K23" s="76">
        <v>43933</v>
      </c>
      <c r="L23" s="70">
        <v>0.5</v>
      </c>
      <c r="M23" s="70">
        <v>0.16</v>
      </c>
    </row>
    <row r="24" spans="11:13" x14ac:dyDescent="0.2">
      <c r="K24" s="76">
        <v>43934</v>
      </c>
      <c r="L24" s="70">
        <v>0.5</v>
      </c>
      <c r="M24" s="70">
        <v>0.16</v>
      </c>
    </row>
    <row r="25" spans="11:13" x14ac:dyDescent="0.2">
      <c r="K25" s="76">
        <v>43935</v>
      </c>
      <c r="L25" s="70">
        <v>0.5</v>
      </c>
      <c r="M25" s="70">
        <v>0.16</v>
      </c>
    </row>
    <row r="26" spans="11:13" x14ac:dyDescent="0.2">
      <c r="K26" s="76">
        <v>43936</v>
      </c>
      <c r="L26" s="70">
        <v>0.5</v>
      </c>
      <c r="M26" s="70">
        <v>0.16</v>
      </c>
    </row>
    <row r="27" spans="11:13" x14ac:dyDescent="0.2">
      <c r="K27" s="76">
        <v>43937</v>
      </c>
      <c r="L27" s="70">
        <v>0.5</v>
      </c>
      <c r="M27" s="70">
        <v>0.16</v>
      </c>
    </row>
    <row r="28" spans="11:13" x14ac:dyDescent="0.2">
      <c r="K28" s="76">
        <v>43938</v>
      </c>
      <c r="L28" s="70">
        <v>0.5</v>
      </c>
      <c r="M28" s="70">
        <v>0.16</v>
      </c>
    </row>
    <row r="29" spans="11:13" x14ac:dyDescent="0.2">
      <c r="K29" s="76">
        <v>43939</v>
      </c>
      <c r="L29" s="70">
        <v>0.5</v>
      </c>
      <c r="M29" s="70">
        <v>0.16</v>
      </c>
    </row>
    <row r="30" spans="11:13" x14ac:dyDescent="0.2">
      <c r="K30" s="76">
        <v>43940</v>
      </c>
      <c r="L30" s="70">
        <v>0.5</v>
      </c>
      <c r="M30" s="70">
        <v>0.16</v>
      </c>
    </row>
    <row r="31" spans="11:13" x14ac:dyDescent="0.2">
      <c r="K31" s="76">
        <v>43941</v>
      </c>
      <c r="L31" s="70">
        <v>0.5</v>
      </c>
      <c r="M31" s="70">
        <v>0.16</v>
      </c>
    </row>
    <row r="32" spans="11:13" x14ac:dyDescent="0.2">
      <c r="K32" s="76">
        <v>43942</v>
      </c>
      <c r="L32" s="70">
        <v>0.5</v>
      </c>
      <c r="M32" s="70">
        <v>0.16</v>
      </c>
    </row>
    <row r="33" spans="11:13" x14ac:dyDescent="0.2">
      <c r="K33" s="76">
        <v>43943</v>
      </c>
      <c r="L33" s="70">
        <v>0.5</v>
      </c>
      <c r="M33" s="70">
        <v>0.16</v>
      </c>
    </row>
    <row r="34" spans="11:13" x14ac:dyDescent="0.2">
      <c r="K34" s="76">
        <v>43944</v>
      </c>
      <c r="L34" s="70">
        <v>0.5</v>
      </c>
      <c r="M34" s="70">
        <v>0.16</v>
      </c>
    </row>
    <row r="35" spans="11:13" x14ac:dyDescent="0.2">
      <c r="K35" s="76">
        <v>43945</v>
      </c>
      <c r="L35" s="70">
        <v>0.5</v>
      </c>
      <c r="M35" s="70">
        <v>0.16</v>
      </c>
    </row>
    <row r="36" spans="11:13" x14ac:dyDescent="0.2">
      <c r="K36" s="76">
        <v>43946</v>
      </c>
      <c r="L36" s="70">
        <v>0.5</v>
      </c>
      <c r="M36" s="70">
        <v>0.16</v>
      </c>
    </row>
    <row r="37" spans="11:13" x14ac:dyDescent="0.2">
      <c r="K37" s="76">
        <v>43947</v>
      </c>
      <c r="L37" s="70">
        <v>0.5</v>
      </c>
      <c r="M37" s="70">
        <v>0.16</v>
      </c>
    </row>
    <row r="38" spans="11:13" x14ac:dyDescent="0.2">
      <c r="K38" s="76">
        <v>43948</v>
      </c>
      <c r="L38" s="70">
        <v>0.5</v>
      </c>
      <c r="M38" s="70">
        <v>0.16</v>
      </c>
    </row>
    <row r="39" spans="11:13" x14ac:dyDescent="0.2">
      <c r="K39" s="76">
        <v>43949</v>
      </c>
      <c r="L39" s="70">
        <v>0.5</v>
      </c>
      <c r="M39" s="70">
        <v>0.16</v>
      </c>
    </row>
    <row r="40" spans="11:13" x14ac:dyDescent="0.2">
      <c r="K40" s="76">
        <v>43950</v>
      </c>
      <c r="L40" s="70">
        <v>0.5</v>
      </c>
      <c r="M40" s="70">
        <v>0.16</v>
      </c>
    </row>
    <row r="41" spans="11:13" x14ac:dyDescent="0.2">
      <c r="K41" s="76">
        <v>43951</v>
      </c>
      <c r="L41" s="70">
        <v>0.5</v>
      </c>
      <c r="M41" s="70">
        <v>0.16</v>
      </c>
    </row>
    <row r="42" spans="11:13" x14ac:dyDescent="0.2">
      <c r="K42" s="76">
        <v>43952</v>
      </c>
      <c r="L42" s="70">
        <v>0.5</v>
      </c>
      <c r="M42" s="70">
        <v>0.16</v>
      </c>
    </row>
    <row r="43" spans="11:13" x14ac:dyDescent="0.2">
      <c r="K43" s="76">
        <v>43953</v>
      </c>
      <c r="L43" s="70">
        <v>0.5</v>
      </c>
      <c r="M43" s="70">
        <v>0.16</v>
      </c>
    </row>
    <row r="44" spans="11:13" x14ac:dyDescent="0.2">
      <c r="K44" s="76">
        <v>43954</v>
      </c>
      <c r="L44" s="70">
        <v>0.5</v>
      </c>
      <c r="M44" s="70">
        <v>0.16</v>
      </c>
    </row>
    <row r="45" spans="11:13" x14ac:dyDescent="0.2">
      <c r="K45" s="76">
        <v>43955</v>
      </c>
      <c r="L45" s="70">
        <v>0.5</v>
      </c>
      <c r="M45" s="70">
        <v>0.16</v>
      </c>
    </row>
    <row r="46" spans="11:13" x14ac:dyDescent="0.2">
      <c r="K46" s="76">
        <v>43956</v>
      </c>
      <c r="L46" s="70">
        <v>0.5</v>
      </c>
      <c r="M46" s="70">
        <v>0.16</v>
      </c>
    </row>
    <row r="47" spans="11:13" x14ac:dyDescent="0.2">
      <c r="K47" s="76">
        <v>43957</v>
      </c>
      <c r="L47" s="70">
        <v>0.5</v>
      </c>
      <c r="M47" s="70">
        <v>0.16</v>
      </c>
    </row>
    <row r="48" spans="11:13" x14ac:dyDescent="0.2">
      <c r="K48" s="76">
        <v>43958</v>
      </c>
      <c r="L48" s="70">
        <v>0.5</v>
      </c>
      <c r="M48" s="70">
        <v>0.16</v>
      </c>
    </row>
    <row r="49" spans="11:13" x14ac:dyDescent="0.2">
      <c r="K49" s="76">
        <v>43959</v>
      </c>
      <c r="L49" s="70">
        <v>0.5</v>
      </c>
      <c r="M49" s="70">
        <v>0.16</v>
      </c>
    </row>
    <row r="50" spans="11:13" x14ac:dyDescent="0.2">
      <c r="K50" s="76">
        <v>43960</v>
      </c>
      <c r="L50" s="70">
        <v>0.5</v>
      </c>
      <c r="M50" s="70">
        <v>0.16</v>
      </c>
    </row>
    <row r="51" spans="11:13" x14ac:dyDescent="0.2">
      <c r="K51" s="76">
        <v>43961</v>
      </c>
      <c r="L51" s="70">
        <v>0.5</v>
      </c>
      <c r="M51" s="70">
        <v>0.16</v>
      </c>
    </row>
    <row r="52" spans="11:13" x14ac:dyDescent="0.2">
      <c r="K52" s="76">
        <v>43962</v>
      </c>
      <c r="L52" s="70">
        <v>0.5</v>
      </c>
      <c r="M52" s="70">
        <v>0.16</v>
      </c>
    </row>
    <row r="53" spans="11:13" x14ac:dyDescent="0.2">
      <c r="K53" s="76">
        <v>43963</v>
      </c>
      <c r="L53" s="70">
        <v>0.5</v>
      </c>
      <c r="M53" s="70">
        <v>0.16</v>
      </c>
    </row>
    <row r="54" spans="11:13" x14ac:dyDescent="0.2">
      <c r="K54" s="76">
        <v>43964</v>
      </c>
      <c r="L54" s="70">
        <v>0.5</v>
      </c>
      <c r="M54" s="70">
        <v>0.16</v>
      </c>
    </row>
    <row r="55" spans="11:13" x14ac:dyDescent="0.2">
      <c r="K55" s="76">
        <v>43965</v>
      </c>
      <c r="L55" s="70">
        <v>0.5</v>
      </c>
      <c r="M55" s="70">
        <v>0.16</v>
      </c>
    </row>
    <row r="56" spans="11:13" x14ac:dyDescent="0.2">
      <c r="K56" s="76">
        <v>43966</v>
      </c>
      <c r="L56" s="70">
        <v>0.5</v>
      </c>
      <c r="M56" s="70">
        <v>0.16</v>
      </c>
    </row>
    <row r="57" spans="11:13" x14ac:dyDescent="0.2">
      <c r="K57" s="76">
        <v>43967</v>
      </c>
      <c r="L57" s="70">
        <v>0.5</v>
      </c>
      <c r="M57" s="70">
        <v>0.16</v>
      </c>
    </row>
    <row r="58" spans="11:13" x14ac:dyDescent="0.2">
      <c r="K58" s="76">
        <v>43968</v>
      </c>
      <c r="L58" s="70">
        <v>0.5</v>
      </c>
      <c r="M58" s="70">
        <v>0.16</v>
      </c>
    </row>
    <row r="59" spans="11:13" x14ac:dyDescent="0.2">
      <c r="K59" s="76">
        <v>43969</v>
      </c>
      <c r="L59" s="70">
        <v>0.5</v>
      </c>
      <c r="M59" s="70">
        <v>0.16</v>
      </c>
    </row>
    <row r="60" spans="11:13" x14ac:dyDescent="0.2">
      <c r="K60" s="76">
        <v>43970</v>
      </c>
      <c r="L60" s="70">
        <v>0.5</v>
      </c>
      <c r="M60" s="70">
        <v>0.16</v>
      </c>
    </row>
    <row r="61" spans="11:13" x14ac:dyDescent="0.2">
      <c r="K61" s="76">
        <v>43971</v>
      </c>
      <c r="L61" s="70">
        <v>0.5</v>
      </c>
      <c r="M61" s="70">
        <v>0.16</v>
      </c>
    </row>
    <row r="62" spans="11:13" x14ac:dyDescent="0.2">
      <c r="K62" s="76">
        <v>43972</v>
      </c>
      <c r="L62" s="70">
        <v>0.5</v>
      </c>
      <c r="M62" s="70">
        <v>0.16</v>
      </c>
    </row>
    <row r="63" spans="11:13" x14ac:dyDescent="0.2">
      <c r="K63" s="76">
        <v>43973</v>
      </c>
      <c r="L63" s="70">
        <v>0.5</v>
      </c>
      <c r="M63" s="70">
        <v>0.16</v>
      </c>
    </row>
    <row r="64" spans="11:13" x14ac:dyDescent="0.2">
      <c r="K64" s="76">
        <v>43974</v>
      </c>
      <c r="L64" s="70">
        <v>0.5</v>
      </c>
      <c r="M64" s="70">
        <v>0.16</v>
      </c>
    </row>
    <row r="65" spans="11:13" x14ac:dyDescent="0.2">
      <c r="K65" s="76">
        <v>43975</v>
      </c>
      <c r="L65" s="70">
        <v>0.5</v>
      </c>
      <c r="M65" s="70">
        <v>0.16</v>
      </c>
    </row>
    <row r="66" spans="11:13" x14ac:dyDescent="0.2">
      <c r="K66" s="76">
        <v>43976</v>
      </c>
      <c r="L66" s="70">
        <v>0.5</v>
      </c>
      <c r="M66" s="70">
        <v>0.16</v>
      </c>
    </row>
    <row r="67" spans="11:13" x14ac:dyDescent="0.2">
      <c r="K67" s="76">
        <v>43977</v>
      </c>
      <c r="L67" s="70">
        <v>0.5</v>
      </c>
      <c r="M67" s="70">
        <v>0.16</v>
      </c>
    </row>
    <row r="68" spans="11:13" x14ac:dyDescent="0.2">
      <c r="K68" s="76">
        <v>43978</v>
      </c>
      <c r="L68" s="70">
        <v>0.5</v>
      </c>
      <c r="M68" s="70">
        <v>0.16</v>
      </c>
    </row>
    <row r="69" spans="11:13" x14ac:dyDescent="0.2">
      <c r="K69" s="76">
        <v>43979</v>
      </c>
      <c r="L69" s="70">
        <v>0.5</v>
      </c>
      <c r="M69" s="70">
        <v>0.16</v>
      </c>
    </row>
    <row r="70" spans="11:13" x14ac:dyDescent="0.2">
      <c r="K70" s="76">
        <v>43980</v>
      </c>
      <c r="L70" s="70">
        <v>0.5</v>
      </c>
      <c r="M70" s="70">
        <v>0.16</v>
      </c>
    </row>
    <row r="71" spans="11:13" x14ac:dyDescent="0.2">
      <c r="K71" s="76">
        <v>43981</v>
      </c>
      <c r="L71" s="70">
        <v>0.5</v>
      </c>
      <c r="M71" s="70">
        <v>0.16</v>
      </c>
    </row>
    <row r="72" spans="11:13" x14ac:dyDescent="0.2">
      <c r="K72" s="76">
        <v>43982</v>
      </c>
      <c r="L72" s="70">
        <v>0.5</v>
      </c>
      <c r="M72" s="70">
        <v>0.16</v>
      </c>
    </row>
    <row r="73" spans="11:13" x14ac:dyDescent="0.2">
      <c r="K73" s="76">
        <v>43983</v>
      </c>
      <c r="L73" s="70">
        <v>0.5</v>
      </c>
      <c r="M73" s="70">
        <v>0.16</v>
      </c>
    </row>
    <row r="74" spans="11:13" x14ac:dyDescent="0.2">
      <c r="K74" s="76">
        <v>43984</v>
      </c>
      <c r="L74" s="70">
        <v>0.5</v>
      </c>
      <c r="M74" s="70">
        <v>0.16</v>
      </c>
    </row>
    <row r="75" spans="11:13" x14ac:dyDescent="0.2">
      <c r="K75" s="76">
        <v>43985</v>
      </c>
      <c r="L75" s="70">
        <v>0.5</v>
      </c>
      <c r="M75" s="70">
        <v>0.16</v>
      </c>
    </row>
    <row r="76" spans="11:13" x14ac:dyDescent="0.2">
      <c r="K76" s="76">
        <v>43986</v>
      </c>
      <c r="L76" s="70">
        <v>0.5</v>
      </c>
      <c r="M76" s="70">
        <v>0.16</v>
      </c>
    </row>
    <row r="77" spans="11:13" x14ac:dyDescent="0.2">
      <c r="K77" s="76">
        <v>43987</v>
      </c>
      <c r="L77" s="70">
        <v>0.5</v>
      </c>
      <c r="M77" s="70">
        <v>0.16</v>
      </c>
    </row>
    <row r="78" spans="11:13" x14ac:dyDescent="0.2">
      <c r="K78" s="76">
        <v>43988</v>
      </c>
      <c r="L78" s="70">
        <v>0.5</v>
      </c>
      <c r="M78" s="70">
        <v>0.16</v>
      </c>
    </row>
    <row r="79" spans="11:13" x14ac:dyDescent="0.2">
      <c r="K79" s="76">
        <v>43989</v>
      </c>
      <c r="L79" s="70">
        <v>0.5</v>
      </c>
      <c r="M79" s="70">
        <v>0.16</v>
      </c>
    </row>
    <row r="80" spans="11:13" x14ac:dyDescent="0.2">
      <c r="K80" s="76">
        <v>43990</v>
      </c>
      <c r="L80" s="70">
        <v>0.5</v>
      </c>
      <c r="M80" s="70">
        <v>0.16</v>
      </c>
    </row>
    <row r="81" spans="11:13" x14ac:dyDescent="0.2">
      <c r="K81" s="76">
        <v>43991</v>
      </c>
      <c r="L81" s="70">
        <v>0.5</v>
      </c>
      <c r="M81" s="70">
        <v>0.16</v>
      </c>
    </row>
    <row r="82" spans="11:13" x14ac:dyDescent="0.2">
      <c r="K82" s="76">
        <v>43992</v>
      </c>
      <c r="L82" s="70">
        <v>0.5</v>
      </c>
      <c r="M82" s="70">
        <v>0.16</v>
      </c>
    </row>
    <row r="83" spans="11:13" x14ac:dyDescent="0.2">
      <c r="K83" s="76">
        <v>43993</v>
      </c>
      <c r="L83" s="70">
        <v>0.5</v>
      </c>
      <c r="M83" s="70">
        <v>0.16</v>
      </c>
    </row>
    <row r="84" spans="11:13" x14ac:dyDescent="0.2">
      <c r="K84" s="76">
        <v>43994</v>
      </c>
      <c r="L84" s="70">
        <v>0.5</v>
      </c>
      <c r="M84" s="70">
        <v>0.16</v>
      </c>
    </row>
    <row r="85" spans="11:13" x14ac:dyDescent="0.2">
      <c r="K85" s="76">
        <v>43995</v>
      </c>
      <c r="L85" s="70">
        <v>0.5</v>
      </c>
      <c r="M85" s="70">
        <v>0.16</v>
      </c>
    </row>
    <row r="86" spans="11:13" x14ac:dyDescent="0.2">
      <c r="K86" s="76">
        <v>43996</v>
      </c>
      <c r="L86" s="70">
        <v>0.5</v>
      </c>
      <c r="M86" s="70">
        <v>0.16</v>
      </c>
    </row>
    <row r="87" spans="11:13" x14ac:dyDescent="0.2">
      <c r="K87" s="76">
        <v>43997</v>
      </c>
      <c r="L87" s="70">
        <v>0.5</v>
      </c>
      <c r="M87" s="70">
        <v>0.16</v>
      </c>
    </row>
    <row r="88" spans="11:13" x14ac:dyDescent="0.2">
      <c r="K88" s="76">
        <v>43998</v>
      </c>
      <c r="L88" s="70">
        <v>0.5</v>
      </c>
      <c r="M88" s="70">
        <v>0.16</v>
      </c>
    </row>
    <row r="89" spans="11:13" x14ac:dyDescent="0.2">
      <c r="K89" s="76">
        <v>43999</v>
      </c>
      <c r="L89" s="70">
        <v>0.5</v>
      </c>
      <c r="M89" s="70">
        <v>0.16</v>
      </c>
    </row>
    <row r="90" spans="11:13" x14ac:dyDescent="0.2">
      <c r="K90" s="76">
        <v>44000</v>
      </c>
      <c r="L90" s="70">
        <v>0.5</v>
      </c>
      <c r="M90" s="70">
        <v>0.16</v>
      </c>
    </row>
    <row r="91" spans="11:13" x14ac:dyDescent="0.2">
      <c r="K91" s="76">
        <v>44001</v>
      </c>
      <c r="L91" s="70">
        <v>0.5</v>
      </c>
      <c r="M91" s="70">
        <v>0.16</v>
      </c>
    </row>
    <row r="92" spans="11:13" x14ac:dyDescent="0.2">
      <c r="K92" s="76">
        <v>44002</v>
      </c>
      <c r="L92" s="70">
        <v>0.5</v>
      </c>
      <c r="M92" s="70">
        <v>0.16</v>
      </c>
    </row>
    <row r="93" spans="11:13" x14ac:dyDescent="0.2">
      <c r="K93" s="76">
        <v>44003</v>
      </c>
      <c r="L93" s="70">
        <v>0.5</v>
      </c>
      <c r="M93" s="70">
        <v>0.16</v>
      </c>
    </row>
    <row r="94" spans="11:13" x14ac:dyDescent="0.2">
      <c r="K94" s="76">
        <v>44004</v>
      </c>
      <c r="L94" s="70">
        <v>0.5</v>
      </c>
      <c r="M94" s="70">
        <v>0.16</v>
      </c>
    </row>
    <row r="95" spans="11:13" x14ac:dyDescent="0.2">
      <c r="K95" s="76">
        <v>44005</v>
      </c>
      <c r="L95" s="70">
        <v>0.5</v>
      </c>
      <c r="M95" s="70">
        <v>0.16</v>
      </c>
    </row>
    <row r="96" spans="11:13" x14ac:dyDescent="0.2">
      <c r="K96" s="76">
        <v>44006</v>
      </c>
      <c r="L96" s="70">
        <v>0.5</v>
      </c>
      <c r="M96" s="70">
        <v>0.16</v>
      </c>
    </row>
    <row r="97" spans="11:13" x14ac:dyDescent="0.2">
      <c r="K97" s="76">
        <v>44007</v>
      </c>
      <c r="L97" s="70">
        <v>0.5</v>
      </c>
      <c r="M97" s="70">
        <v>0.16</v>
      </c>
    </row>
    <row r="98" spans="11:13" x14ac:dyDescent="0.2">
      <c r="K98" s="76">
        <v>44008</v>
      </c>
      <c r="L98" s="70">
        <v>0.5</v>
      </c>
      <c r="M98" s="70">
        <v>0.16</v>
      </c>
    </row>
    <row r="99" spans="11:13" x14ac:dyDescent="0.2">
      <c r="K99" s="76">
        <v>44009</v>
      </c>
      <c r="L99" s="70">
        <v>0.5</v>
      </c>
      <c r="M99" s="70">
        <v>0.16</v>
      </c>
    </row>
    <row r="100" spans="11:13" x14ac:dyDescent="0.2">
      <c r="K100" s="76">
        <v>44010</v>
      </c>
      <c r="L100" s="70">
        <v>0.5</v>
      </c>
      <c r="M100" s="70">
        <v>0.16</v>
      </c>
    </row>
    <row r="101" spans="11:13" x14ac:dyDescent="0.2">
      <c r="K101" s="76">
        <v>44011</v>
      </c>
      <c r="L101" s="70">
        <v>0.5</v>
      </c>
      <c r="M101" s="70">
        <v>0.16</v>
      </c>
    </row>
    <row r="102" spans="11:13" x14ac:dyDescent="0.2">
      <c r="K102" s="76">
        <v>44012</v>
      </c>
      <c r="L102" s="70">
        <v>0.5</v>
      </c>
      <c r="M102" s="70">
        <v>0.16</v>
      </c>
    </row>
    <row r="103" spans="11:13" x14ac:dyDescent="0.2">
      <c r="K103" s="76">
        <v>44013</v>
      </c>
      <c r="L103" s="70">
        <v>0.5</v>
      </c>
      <c r="M103" s="70">
        <v>0.16</v>
      </c>
    </row>
    <row r="104" spans="11:13" x14ac:dyDescent="0.2">
      <c r="K104" s="76">
        <v>44014</v>
      </c>
      <c r="L104" s="70">
        <v>0.5</v>
      </c>
      <c r="M104" s="70">
        <v>0.16</v>
      </c>
    </row>
    <row r="105" spans="11:13" x14ac:dyDescent="0.2">
      <c r="K105" s="76">
        <v>44015</v>
      </c>
      <c r="L105" s="70">
        <v>0.5</v>
      </c>
      <c r="M105" s="70">
        <v>0.16</v>
      </c>
    </row>
    <row r="106" spans="11:13" x14ac:dyDescent="0.2">
      <c r="K106" s="76">
        <v>44016</v>
      </c>
      <c r="L106" s="70">
        <v>0.5</v>
      </c>
      <c r="M106" s="70">
        <v>0.16</v>
      </c>
    </row>
    <row r="107" spans="11:13" x14ac:dyDescent="0.2">
      <c r="K107" s="76">
        <v>44017</v>
      </c>
      <c r="L107" s="70">
        <v>0.5</v>
      </c>
      <c r="M107" s="70">
        <v>0.16</v>
      </c>
    </row>
    <row r="108" spans="11:13" x14ac:dyDescent="0.2">
      <c r="K108" s="76">
        <v>44018</v>
      </c>
      <c r="L108" s="70">
        <v>0.5</v>
      </c>
      <c r="M108" s="70">
        <v>0.16</v>
      </c>
    </row>
    <row r="109" spans="11:13" x14ac:dyDescent="0.2">
      <c r="K109" s="76">
        <v>44019</v>
      </c>
      <c r="L109" s="70">
        <v>0.5</v>
      </c>
      <c r="M109" s="70">
        <v>0.16</v>
      </c>
    </row>
    <row r="110" spans="11:13" x14ac:dyDescent="0.2">
      <c r="K110" s="76">
        <v>44020</v>
      </c>
      <c r="L110" s="70">
        <v>0.5</v>
      </c>
      <c r="M110" s="70">
        <v>0.16</v>
      </c>
    </row>
    <row r="111" spans="11:13" x14ac:dyDescent="0.2">
      <c r="K111" s="76">
        <v>44021</v>
      </c>
      <c r="L111" s="70">
        <v>0.5</v>
      </c>
      <c r="M111" s="70">
        <v>0.16</v>
      </c>
    </row>
    <row r="112" spans="11:13" x14ac:dyDescent="0.2">
      <c r="K112" s="76">
        <v>44022</v>
      </c>
      <c r="L112" s="70">
        <v>0.5</v>
      </c>
      <c r="M112" s="70">
        <v>0.16</v>
      </c>
    </row>
    <row r="113" spans="11:13" x14ac:dyDescent="0.2">
      <c r="K113" s="76">
        <v>44023</v>
      </c>
      <c r="L113" s="70">
        <v>0.5</v>
      </c>
      <c r="M113" s="70">
        <v>0.16</v>
      </c>
    </row>
    <row r="114" spans="11:13" x14ac:dyDescent="0.2">
      <c r="K114" s="76">
        <v>44024</v>
      </c>
      <c r="L114" s="70">
        <v>0.5</v>
      </c>
      <c r="M114" s="70">
        <v>0.16</v>
      </c>
    </row>
    <row r="115" spans="11:13" x14ac:dyDescent="0.2">
      <c r="K115" s="76">
        <v>44025</v>
      </c>
      <c r="L115" s="70">
        <v>0.5</v>
      </c>
      <c r="M115" s="70">
        <v>0.16</v>
      </c>
    </row>
    <row r="116" spans="11:13" x14ac:dyDescent="0.2">
      <c r="K116" s="76">
        <v>44026</v>
      </c>
      <c r="L116" s="70">
        <v>0.5</v>
      </c>
      <c r="M116" s="70">
        <v>0.16</v>
      </c>
    </row>
    <row r="117" spans="11:13" x14ac:dyDescent="0.2">
      <c r="K117" s="76">
        <v>44027</v>
      </c>
      <c r="L117" s="70">
        <v>0.5</v>
      </c>
      <c r="M117" s="70">
        <v>0.16</v>
      </c>
    </row>
    <row r="118" spans="11:13" x14ac:dyDescent="0.2">
      <c r="K118" s="76">
        <v>44028</v>
      </c>
      <c r="L118" s="70">
        <v>0.5</v>
      </c>
      <c r="M118" s="70">
        <v>0.16</v>
      </c>
    </row>
    <row r="119" spans="11:13" x14ac:dyDescent="0.2">
      <c r="K119" s="76">
        <v>44029</v>
      </c>
      <c r="L119" s="70">
        <v>0.5</v>
      </c>
      <c r="M119" s="70">
        <v>0.16</v>
      </c>
    </row>
    <row r="120" spans="11:13" x14ac:dyDescent="0.2">
      <c r="K120" s="76">
        <v>44030</v>
      </c>
      <c r="L120" s="70">
        <v>0.5</v>
      </c>
      <c r="M120" s="70">
        <v>0.16</v>
      </c>
    </row>
    <row r="121" spans="11:13" x14ac:dyDescent="0.2">
      <c r="K121" s="76">
        <v>44031</v>
      </c>
      <c r="L121" s="70">
        <v>0.5</v>
      </c>
      <c r="M121" s="70">
        <v>0.16</v>
      </c>
    </row>
    <row r="122" spans="11:13" x14ac:dyDescent="0.2">
      <c r="K122" s="76">
        <v>44032</v>
      </c>
      <c r="L122" s="70">
        <v>0.5</v>
      </c>
      <c r="M122" s="70">
        <v>0.16</v>
      </c>
    </row>
    <row r="123" spans="11:13" x14ac:dyDescent="0.2">
      <c r="K123" s="76">
        <v>44033</v>
      </c>
      <c r="L123" s="70">
        <v>0.5</v>
      </c>
      <c r="M123" s="70">
        <v>0.16</v>
      </c>
    </row>
    <row r="124" spans="11:13" x14ac:dyDescent="0.2">
      <c r="K124" s="76">
        <v>44034</v>
      </c>
      <c r="L124" s="70">
        <v>0.5</v>
      </c>
      <c r="M124" s="70">
        <v>0.16</v>
      </c>
    </row>
    <row r="125" spans="11:13" x14ac:dyDescent="0.2">
      <c r="K125" s="76">
        <v>44035</v>
      </c>
      <c r="L125" s="70">
        <v>0.5</v>
      </c>
      <c r="M125" s="70">
        <v>0.16</v>
      </c>
    </row>
    <row r="126" spans="11:13" x14ac:dyDescent="0.2">
      <c r="K126" s="76">
        <v>44036</v>
      </c>
      <c r="L126" s="70">
        <v>0.5</v>
      </c>
      <c r="M126" s="70">
        <v>0.16</v>
      </c>
    </row>
    <row r="127" spans="11:13" x14ac:dyDescent="0.2">
      <c r="K127" s="76">
        <v>44037</v>
      </c>
      <c r="L127" s="70">
        <v>0.5</v>
      </c>
      <c r="M127" s="70">
        <v>0.16</v>
      </c>
    </row>
    <row r="128" spans="11:13" x14ac:dyDescent="0.2">
      <c r="K128" s="76">
        <v>44038</v>
      </c>
      <c r="L128" s="70">
        <v>0.5</v>
      </c>
      <c r="M128" s="70">
        <v>0.16</v>
      </c>
    </row>
    <row r="129" spans="11:13" x14ac:dyDescent="0.2">
      <c r="K129" s="76">
        <v>44039</v>
      </c>
      <c r="L129" s="70">
        <v>0.5</v>
      </c>
      <c r="M129" s="70">
        <v>0.16</v>
      </c>
    </row>
    <row r="130" spans="11:13" x14ac:dyDescent="0.2">
      <c r="K130" s="76">
        <v>44040</v>
      </c>
      <c r="L130" s="70">
        <v>0.5</v>
      </c>
      <c r="M130" s="70">
        <v>0.16</v>
      </c>
    </row>
    <row r="131" spans="11:13" x14ac:dyDescent="0.2">
      <c r="K131" s="76">
        <v>44041</v>
      </c>
      <c r="L131" s="70">
        <v>0.5</v>
      </c>
      <c r="M131" s="70">
        <v>0.16</v>
      </c>
    </row>
    <row r="132" spans="11:13" x14ac:dyDescent="0.2">
      <c r="K132" s="76">
        <v>44042</v>
      </c>
      <c r="L132" s="70">
        <v>0.5</v>
      </c>
      <c r="M132" s="70">
        <v>0.16</v>
      </c>
    </row>
    <row r="133" spans="11:13" x14ac:dyDescent="0.2">
      <c r="K133" s="76">
        <v>44043</v>
      </c>
      <c r="L133" s="70">
        <v>0.5</v>
      </c>
      <c r="M133" s="70">
        <v>0.16</v>
      </c>
    </row>
    <row r="134" spans="11:13" x14ac:dyDescent="0.2">
      <c r="K134" s="76">
        <v>44044</v>
      </c>
      <c r="L134" s="70">
        <v>0.5</v>
      </c>
      <c r="M134" s="70">
        <v>0.16</v>
      </c>
    </row>
    <row r="135" spans="11:13" x14ac:dyDescent="0.2">
      <c r="K135" s="76">
        <v>44045</v>
      </c>
      <c r="L135" s="70">
        <v>0.5</v>
      </c>
      <c r="M135" s="70">
        <v>0.16</v>
      </c>
    </row>
    <row r="136" spans="11:13" x14ac:dyDescent="0.2">
      <c r="K136" s="76">
        <v>44046</v>
      </c>
      <c r="L136" s="70">
        <v>0.5</v>
      </c>
      <c r="M136" s="70">
        <v>0.16</v>
      </c>
    </row>
    <row r="137" spans="11:13" x14ac:dyDescent="0.2">
      <c r="K137" s="76">
        <v>44047</v>
      </c>
      <c r="L137" s="70">
        <v>0.5</v>
      </c>
      <c r="M137" s="70">
        <v>0.16</v>
      </c>
    </row>
    <row r="138" spans="11:13" x14ac:dyDescent="0.2">
      <c r="K138" s="76">
        <v>44048</v>
      </c>
      <c r="L138" s="70">
        <v>0.5</v>
      </c>
      <c r="M138" s="70">
        <v>0.16</v>
      </c>
    </row>
    <row r="139" spans="11:13" x14ac:dyDescent="0.2">
      <c r="K139" s="76">
        <v>44049</v>
      </c>
      <c r="L139" s="70">
        <v>0.5</v>
      </c>
      <c r="M139" s="70">
        <v>0.16</v>
      </c>
    </row>
    <row r="140" spans="11:13" x14ac:dyDescent="0.2">
      <c r="K140" s="76">
        <v>44050</v>
      </c>
      <c r="L140" s="70">
        <v>0.5</v>
      </c>
      <c r="M140" s="70">
        <v>0.16</v>
      </c>
    </row>
    <row r="141" spans="11:13" x14ac:dyDescent="0.2">
      <c r="K141" s="76">
        <v>44051</v>
      </c>
      <c r="L141" s="70">
        <v>0.5</v>
      </c>
      <c r="M141" s="70">
        <v>0.16</v>
      </c>
    </row>
    <row r="142" spans="11:13" x14ac:dyDescent="0.2">
      <c r="K142" s="76">
        <v>44052</v>
      </c>
      <c r="L142" s="70">
        <v>0.5</v>
      </c>
      <c r="M142" s="70">
        <v>0.16</v>
      </c>
    </row>
    <row r="143" spans="11:13" x14ac:dyDescent="0.2">
      <c r="K143" s="76">
        <v>44053</v>
      </c>
      <c r="L143" s="70">
        <v>0.5</v>
      </c>
      <c r="M143" s="70">
        <v>0.16</v>
      </c>
    </row>
    <row r="144" spans="11:13" x14ac:dyDescent="0.2">
      <c r="K144" s="76">
        <v>44054</v>
      </c>
      <c r="L144" s="70">
        <v>0.5</v>
      </c>
      <c r="M144" s="70">
        <v>0.16</v>
      </c>
    </row>
    <row r="145" spans="11:13" x14ac:dyDescent="0.2">
      <c r="K145" s="76">
        <v>44055</v>
      </c>
      <c r="L145" s="70">
        <v>0.5</v>
      </c>
      <c r="M145" s="70">
        <v>0.16</v>
      </c>
    </row>
    <row r="146" spans="11:13" x14ac:dyDescent="0.2">
      <c r="K146" s="76">
        <v>44056</v>
      </c>
      <c r="L146" s="70">
        <v>0.5</v>
      </c>
      <c r="M146" s="70">
        <v>0.16</v>
      </c>
    </row>
    <row r="147" spans="11:13" x14ac:dyDescent="0.2">
      <c r="K147" s="76">
        <v>44057</v>
      </c>
      <c r="L147" s="70">
        <v>0.5</v>
      </c>
      <c r="M147" s="70">
        <v>0.16</v>
      </c>
    </row>
    <row r="148" spans="11:13" x14ac:dyDescent="0.2">
      <c r="K148" s="76">
        <v>44058</v>
      </c>
      <c r="L148" s="70">
        <v>0.5</v>
      </c>
      <c r="M148" s="70">
        <v>0.16</v>
      </c>
    </row>
    <row r="149" spans="11:13" x14ac:dyDescent="0.2">
      <c r="K149" s="76">
        <v>44059</v>
      </c>
      <c r="L149" s="70">
        <v>0.5</v>
      </c>
      <c r="M149" s="70">
        <v>0.16</v>
      </c>
    </row>
    <row r="150" spans="11:13" x14ac:dyDescent="0.2">
      <c r="K150" s="76">
        <v>44060</v>
      </c>
      <c r="L150" s="70">
        <v>0.5</v>
      </c>
      <c r="M150" s="70">
        <v>0.16</v>
      </c>
    </row>
    <row r="151" spans="11:13" x14ac:dyDescent="0.2">
      <c r="K151" s="76">
        <v>44061</v>
      </c>
      <c r="L151" s="70">
        <v>0.5</v>
      </c>
      <c r="M151" s="70">
        <v>0.16</v>
      </c>
    </row>
    <row r="152" spans="11:13" x14ac:dyDescent="0.2">
      <c r="K152" s="76">
        <v>44062</v>
      </c>
      <c r="L152" s="70">
        <v>0.5</v>
      </c>
      <c r="M152" s="70">
        <v>0.16</v>
      </c>
    </row>
    <row r="153" spans="11:13" x14ac:dyDescent="0.2">
      <c r="K153" s="76">
        <v>44063</v>
      </c>
      <c r="L153" s="70">
        <v>0.5</v>
      </c>
      <c r="M153" s="70">
        <v>0.16</v>
      </c>
    </row>
    <row r="154" spans="11:13" x14ac:dyDescent="0.2">
      <c r="K154" s="76">
        <v>44064</v>
      </c>
      <c r="L154" s="70">
        <v>0.5</v>
      </c>
      <c r="M154" s="70">
        <v>0.16</v>
      </c>
    </row>
    <row r="155" spans="11:13" x14ac:dyDescent="0.2">
      <c r="K155" s="76">
        <v>44065</v>
      </c>
      <c r="L155" s="70">
        <v>0.5</v>
      </c>
      <c r="M155" s="70">
        <v>0.16</v>
      </c>
    </row>
    <row r="156" spans="11:13" x14ac:dyDescent="0.2">
      <c r="K156" s="76">
        <v>44066</v>
      </c>
      <c r="L156" s="70">
        <v>0.5</v>
      </c>
      <c r="M156" s="70">
        <v>0.16</v>
      </c>
    </row>
    <row r="157" spans="11:13" x14ac:dyDescent="0.2">
      <c r="K157" s="76">
        <v>44067</v>
      </c>
      <c r="L157" s="70">
        <v>0.5</v>
      </c>
      <c r="M157" s="70">
        <v>0.16</v>
      </c>
    </row>
    <row r="158" spans="11:13" x14ac:dyDescent="0.2">
      <c r="K158" s="76">
        <v>44068</v>
      </c>
      <c r="L158" s="70">
        <v>0.5</v>
      </c>
      <c r="M158" s="70">
        <v>0.16</v>
      </c>
    </row>
    <row r="159" spans="11:13" x14ac:dyDescent="0.2">
      <c r="K159" s="76">
        <v>44069</v>
      </c>
      <c r="L159" s="70">
        <v>0.5</v>
      </c>
      <c r="M159" s="70">
        <v>0.16</v>
      </c>
    </row>
    <row r="160" spans="11:13" x14ac:dyDescent="0.2">
      <c r="K160" s="76">
        <v>44070</v>
      </c>
      <c r="L160" s="70">
        <v>0.5</v>
      </c>
      <c r="M160" s="70">
        <v>0.16</v>
      </c>
    </row>
    <row r="161" spans="11:13" x14ac:dyDescent="0.2">
      <c r="K161" s="76">
        <v>44071</v>
      </c>
      <c r="L161" s="70">
        <v>0.5</v>
      </c>
      <c r="M161" s="70">
        <v>0.16</v>
      </c>
    </row>
    <row r="162" spans="11:13" x14ac:dyDescent="0.2">
      <c r="K162" s="76">
        <v>44072</v>
      </c>
      <c r="L162" s="70">
        <v>0.5</v>
      </c>
      <c r="M162" s="70">
        <v>0.16</v>
      </c>
    </row>
    <row r="163" spans="11:13" x14ac:dyDescent="0.2">
      <c r="K163" s="76">
        <v>44073</v>
      </c>
      <c r="L163" s="70">
        <v>0.5</v>
      </c>
      <c r="M163" s="70">
        <v>0.16</v>
      </c>
    </row>
    <row r="164" spans="11:13" x14ac:dyDescent="0.2">
      <c r="K164" s="76">
        <v>44074</v>
      </c>
      <c r="L164" s="70">
        <v>0.5</v>
      </c>
      <c r="M164" s="70">
        <v>0.16</v>
      </c>
    </row>
    <row r="165" spans="11:13" x14ac:dyDescent="0.2">
      <c r="K165" s="76">
        <v>44075</v>
      </c>
      <c r="L165" s="70">
        <v>0.5</v>
      </c>
      <c r="M165" s="70">
        <v>0.16</v>
      </c>
    </row>
    <row r="166" spans="11:13" x14ac:dyDescent="0.2">
      <c r="K166" s="76">
        <v>44076</v>
      </c>
      <c r="L166" s="70">
        <v>0.5</v>
      </c>
      <c r="M166" s="70">
        <v>0.16</v>
      </c>
    </row>
    <row r="167" spans="11:13" x14ac:dyDescent="0.2">
      <c r="K167" s="76">
        <v>44077</v>
      </c>
      <c r="L167" s="70">
        <v>0.5</v>
      </c>
      <c r="M167" s="70">
        <v>0.16</v>
      </c>
    </row>
    <row r="168" spans="11:13" x14ac:dyDescent="0.2">
      <c r="K168" s="76">
        <v>44078</v>
      </c>
      <c r="L168" s="70">
        <v>0.5</v>
      </c>
      <c r="M168" s="70">
        <v>0.16</v>
      </c>
    </row>
    <row r="169" spans="11:13" x14ac:dyDescent="0.2">
      <c r="K169" s="76">
        <v>44079</v>
      </c>
      <c r="L169" s="70">
        <v>0.5</v>
      </c>
      <c r="M169" s="70">
        <v>0.16</v>
      </c>
    </row>
    <row r="170" spans="11:13" x14ac:dyDescent="0.2">
      <c r="K170" s="76">
        <v>44080</v>
      </c>
      <c r="L170" s="70">
        <v>0.5</v>
      </c>
      <c r="M170" s="70">
        <v>0.16</v>
      </c>
    </row>
    <row r="171" spans="11:13" x14ac:dyDescent="0.2">
      <c r="K171" s="76">
        <v>44081</v>
      </c>
      <c r="L171" s="70">
        <v>0.5</v>
      </c>
      <c r="M171" s="70">
        <v>0.16</v>
      </c>
    </row>
    <row r="172" spans="11:13" x14ac:dyDescent="0.2">
      <c r="K172" s="76">
        <v>44082</v>
      </c>
      <c r="L172" s="70">
        <v>0.5</v>
      </c>
      <c r="M172" s="70">
        <v>0.16</v>
      </c>
    </row>
    <row r="173" spans="11:13" x14ac:dyDescent="0.2">
      <c r="K173" s="76">
        <v>44083</v>
      </c>
      <c r="L173" s="70">
        <v>0.5</v>
      </c>
      <c r="M173" s="70">
        <v>0.16</v>
      </c>
    </row>
    <row r="174" spans="11:13" x14ac:dyDescent="0.2">
      <c r="K174" s="76">
        <v>44084</v>
      </c>
      <c r="L174" s="70">
        <v>0.5</v>
      </c>
      <c r="M174" s="70">
        <v>0.16</v>
      </c>
    </row>
    <row r="175" spans="11:13" x14ac:dyDescent="0.2">
      <c r="K175" s="76">
        <v>44085</v>
      </c>
      <c r="L175" s="70">
        <v>0.5</v>
      </c>
      <c r="M175" s="70">
        <v>0.16</v>
      </c>
    </row>
    <row r="176" spans="11:13" x14ac:dyDescent="0.2">
      <c r="K176" s="76">
        <v>44086</v>
      </c>
      <c r="L176" s="70">
        <v>0.5</v>
      </c>
      <c r="M176" s="70">
        <v>0.16</v>
      </c>
    </row>
    <row r="177" spans="11:13" x14ac:dyDescent="0.2">
      <c r="K177" s="76">
        <v>44087</v>
      </c>
      <c r="L177" s="70">
        <v>0.5</v>
      </c>
      <c r="M177" s="70">
        <v>0.16</v>
      </c>
    </row>
    <row r="178" spans="11:13" x14ac:dyDescent="0.2">
      <c r="K178" s="76">
        <v>44088</v>
      </c>
      <c r="L178" s="70">
        <v>0.5</v>
      </c>
      <c r="M178" s="70">
        <v>0.16</v>
      </c>
    </row>
    <row r="179" spans="11:13" x14ac:dyDescent="0.2">
      <c r="K179" s="76">
        <v>44089</v>
      </c>
      <c r="L179" s="70">
        <v>0.5</v>
      </c>
      <c r="M179" s="70">
        <v>0.16</v>
      </c>
    </row>
    <row r="180" spans="11:13" x14ac:dyDescent="0.2">
      <c r="K180" s="76">
        <v>44090</v>
      </c>
      <c r="L180" s="70">
        <v>0.5</v>
      </c>
      <c r="M180" s="70">
        <v>0.16</v>
      </c>
    </row>
    <row r="181" spans="11:13" x14ac:dyDescent="0.2">
      <c r="K181" s="76">
        <v>44091</v>
      </c>
      <c r="L181" s="70">
        <v>0.5</v>
      </c>
      <c r="M181" s="70">
        <v>0.16</v>
      </c>
    </row>
    <row r="182" spans="11:13" x14ac:dyDescent="0.2">
      <c r="K182" s="76">
        <v>44092</v>
      </c>
      <c r="L182" s="70">
        <v>0.5</v>
      </c>
      <c r="M182" s="70">
        <v>0.16</v>
      </c>
    </row>
    <row r="183" spans="11:13" x14ac:dyDescent="0.2">
      <c r="K183" s="76">
        <v>44093</v>
      </c>
      <c r="L183" s="70">
        <v>0.5</v>
      </c>
      <c r="M183" s="70">
        <v>0.16</v>
      </c>
    </row>
    <row r="184" spans="11:13" x14ac:dyDescent="0.2">
      <c r="K184" s="76">
        <v>44094</v>
      </c>
      <c r="L184" s="70">
        <v>0.5</v>
      </c>
      <c r="M184" s="70">
        <v>0.16</v>
      </c>
    </row>
    <row r="185" spans="11:13" x14ac:dyDescent="0.2">
      <c r="K185" s="76">
        <v>44095</v>
      </c>
      <c r="L185" s="70">
        <v>0.5</v>
      </c>
      <c r="M185" s="70">
        <v>0.16</v>
      </c>
    </row>
    <row r="186" spans="11:13" x14ac:dyDescent="0.2">
      <c r="K186" s="76">
        <v>44096</v>
      </c>
      <c r="L186" s="70">
        <v>0.5</v>
      </c>
      <c r="M186" s="70">
        <v>0.16</v>
      </c>
    </row>
    <row r="187" spans="11:13" x14ac:dyDescent="0.2">
      <c r="K187" s="76">
        <v>44097</v>
      </c>
      <c r="L187" s="70">
        <v>0.5</v>
      </c>
      <c r="M187" s="70">
        <v>0.16</v>
      </c>
    </row>
    <row r="188" spans="11:13" x14ac:dyDescent="0.2">
      <c r="K188" s="76">
        <v>44098</v>
      </c>
      <c r="L188" s="70">
        <v>0.5</v>
      </c>
      <c r="M188" s="70">
        <v>0.16</v>
      </c>
    </row>
    <row r="189" spans="11:13" x14ac:dyDescent="0.2">
      <c r="K189" s="76">
        <v>44099</v>
      </c>
      <c r="L189" s="70">
        <v>0.5</v>
      </c>
      <c r="M189" s="70">
        <v>0.16</v>
      </c>
    </row>
    <row r="190" spans="11:13" x14ac:dyDescent="0.2">
      <c r="K190" s="76">
        <v>44100</v>
      </c>
      <c r="L190" s="70">
        <v>0.5</v>
      </c>
      <c r="M190" s="70">
        <v>0.16</v>
      </c>
    </row>
    <row r="191" spans="11:13" x14ac:dyDescent="0.2">
      <c r="K191" s="76">
        <v>44101</v>
      </c>
      <c r="L191" s="70">
        <v>0.5</v>
      </c>
      <c r="M191" s="70">
        <v>0.16</v>
      </c>
    </row>
    <row r="192" spans="11:13" x14ac:dyDescent="0.2">
      <c r="K192" s="76">
        <v>44102</v>
      </c>
      <c r="L192" s="70">
        <v>0.5</v>
      </c>
      <c r="M192" s="70">
        <v>0.16</v>
      </c>
    </row>
    <row r="193" spans="11:13" x14ac:dyDescent="0.2">
      <c r="K193" s="76">
        <v>44103</v>
      </c>
      <c r="L193" s="70">
        <v>0.5</v>
      </c>
      <c r="M193" s="70">
        <v>0.16</v>
      </c>
    </row>
    <row r="194" spans="11:13" x14ac:dyDescent="0.2">
      <c r="K194" s="76">
        <v>44104</v>
      </c>
      <c r="L194" s="70">
        <v>0.5</v>
      </c>
      <c r="M194" s="70">
        <v>0.16</v>
      </c>
    </row>
    <row r="195" spans="11:13" x14ac:dyDescent="0.2">
      <c r="K195" s="76">
        <v>44105</v>
      </c>
      <c r="L195" s="70">
        <v>0.5</v>
      </c>
      <c r="M195" s="70">
        <v>0.16</v>
      </c>
    </row>
    <row r="196" spans="11:13" x14ac:dyDescent="0.2">
      <c r="K196" s="76">
        <v>44106</v>
      </c>
      <c r="L196" s="70">
        <v>0.5</v>
      </c>
      <c r="M196" s="70">
        <v>0.16</v>
      </c>
    </row>
    <row r="197" spans="11:13" x14ac:dyDescent="0.2">
      <c r="K197" s="76">
        <v>44107</v>
      </c>
      <c r="L197" s="70">
        <v>0.5</v>
      </c>
      <c r="M197" s="70">
        <v>0.16</v>
      </c>
    </row>
    <row r="198" spans="11:13" x14ac:dyDescent="0.2">
      <c r="K198" s="76">
        <v>44108</v>
      </c>
      <c r="L198" s="70">
        <v>0.5</v>
      </c>
      <c r="M198" s="70">
        <v>0.16</v>
      </c>
    </row>
    <row r="199" spans="11:13" x14ac:dyDescent="0.2">
      <c r="K199" s="76">
        <v>44109</v>
      </c>
      <c r="L199" s="70">
        <v>0.5</v>
      </c>
      <c r="M199" s="70">
        <v>0.16</v>
      </c>
    </row>
    <row r="200" spans="11:13" x14ac:dyDescent="0.2">
      <c r="K200" s="76">
        <v>44110</v>
      </c>
      <c r="L200" s="70">
        <v>0.5</v>
      </c>
      <c r="M200" s="70">
        <v>0.16</v>
      </c>
    </row>
    <row r="201" spans="11:13" x14ac:dyDescent="0.2">
      <c r="K201" s="76">
        <v>44111</v>
      </c>
      <c r="L201" s="70">
        <v>0.5</v>
      </c>
      <c r="M201" s="70">
        <v>0.16</v>
      </c>
    </row>
    <row r="202" spans="11:13" x14ac:dyDescent="0.2">
      <c r="K202" s="76">
        <v>44112</v>
      </c>
      <c r="L202" s="70">
        <v>0.5</v>
      </c>
      <c r="M202" s="70">
        <v>0.16</v>
      </c>
    </row>
    <row r="203" spans="11:13" x14ac:dyDescent="0.2">
      <c r="K203" s="76">
        <v>44113</v>
      </c>
      <c r="L203" s="70">
        <v>0.5</v>
      </c>
      <c r="M203" s="70">
        <v>0.16</v>
      </c>
    </row>
    <row r="204" spans="11:13" x14ac:dyDescent="0.2">
      <c r="K204" s="76">
        <v>44114</v>
      </c>
      <c r="L204" s="70">
        <v>0.5</v>
      </c>
      <c r="M204" s="70">
        <v>0.16</v>
      </c>
    </row>
    <row r="205" spans="11:13" x14ac:dyDescent="0.2">
      <c r="K205" s="76">
        <v>44115</v>
      </c>
      <c r="L205" s="70">
        <v>0.5</v>
      </c>
      <c r="M205" s="70">
        <v>0.16</v>
      </c>
    </row>
    <row r="206" spans="11:13" x14ac:dyDescent="0.2">
      <c r="K206" s="76">
        <v>44116</v>
      </c>
      <c r="L206" s="70">
        <v>0.5</v>
      </c>
      <c r="M206" s="70">
        <v>0.16</v>
      </c>
    </row>
    <row r="207" spans="11:13" x14ac:dyDescent="0.2">
      <c r="K207" s="76">
        <v>44117</v>
      </c>
      <c r="L207" s="70">
        <v>0.5</v>
      </c>
      <c r="M207" s="70">
        <v>0.16</v>
      </c>
    </row>
    <row r="208" spans="11:13" x14ac:dyDescent="0.2">
      <c r="K208" s="76">
        <v>44118</v>
      </c>
      <c r="L208" s="70">
        <v>0.5</v>
      </c>
      <c r="M208" s="70">
        <v>0.16</v>
      </c>
    </row>
    <row r="209" spans="11:13" x14ac:dyDescent="0.2">
      <c r="K209" s="76">
        <v>44119</v>
      </c>
      <c r="L209" s="70">
        <v>0.5</v>
      </c>
      <c r="M209" s="70">
        <v>0.16</v>
      </c>
    </row>
    <row r="210" spans="11:13" x14ac:dyDescent="0.2">
      <c r="K210" s="76">
        <v>44120</v>
      </c>
      <c r="L210" s="70">
        <v>0.5</v>
      </c>
      <c r="M210" s="70">
        <v>0.16</v>
      </c>
    </row>
    <row r="211" spans="11:13" x14ac:dyDescent="0.2">
      <c r="K211" s="76">
        <v>44121</v>
      </c>
      <c r="L211" s="70">
        <v>0.5</v>
      </c>
      <c r="M211" s="70">
        <v>0.16</v>
      </c>
    </row>
    <row r="212" spans="11:13" x14ac:dyDescent="0.2">
      <c r="K212" s="76">
        <v>44122</v>
      </c>
      <c r="L212" s="70">
        <v>0.5</v>
      </c>
      <c r="M212" s="70">
        <v>0.16</v>
      </c>
    </row>
    <row r="213" spans="11:13" x14ac:dyDescent="0.2">
      <c r="K213" s="76">
        <v>44123</v>
      </c>
      <c r="L213" s="70">
        <v>0.5</v>
      </c>
      <c r="M213" s="70">
        <v>0.16</v>
      </c>
    </row>
    <row r="214" spans="11:13" x14ac:dyDescent="0.2">
      <c r="K214" s="76">
        <v>44124</v>
      </c>
      <c r="L214" s="70">
        <v>0.5</v>
      </c>
      <c r="M214" s="70">
        <v>0.16</v>
      </c>
    </row>
    <row r="215" spans="11:13" x14ac:dyDescent="0.2">
      <c r="K215" s="76">
        <v>44125</v>
      </c>
      <c r="L215" s="70">
        <v>0.5</v>
      </c>
      <c r="M215" s="70">
        <v>0.16</v>
      </c>
    </row>
    <row r="216" spans="11:13" x14ac:dyDescent="0.2">
      <c r="K216" s="76">
        <v>44126</v>
      </c>
      <c r="L216" s="70">
        <v>0.5</v>
      </c>
      <c r="M216" s="70">
        <v>0.16</v>
      </c>
    </row>
    <row r="217" spans="11:13" x14ac:dyDescent="0.2">
      <c r="K217" s="76">
        <v>44127</v>
      </c>
      <c r="L217" s="70">
        <v>0.5</v>
      </c>
      <c r="M217" s="70">
        <v>0.16</v>
      </c>
    </row>
    <row r="218" spans="11:13" x14ac:dyDescent="0.2">
      <c r="K218" s="76">
        <v>44128</v>
      </c>
      <c r="L218" s="70">
        <v>0.5</v>
      </c>
      <c r="M218" s="70">
        <v>0.16</v>
      </c>
    </row>
    <row r="219" spans="11:13" x14ac:dyDescent="0.2">
      <c r="K219" s="76">
        <v>44129</v>
      </c>
      <c r="L219" s="70">
        <v>0.5</v>
      </c>
      <c r="M219" s="70">
        <v>0.16</v>
      </c>
    </row>
    <row r="220" spans="11:13" x14ac:dyDescent="0.2">
      <c r="K220" s="76">
        <v>44130</v>
      </c>
      <c r="L220" s="70">
        <v>0.5</v>
      </c>
      <c r="M220" s="70">
        <v>0.16</v>
      </c>
    </row>
    <row r="221" spans="11:13" x14ac:dyDescent="0.2">
      <c r="K221" s="76">
        <v>44131</v>
      </c>
      <c r="L221" s="70">
        <v>0.5</v>
      </c>
      <c r="M221" s="70">
        <v>0.16</v>
      </c>
    </row>
    <row r="222" spans="11:13" x14ac:dyDescent="0.2">
      <c r="K222" s="76">
        <v>44132</v>
      </c>
      <c r="L222" s="70">
        <v>0.5</v>
      </c>
      <c r="M222" s="70">
        <v>0.16</v>
      </c>
    </row>
    <row r="223" spans="11:13" x14ac:dyDescent="0.2">
      <c r="K223" s="76">
        <v>44133</v>
      </c>
      <c r="L223" s="70">
        <v>0.5</v>
      </c>
      <c r="M223" s="70">
        <v>0.16</v>
      </c>
    </row>
    <row r="224" spans="11:13" x14ac:dyDescent="0.2">
      <c r="K224" s="76">
        <v>44134</v>
      </c>
      <c r="L224" s="70">
        <v>0.5</v>
      </c>
      <c r="M224" s="70">
        <v>0.16</v>
      </c>
    </row>
    <row r="225" spans="11:13" x14ac:dyDescent="0.2">
      <c r="K225" s="76">
        <v>44135</v>
      </c>
      <c r="L225" s="70">
        <v>0.5</v>
      </c>
      <c r="M225" s="70">
        <v>0.16</v>
      </c>
    </row>
    <row r="226" spans="11:13" x14ac:dyDescent="0.2">
      <c r="K226" s="76">
        <v>44136</v>
      </c>
      <c r="L226" s="70">
        <v>0.5</v>
      </c>
      <c r="M226" s="70">
        <v>0.16</v>
      </c>
    </row>
    <row r="227" spans="11:13" x14ac:dyDescent="0.2">
      <c r="K227" s="76">
        <v>44137</v>
      </c>
      <c r="L227" s="70">
        <v>0.5</v>
      </c>
      <c r="M227" s="70">
        <v>0.16</v>
      </c>
    </row>
    <row r="228" spans="11:13" x14ac:dyDescent="0.2">
      <c r="K228" s="76">
        <v>44138</v>
      </c>
      <c r="L228" s="70">
        <v>0.5</v>
      </c>
      <c r="M228" s="70">
        <v>0.16</v>
      </c>
    </row>
    <row r="229" spans="11:13" x14ac:dyDescent="0.2">
      <c r="K229" s="76">
        <v>44139</v>
      </c>
      <c r="L229" s="70">
        <v>0.5</v>
      </c>
      <c r="M229" s="70">
        <v>0.16</v>
      </c>
    </row>
    <row r="230" spans="11:13" x14ac:dyDescent="0.2">
      <c r="K230" s="76">
        <v>44140</v>
      </c>
      <c r="L230" s="70">
        <v>0.5</v>
      </c>
      <c r="M230" s="70">
        <v>0.16</v>
      </c>
    </row>
    <row r="231" spans="11:13" x14ac:dyDescent="0.2">
      <c r="K231" s="76">
        <v>44141</v>
      </c>
      <c r="L231" s="70">
        <v>0.5</v>
      </c>
      <c r="M231" s="70">
        <v>0.16</v>
      </c>
    </row>
    <row r="232" spans="11:13" x14ac:dyDescent="0.2">
      <c r="K232" s="76">
        <v>44142</v>
      </c>
      <c r="L232" s="70">
        <v>0.5</v>
      </c>
      <c r="M232" s="70">
        <v>0.16</v>
      </c>
    </row>
    <row r="233" spans="11:13" x14ac:dyDescent="0.2">
      <c r="K233" s="76">
        <v>44143</v>
      </c>
      <c r="L233" s="70">
        <v>0.5</v>
      </c>
      <c r="M233" s="70">
        <v>0.16</v>
      </c>
    </row>
    <row r="234" spans="11:13" x14ac:dyDescent="0.2">
      <c r="K234" s="76">
        <v>44144</v>
      </c>
      <c r="L234" s="70">
        <v>0.5</v>
      </c>
      <c r="M234" s="70">
        <v>0.16</v>
      </c>
    </row>
    <row r="235" spans="11:13" x14ac:dyDescent="0.2">
      <c r="K235" s="76">
        <v>44145</v>
      </c>
      <c r="L235" s="70">
        <v>0.5</v>
      </c>
      <c r="M235" s="70">
        <v>0.16</v>
      </c>
    </row>
    <row r="236" spans="11:13" x14ac:dyDescent="0.2">
      <c r="K236" s="76">
        <v>44146</v>
      </c>
      <c r="L236" s="70">
        <v>0.5</v>
      </c>
      <c r="M236" s="70">
        <v>0.16</v>
      </c>
    </row>
    <row r="237" spans="11:13" x14ac:dyDescent="0.2">
      <c r="K237" s="76">
        <v>44147</v>
      </c>
      <c r="L237" s="70">
        <v>0.5</v>
      </c>
      <c r="M237" s="70">
        <v>0.16</v>
      </c>
    </row>
    <row r="238" spans="11:13" x14ac:dyDescent="0.2">
      <c r="K238" s="76">
        <v>44148</v>
      </c>
      <c r="L238" s="70">
        <v>0.5</v>
      </c>
      <c r="M238" s="70">
        <v>0.16</v>
      </c>
    </row>
    <row r="239" spans="11:13" x14ac:dyDescent="0.2">
      <c r="K239" s="76">
        <v>44149</v>
      </c>
      <c r="L239" s="70">
        <v>0.5</v>
      </c>
      <c r="M239" s="70">
        <v>0.16</v>
      </c>
    </row>
    <row r="240" spans="11:13" x14ac:dyDescent="0.2">
      <c r="K240" s="76">
        <v>44150</v>
      </c>
      <c r="L240" s="70">
        <v>0.5</v>
      </c>
      <c r="M240" s="70">
        <v>0.16</v>
      </c>
    </row>
    <row r="241" spans="11:13" x14ac:dyDescent="0.2">
      <c r="K241" s="76">
        <v>44151</v>
      </c>
      <c r="L241" s="70">
        <v>0.5</v>
      </c>
      <c r="M241" s="70">
        <v>0.16</v>
      </c>
    </row>
    <row r="242" spans="11:13" x14ac:dyDescent="0.2">
      <c r="K242" s="76">
        <v>44152</v>
      </c>
      <c r="L242" s="70">
        <v>0.5</v>
      </c>
      <c r="M242" s="70">
        <v>0.16</v>
      </c>
    </row>
    <row r="243" spans="11:13" x14ac:dyDescent="0.2">
      <c r="K243" s="76">
        <v>44153</v>
      </c>
      <c r="L243" s="70">
        <v>0.5</v>
      </c>
      <c r="M243" s="70">
        <v>0.16</v>
      </c>
    </row>
    <row r="244" spans="11:13" x14ac:dyDescent="0.2">
      <c r="K244" s="76">
        <v>44154</v>
      </c>
      <c r="L244" s="70">
        <v>0.5</v>
      </c>
      <c r="M244" s="70">
        <v>0.16</v>
      </c>
    </row>
    <row r="245" spans="11:13" x14ac:dyDescent="0.2">
      <c r="K245" s="76">
        <v>44155</v>
      </c>
      <c r="L245" s="70">
        <v>0.5</v>
      </c>
      <c r="M245" s="70">
        <v>0.16</v>
      </c>
    </row>
    <row r="246" spans="11:13" x14ac:dyDescent="0.2">
      <c r="K246" s="76">
        <v>44156</v>
      </c>
      <c r="L246" s="70">
        <v>0.5</v>
      </c>
      <c r="M246" s="70">
        <v>0.16</v>
      </c>
    </row>
    <row r="247" spans="11:13" x14ac:dyDescent="0.2">
      <c r="K247" s="76">
        <v>44157</v>
      </c>
      <c r="L247" s="70">
        <v>0.5</v>
      </c>
      <c r="M247" s="70">
        <v>0.16</v>
      </c>
    </row>
    <row r="248" spans="11:13" x14ac:dyDescent="0.2">
      <c r="K248" s="76">
        <v>44158</v>
      </c>
      <c r="L248" s="70">
        <v>0.5</v>
      </c>
      <c r="M248" s="70">
        <v>0.16</v>
      </c>
    </row>
    <row r="249" spans="11:13" x14ac:dyDescent="0.2">
      <c r="K249" s="76">
        <v>44159</v>
      </c>
      <c r="L249" s="70">
        <v>0.5</v>
      </c>
      <c r="M249" s="70">
        <v>0.16</v>
      </c>
    </row>
    <row r="250" spans="11:13" x14ac:dyDescent="0.2">
      <c r="K250" s="76">
        <v>44160</v>
      </c>
      <c r="L250" s="70">
        <v>0.5</v>
      </c>
      <c r="M250" s="70">
        <v>0.16</v>
      </c>
    </row>
    <row r="251" spans="11:13" x14ac:dyDescent="0.2">
      <c r="K251" s="76">
        <v>44161</v>
      </c>
      <c r="L251" s="70">
        <v>0.5</v>
      </c>
      <c r="M251" s="70">
        <v>0.16</v>
      </c>
    </row>
    <row r="252" spans="11:13" x14ac:dyDescent="0.2">
      <c r="K252" s="76">
        <v>44162</v>
      </c>
      <c r="L252" s="70">
        <v>0.5</v>
      </c>
      <c r="M252" s="70">
        <v>0.16</v>
      </c>
    </row>
    <row r="253" spans="11:13" x14ac:dyDescent="0.2">
      <c r="K253" s="76">
        <v>44163</v>
      </c>
      <c r="L253" s="70">
        <v>0.5</v>
      </c>
      <c r="M253" s="70">
        <v>0.16</v>
      </c>
    </row>
    <row r="254" spans="11:13" x14ac:dyDescent="0.2">
      <c r="K254" s="76">
        <v>44164</v>
      </c>
      <c r="L254" s="70">
        <v>0.5</v>
      </c>
      <c r="M254" s="70">
        <v>0.16</v>
      </c>
    </row>
    <row r="255" spans="11:13" x14ac:dyDescent="0.2">
      <c r="K255" s="76">
        <v>44165</v>
      </c>
      <c r="L255" s="70">
        <v>0.5</v>
      </c>
      <c r="M255" s="70">
        <v>0.16</v>
      </c>
    </row>
    <row r="256" spans="11:13" x14ac:dyDescent="0.2">
      <c r="K256" s="76">
        <v>44166</v>
      </c>
      <c r="L256" s="70">
        <v>0.5</v>
      </c>
      <c r="M256" s="70">
        <v>0.16</v>
      </c>
    </row>
    <row r="257" spans="11:13" x14ac:dyDescent="0.2">
      <c r="K257" s="76">
        <v>44167</v>
      </c>
      <c r="L257" s="70">
        <v>0.5</v>
      </c>
      <c r="M257" s="70">
        <v>0.16</v>
      </c>
    </row>
    <row r="258" spans="11:13" x14ac:dyDescent="0.2">
      <c r="K258" s="76">
        <v>44168</v>
      </c>
      <c r="L258" s="70">
        <v>0.5</v>
      </c>
      <c r="M258" s="70">
        <v>0.16</v>
      </c>
    </row>
    <row r="259" spans="11:13" x14ac:dyDescent="0.2">
      <c r="K259" s="76">
        <v>44169</v>
      </c>
      <c r="L259" s="70">
        <v>0.5</v>
      </c>
      <c r="M259" s="70">
        <v>0.16</v>
      </c>
    </row>
    <row r="260" spans="11:13" x14ac:dyDescent="0.2">
      <c r="K260" s="76">
        <v>44170</v>
      </c>
      <c r="L260" s="70">
        <v>0.5</v>
      </c>
      <c r="M260" s="70">
        <v>0.16</v>
      </c>
    </row>
    <row r="261" spans="11:13" x14ac:dyDescent="0.2">
      <c r="K261" s="76">
        <v>44171</v>
      </c>
      <c r="L261" s="70">
        <v>0.5</v>
      </c>
      <c r="M261" s="70">
        <v>0.16</v>
      </c>
    </row>
    <row r="262" spans="11:13" x14ac:dyDescent="0.2">
      <c r="K262" s="76">
        <v>44172</v>
      </c>
      <c r="L262" s="70">
        <v>0.5</v>
      </c>
      <c r="M262" s="70">
        <v>0.16</v>
      </c>
    </row>
    <row r="263" spans="11:13" x14ac:dyDescent="0.2">
      <c r="K263" s="76">
        <v>44173</v>
      </c>
      <c r="L263" s="70">
        <v>0.5</v>
      </c>
      <c r="M263" s="70">
        <v>0.16</v>
      </c>
    </row>
    <row r="264" spans="11:13" x14ac:dyDescent="0.2">
      <c r="K264" s="76">
        <v>44174</v>
      </c>
      <c r="L264" s="70">
        <v>0.5</v>
      </c>
      <c r="M264" s="70">
        <v>0.16</v>
      </c>
    </row>
    <row r="265" spans="11:13" x14ac:dyDescent="0.2">
      <c r="K265" s="76">
        <v>44175</v>
      </c>
      <c r="L265" s="70">
        <v>0.5</v>
      </c>
      <c r="M265" s="70">
        <v>0.16</v>
      </c>
    </row>
    <row r="266" spans="11:13" x14ac:dyDescent="0.2">
      <c r="K266" s="76">
        <v>44176</v>
      </c>
      <c r="L266" s="70">
        <v>0.5</v>
      </c>
      <c r="M266" s="70">
        <v>0.16</v>
      </c>
    </row>
    <row r="267" spans="11:13" x14ac:dyDescent="0.2">
      <c r="K267" s="76">
        <v>44177</v>
      </c>
      <c r="L267" s="70">
        <v>0.5</v>
      </c>
      <c r="M267" s="70">
        <v>0.16</v>
      </c>
    </row>
    <row r="268" spans="11:13" x14ac:dyDescent="0.2">
      <c r="K268" s="76">
        <v>44178</v>
      </c>
      <c r="L268" s="70">
        <v>0.5</v>
      </c>
      <c r="M268" s="70">
        <v>0.16</v>
      </c>
    </row>
    <row r="269" spans="11:13" x14ac:dyDescent="0.2">
      <c r="K269" s="76">
        <v>44179</v>
      </c>
      <c r="L269" s="70">
        <v>0.5</v>
      </c>
      <c r="M269" s="70">
        <v>0.16</v>
      </c>
    </row>
    <row r="270" spans="11:13" x14ac:dyDescent="0.2">
      <c r="K270" s="76">
        <v>44180</v>
      </c>
      <c r="L270" s="70">
        <v>0.5</v>
      </c>
      <c r="M270" s="70">
        <v>0.16</v>
      </c>
    </row>
    <row r="271" spans="11:13" x14ac:dyDescent="0.2">
      <c r="K271" s="76">
        <v>44181</v>
      </c>
      <c r="L271" s="70">
        <v>0.5</v>
      </c>
      <c r="M271" s="70">
        <v>0.16</v>
      </c>
    </row>
    <row r="272" spans="11:13" x14ac:dyDescent="0.2">
      <c r="K272" s="76">
        <v>44182</v>
      </c>
      <c r="L272" s="70">
        <v>0.5</v>
      </c>
      <c r="M272" s="70">
        <v>0.16</v>
      </c>
    </row>
    <row r="273" spans="11:13" x14ac:dyDescent="0.2">
      <c r="K273" s="76">
        <v>44183</v>
      </c>
      <c r="L273" s="70">
        <v>0.5</v>
      </c>
      <c r="M273" s="70">
        <v>0.16</v>
      </c>
    </row>
    <row r="274" spans="11:13" x14ac:dyDescent="0.2">
      <c r="K274" s="76">
        <v>44184</v>
      </c>
      <c r="L274" s="70">
        <v>0.5</v>
      </c>
      <c r="M274" s="70">
        <v>0.16</v>
      </c>
    </row>
    <row r="275" spans="11:13" x14ac:dyDescent="0.2">
      <c r="K275" s="76">
        <v>44185</v>
      </c>
      <c r="L275" s="70">
        <v>0.5</v>
      </c>
      <c r="M275" s="70">
        <v>0.16</v>
      </c>
    </row>
    <row r="276" spans="11:13" x14ac:dyDescent="0.2">
      <c r="K276" s="76">
        <v>44186</v>
      </c>
      <c r="L276" s="70">
        <v>0.5</v>
      </c>
      <c r="M276" s="70">
        <v>0.16</v>
      </c>
    </row>
    <row r="277" spans="11:13" x14ac:dyDescent="0.2">
      <c r="K277" s="76">
        <v>44187</v>
      </c>
      <c r="L277" s="70">
        <v>0.5</v>
      </c>
      <c r="M277" s="70">
        <v>0.16</v>
      </c>
    </row>
    <row r="278" spans="11:13" x14ac:dyDescent="0.2">
      <c r="K278" s="76">
        <v>44188</v>
      </c>
      <c r="L278" s="70">
        <v>0.5</v>
      </c>
      <c r="M278" s="70">
        <v>0.16</v>
      </c>
    </row>
    <row r="279" spans="11:13" x14ac:dyDescent="0.2">
      <c r="K279" s="76">
        <v>44189</v>
      </c>
      <c r="L279" s="70">
        <v>0.5</v>
      </c>
      <c r="M279" s="70">
        <v>0.16</v>
      </c>
    </row>
    <row r="280" spans="11:13" x14ac:dyDescent="0.2">
      <c r="K280" s="76">
        <v>44190</v>
      </c>
      <c r="L280" s="70">
        <v>0.5</v>
      </c>
      <c r="M280" s="70">
        <v>0.16</v>
      </c>
    </row>
    <row r="281" spans="11:13" x14ac:dyDescent="0.2">
      <c r="K281" s="76">
        <v>44191</v>
      </c>
      <c r="L281" s="70">
        <v>0.5</v>
      </c>
      <c r="M281" s="70">
        <v>0.16</v>
      </c>
    </row>
    <row r="282" spans="11:13" x14ac:dyDescent="0.2">
      <c r="K282" s="76">
        <v>44192</v>
      </c>
      <c r="L282" s="70">
        <v>0.5</v>
      </c>
      <c r="M282" s="70">
        <v>0.16</v>
      </c>
    </row>
    <row r="283" spans="11:13" x14ac:dyDescent="0.2">
      <c r="K283" s="76">
        <v>44193</v>
      </c>
      <c r="L283" s="70">
        <v>0.5</v>
      </c>
      <c r="M283" s="70">
        <v>0.16</v>
      </c>
    </row>
    <row r="284" spans="11:13" x14ac:dyDescent="0.2">
      <c r="K284" s="76">
        <v>44194</v>
      </c>
      <c r="L284" s="70">
        <v>0.5</v>
      </c>
      <c r="M284" s="70">
        <v>0.16</v>
      </c>
    </row>
    <row r="285" spans="11:13" x14ac:dyDescent="0.2">
      <c r="K285" s="76">
        <v>44195</v>
      </c>
      <c r="L285" s="70">
        <v>0.5</v>
      </c>
      <c r="M285" s="70">
        <v>0.16</v>
      </c>
    </row>
    <row r="286" spans="11:13" x14ac:dyDescent="0.2">
      <c r="K286" s="76">
        <v>44196</v>
      </c>
      <c r="L286" s="70">
        <v>0.5</v>
      </c>
      <c r="M286" s="70">
        <v>0.16</v>
      </c>
    </row>
    <row r="287" spans="11:13" x14ac:dyDescent="0.2">
      <c r="K287" s="76">
        <v>44197</v>
      </c>
      <c r="L287" s="70">
        <v>0.5</v>
      </c>
      <c r="M287" s="70">
        <v>0.16</v>
      </c>
    </row>
    <row r="288" spans="11:13" x14ac:dyDescent="0.2">
      <c r="K288" s="76">
        <v>44198</v>
      </c>
      <c r="L288" s="70">
        <v>0.5</v>
      </c>
      <c r="M288" s="70">
        <v>0.16</v>
      </c>
    </row>
    <row r="289" spans="11:13" x14ac:dyDescent="0.2">
      <c r="K289" s="76">
        <v>44199</v>
      </c>
      <c r="L289" s="70">
        <v>0.5</v>
      </c>
      <c r="M289" s="70">
        <v>0.16</v>
      </c>
    </row>
    <row r="290" spans="11:13" x14ac:dyDescent="0.2">
      <c r="K290" s="76">
        <v>44200</v>
      </c>
      <c r="L290" s="70">
        <v>0.5</v>
      </c>
      <c r="M290" s="70">
        <v>0.16</v>
      </c>
    </row>
    <row r="291" spans="11:13" x14ac:dyDescent="0.2">
      <c r="K291" s="76">
        <v>44201</v>
      </c>
      <c r="L291" s="70">
        <v>0.5</v>
      </c>
      <c r="M291" s="70">
        <v>0.16</v>
      </c>
    </row>
    <row r="292" spans="11:13" x14ac:dyDescent="0.2">
      <c r="K292" s="76">
        <v>44202</v>
      </c>
      <c r="L292" s="70">
        <v>0.5</v>
      </c>
      <c r="M292" s="70">
        <v>0.16</v>
      </c>
    </row>
    <row r="293" spans="11:13" x14ac:dyDescent="0.2">
      <c r="K293" s="76">
        <v>44203</v>
      </c>
      <c r="L293" s="70">
        <v>0.5</v>
      </c>
      <c r="M293" s="70">
        <v>0.16</v>
      </c>
    </row>
    <row r="294" spans="11:13" x14ac:dyDescent="0.2">
      <c r="K294" s="76">
        <v>44204</v>
      </c>
      <c r="L294" s="70">
        <v>0.5</v>
      </c>
      <c r="M294" s="70">
        <v>0.16</v>
      </c>
    </row>
    <row r="295" spans="11:13" x14ac:dyDescent="0.2">
      <c r="K295" s="76">
        <v>44205</v>
      </c>
      <c r="L295" s="70">
        <v>0.5</v>
      </c>
      <c r="M295" s="70">
        <v>0.16</v>
      </c>
    </row>
    <row r="296" spans="11:13" x14ac:dyDescent="0.2">
      <c r="K296" s="76">
        <v>44206</v>
      </c>
      <c r="L296" s="70">
        <v>0.5</v>
      </c>
      <c r="M296" s="70">
        <v>0.16</v>
      </c>
    </row>
    <row r="297" spans="11:13" x14ac:dyDescent="0.2">
      <c r="K297" s="76">
        <v>44207</v>
      </c>
      <c r="L297" s="70">
        <v>0.5</v>
      </c>
      <c r="M297" s="70">
        <v>0.16</v>
      </c>
    </row>
    <row r="298" spans="11:13" x14ac:dyDescent="0.2">
      <c r="K298" s="76">
        <v>44208</v>
      </c>
      <c r="L298" s="70">
        <v>0.5</v>
      </c>
      <c r="M298" s="70">
        <v>0.16</v>
      </c>
    </row>
    <row r="299" spans="11:13" x14ac:dyDescent="0.2">
      <c r="K299" s="76">
        <v>44209</v>
      </c>
      <c r="L299" s="70">
        <v>0.5</v>
      </c>
      <c r="M299" s="70">
        <v>0.16</v>
      </c>
    </row>
    <row r="300" spans="11:13" x14ac:dyDescent="0.2">
      <c r="K300" s="76">
        <v>44210</v>
      </c>
      <c r="L300" s="70">
        <v>0.5</v>
      </c>
      <c r="M300" s="70">
        <v>0.16</v>
      </c>
    </row>
    <row r="301" spans="11:13" x14ac:dyDescent="0.2">
      <c r="K301" s="76">
        <v>44211</v>
      </c>
      <c r="L301" s="70">
        <v>0.5</v>
      </c>
      <c r="M301" s="70">
        <v>0.16</v>
      </c>
    </row>
    <row r="302" spans="11:13" x14ac:dyDescent="0.2">
      <c r="K302" s="76">
        <v>44212</v>
      </c>
      <c r="L302" s="70">
        <v>0.5</v>
      </c>
      <c r="M302" s="70">
        <v>0.16</v>
      </c>
    </row>
    <row r="303" spans="11:13" x14ac:dyDescent="0.2">
      <c r="K303" s="76">
        <v>44213</v>
      </c>
      <c r="L303" s="70">
        <v>0.5</v>
      </c>
      <c r="M303" s="70">
        <v>0.16</v>
      </c>
    </row>
    <row r="304" spans="11:13" x14ac:dyDescent="0.2">
      <c r="K304" s="76">
        <v>44214</v>
      </c>
      <c r="L304" s="70">
        <v>0.5</v>
      </c>
      <c r="M304" s="70">
        <v>0.16</v>
      </c>
    </row>
    <row r="305" spans="11:13" x14ac:dyDescent="0.2">
      <c r="K305" s="76">
        <v>44215</v>
      </c>
      <c r="L305" s="70">
        <v>0.5</v>
      </c>
      <c r="M305" s="70">
        <v>0.16</v>
      </c>
    </row>
    <row r="306" spans="11:13" x14ac:dyDescent="0.2">
      <c r="K306" s="76">
        <v>44216</v>
      </c>
      <c r="L306" s="70">
        <v>0.5</v>
      </c>
      <c r="M306" s="70">
        <v>0.16</v>
      </c>
    </row>
    <row r="307" spans="11:13" x14ac:dyDescent="0.2">
      <c r="K307" s="76">
        <v>44217</v>
      </c>
      <c r="L307" s="70">
        <v>0.5</v>
      </c>
      <c r="M307" s="70">
        <v>0.16</v>
      </c>
    </row>
    <row r="308" spans="11:13" x14ac:dyDescent="0.2">
      <c r="K308" s="76">
        <v>44218</v>
      </c>
      <c r="L308" s="70">
        <v>0.5</v>
      </c>
      <c r="M308" s="70">
        <v>0.16</v>
      </c>
    </row>
    <row r="309" spans="11:13" x14ac:dyDescent="0.2">
      <c r="K309" s="76">
        <v>44219</v>
      </c>
      <c r="L309" s="70">
        <v>0.5</v>
      </c>
      <c r="M309" s="70">
        <v>0.16</v>
      </c>
    </row>
    <row r="310" spans="11:13" x14ac:dyDescent="0.2">
      <c r="K310" s="76">
        <v>44220</v>
      </c>
      <c r="L310" s="70">
        <v>0.5</v>
      </c>
      <c r="M310" s="70">
        <v>0.16</v>
      </c>
    </row>
    <row r="311" spans="11:13" x14ac:dyDescent="0.2">
      <c r="K311" s="76">
        <v>44221</v>
      </c>
      <c r="L311" s="70">
        <v>0.5</v>
      </c>
      <c r="M311" s="70">
        <v>0.16</v>
      </c>
    </row>
    <row r="312" spans="11:13" x14ac:dyDescent="0.2">
      <c r="K312" s="76">
        <v>44222</v>
      </c>
      <c r="L312" s="70">
        <v>0.5</v>
      </c>
      <c r="M312" s="70">
        <v>0.16</v>
      </c>
    </row>
    <row r="313" spans="11:13" x14ac:dyDescent="0.2">
      <c r="K313" s="76">
        <v>44223</v>
      </c>
      <c r="L313" s="70">
        <v>0.5</v>
      </c>
      <c r="M313" s="70">
        <v>0.16</v>
      </c>
    </row>
    <row r="314" spans="11:13" x14ac:dyDescent="0.2">
      <c r="K314" s="76">
        <v>44224</v>
      </c>
      <c r="L314" s="70">
        <v>0.5</v>
      </c>
      <c r="M314" s="70">
        <v>0.16</v>
      </c>
    </row>
    <row r="315" spans="11:13" x14ac:dyDescent="0.2">
      <c r="K315" s="76">
        <v>44225</v>
      </c>
      <c r="L315" s="70">
        <v>0.5</v>
      </c>
      <c r="M315" s="70">
        <v>0.16</v>
      </c>
    </row>
    <row r="316" spans="11:13" x14ac:dyDescent="0.2">
      <c r="K316" s="76">
        <v>44226</v>
      </c>
      <c r="L316" s="70">
        <v>0.5</v>
      </c>
      <c r="M316" s="70">
        <v>0.16</v>
      </c>
    </row>
    <row r="317" spans="11:13" x14ac:dyDescent="0.2">
      <c r="K317" s="76">
        <v>44227</v>
      </c>
      <c r="L317" s="70">
        <v>0.5</v>
      </c>
      <c r="M317" s="70">
        <v>0.16</v>
      </c>
    </row>
    <row r="318" spans="11:13" x14ac:dyDescent="0.2">
      <c r="K318" s="76">
        <v>44228</v>
      </c>
      <c r="L318" s="70">
        <v>0.5</v>
      </c>
      <c r="M318" s="70">
        <v>0.16</v>
      </c>
    </row>
    <row r="319" spans="11:13" x14ac:dyDescent="0.2">
      <c r="K319" s="76">
        <v>44229</v>
      </c>
      <c r="L319" s="70">
        <v>0.5</v>
      </c>
      <c r="M319" s="70">
        <v>0.16</v>
      </c>
    </row>
    <row r="320" spans="11:13" x14ac:dyDescent="0.2">
      <c r="K320" s="76">
        <v>44230</v>
      </c>
      <c r="L320" s="70">
        <v>0.5</v>
      </c>
      <c r="M320" s="70">
        <v>0.16</v>
      </c>
    </row>
    <row r="321" spans="11:13" x14ac:dyDescent="0.2">
      <c r="K321" s="76">
        <v>44231</v>
      </c>
      <c r="L321" s="70">
        <v>0.5</v>
      </c>
      <c r="M321" s="70">
        <v>0.16</v>
      </c>
    </row>
    <row r="322" spans="11:13" x14ac:dyDescent="0.2">
      <c r="K322" s="76">
        <v>44232</v>
      </c>
      <c r="L322" s="70">
        <v>0.5</v>
      </c>
      <c r="M322" s="70">
        <v>0.16</v>
      </c>
    </row>
    <row r="323" spans="11:13" x14ac:dyDescent="0.2">
      <c r="K323" s="76">
        <v>44233</v>
      </c>
      <c r="L323" s="70">
        <v>0.5</v>
      </c>
      <c r="M323" s="70">
        <v>0.16</v>
      </c>
    </row>
    <row r="324" spans="11:13" x14ac:dyDescent="0.2">
      <c r="K324" s="76">
        <v>44234</v>
      </c>
      <c r="L324" s="70">
        <v>0.5</v>
      </c>
      <c r="M324" s="70">
        <v>0.16</v>
      </c>
    </row>
    <row r="325" spans="11:13" x14ac:dyDescent="0.2">
      <c r="K325" s="76">
        <v>44235</v>
      </c>
      <c r="L325" s="70">
        <v>0.5</v>
      </c>
      <c r="M325" s="70">
        <v>0.16</v>
      </c>
    </row>
    <row r="326" spans="11:13" x14ac:dyDescent="0.2">
      <c r="K326" s="76">
        <v>44236</v>
      </c>
      <c r="L326" s="70">
        <v>0.5</v>
      </c>
      <c r="M326" s="70">
        <v>0.16</v>
      </c>
    </row>
    <row r="327" spans="11:13" x14ac:dyDescent="0.2">
      <c r="K327" s="76">
        <v>44237</v>
      </c>
      <c r="L327" s="70">
        <v>0.5</v>
      </c>
      <c r="M327" s="70">
        <v>0.16</v>
      </c>
    </row>
    <row r="328" spans="11:13" x14ac:dyDescent="0.2">
      <c r="K328" s="76">
        <v>44238</v>
      </c>
      <c r="L328" s="70">
        <v>0.5</v>
      </c>
      <c r="M328" s="70">
        <v>0.16</v>
      </c>
    </row>
    <row r="329" spans="11:13" x14ac:dyDescent="0.2">
      <c r="K329" s="76">
        <v>44239</v>
      </c>
      <c r="L329" s="70">
        <v>0.5</v>
      </c>
      <c r="M329" s="70">
        <v>0.16</v>
      </c>
    </row>
    <row r="330" spans="11:13" x14ac:dyDescent="0.2">
      <c r="K330" s="76">
        <v>44240</v>
      </c>
      <c r="L330" s="70">
        <v>0.5</v>
      </c>
      <c r="M330" s="70">
        <v>0.16</v>
      </c>
    </row>
    <row r="331" spans="11:13" x14ac:dyDescent="0.2">
      <c r="K331" s="76">
        <v>44241</v>
      </c>
      <c r="L331" s="70">
        <v>0.5</v>
      </c>
      <c r="M331" s="70">
        <v>0.16</v>
      </c>
    </row>
    <row r="332" spans="11:13" x14ac:dyDescent="0.2">
      <c r="K332" s="76">
        <v>44242</v>
      </c>
      <c r="L332" s="70">
        <v>0.5</v>
      </c>
      <c r="M332" s="70">
        <v>0.16</v>
      </c>
    </row>
    <row r="333" spans="11:13" x14ac:dyDescent="0.2">
      <c r="K333" s="76">
        <v>44243</v>
      </c>
      <c r="L333" s="70">
        <v>0.5</v>
      </c>
      <c r="M333" s="70">
        <v>0.16</v>
      </c>
    </row>
    <row r="334" spans="11:13" x14ac:dyDescent="0.2">
      <c r="K334" s="76">
        <v>44244</v>
      </c>
      <c r="L334" s="70">
        <v>0.5</v>
      </c>
      <c r="M334" s="70">
        <v>0.16</v>
      </c>
    </row>
    <row r="335" spans="11:13" x14ac:dyDescent="0.2">
      <c r="K335" s="76">
        <v>44245</v>
      </c>
      <c r="L335" s="70">
        <v>0.5</v>
      </c>
      <c r="M335" s="70">
        <v>0.16</v>
      </c>
    </row>
    <row r="336" spans="11:13" x14ac:dyDescent="0.2">
      <c r="K336" s="76">
        <v>44246</v>
      </c>
      <c r="L336" s="70">
        <v>0.5</v>
      </c>
      <c r="M336" s="70">
        <v>0.16</v>
      </c>
    </row>
    <row r="337" spans="11:13" x14ac:dyDescent="0.2">
      <c r="K337" s="76">
        <v>44247</v>
      </c>
      <c r="L337" s="70">
        <v>0.5</v>
      </c>
      <c r="M337" s="70">
        <v>0.16</v>
      </c>
    </row>
    <row r="338" spans="11:13" x14ac:dyDescent="0.2">
      <c r="K338" s="76">
        <v>44248</v>
      </c>
      <c r="L338" s="70">
        <v>0.5</v>
      </c>
      <c r="M338" s="70">
        <v>0.16</v>
      </c>
    </row>
    <row r="339" spans="11:13" x14ac:dyDescent="0.2">
      <c r="K339" s="76">
        <v>44249</v>
      </c>
      <c r="L339" s="70">
        <v>0.5</v>
      </c>
      <c r="M339" s="70">
        <v>0.16</v>
      </c>
    </row>
    <row r="340" spans="11:13" x14ac:dyDescent="0.2">
      <c r="K340" s="76">
        <v>44250</v>
      </c>
      <c r="L340" s="70">
        <v>0.5</v>
      </c>
      <c r="M340" s="70">
        <v>0.16</v>
      </c>
    </row>
    <row r="341" spans="11:13" x14ac:dyDescent="0.2">
      <c r="K341" s="76">
        <v>44251</v>
      </c>
      <c r="L341" s="70">
        <v>0.5</v>
      </c>
      <c r="M341" s="70">
        <v>0.16</v>
      </c>
    </row>
    <row r="342" spans="11:13" x14ac:dyDescent="0.2">
      <c r="K342" s="76">
        <v>44252</v>
      </c>
      <c r="L342" s="70">
        <v>0.5</v>
      </c>
      <c r="M342" s="70">
        <v>0.16</v>
      </c>
    </row>
    <row r="343" spans="11:13" x14ac:dyDescent="0.2">
      <c r="K343" s="76">
        <v>44253</v>
      </c>
      <c r="L343" s="70">
        <v>0.5</v>
      </c>
      <c r="M343" s="70">
        <v>0.16</v>
      </c>
    </row>
    <row r="344" spans="11:13" x14ac:dyDescent="0.2">
      <c r="K344" s="76">
        <v>44254</v>
      </c>
      <c r="L344" s="70">
        <v>0.5</v>
      </c>
      <c r="M344" s="70">
        <v>0.16</v>
      </c>
    </row>
    <row r="345" spans="11:13" x14ac:dyDescent="0.2">
      <c r="K345" s="76">
        <v>44255</v>
      </c>
      <c r="L345" s="70">
        <v>0.5</v>
      </c>
      <c r="M345" s="70">
        <v>0.16</v>
      </c>
    </row>
    <row r="346" spans="11:13" x14ac:dyDescent="0.2">
      <c r="K346" s="76">
        <v>44256</v>
      </c>
      <c r="L346" s="70">
        <v>0.5</v>
      </c>
      <c r="M346" s="70">
        <v>0.16</v>
      </c>
    </row>
    <row r="347" spans="11:13" x14ac:dyDescent="0.2">
      <c r="K347" s="76">
        <v>44257</v>
      </c>
      <c r="L347" s="70">
        <v>0.5</v>
      </c>
      <c r="M347" s="70">
        <v>0.16</v>
      </c>
    </row>
    <row r="348" spans="11:13" x14ac:dyDescent="0.2">
      <c r="K348" s="76">
        <v>44258</v>
      </c>
      <c r="L348" s="70">
        <v>0.5</v>
      </c>
      <c r="M348" s="70">
        <v>0.16</v>
      </c>
    </row>
    <row r="349" spans="11:13" x14ac:dyDescent="0.2">
      <c r="K349" s="76">
        <v>44259</v>
      </c>
      <c r="L349" s="70">
        <v>0.5</v>
      </c>
      <c r="M349" s="70">
        <v>0.16</v>
      </c>
    </row>
    <row r="350" spans="11:13" x14ac:dyDescent="0.2">
      <c r="K350" s="76">
        <v>44260</v>
      </c>
      <c r="L350" s="70">
        <v>0.5</v>
      </c>
      <c r="M350" s="70">
        <v>0.16</v>
      </c>
    </row>
    <row r="351" spans="11:13" x14ac:dyDescent="0.2">
      <c r="K351" s="76">
        <v>44261</v>
      </c>
      <c r="L351" s="70">
        <v>0.5</v>
      </c>
      <c r="M351" s="70">
        <v>0.16</v>
      </c>
    </row>
    <row r="352" spans="11:13" x14ac:dyDescent="0.2">
      <c r="K352" s="76">
        <v>44262</v>
      </c>
      <c r="L352" s="70">
        <v>0.5</v>
      </c>
      <c r="M352" s="70">
        <v>0.16</v>
      </c>
    </row>
    <row r="353" spans="11:13" x14ac:dyDescent="0.2">
      <c r="K353" s="76">
        <v>44263</v>
      </c>
      <c r="L353" s="70">
        <v>0.5</v>
      </c>
      <c r="M353" s="70">
        <v>0.16</v>
      </c>
    </row>
    <row r="354" spans="11:13" x14ac:dyDescent="0.2">
      <c r="K354" s="76">
        <v>44264</v>
      </c>
      <c r="L354" s="70">
        <v>0.5</v>
      </c>
      <c r="M354" s="70">
        <v>0.16</v>
      </c>
    </row>
    <row r="355" spans="11:13" x14ac:dyDescent="0.2">
      <c r="K355" s="76">
        <v>44265</v>
      </c>
      <c r="L355" s="70">
        <v>0.5</v>
      </c>
      <c r="M355" s="70">
        <v>0.16</v>
      </c>
    </row>
    <row r="356" spans="11:13" x14ac:dyDescent="0.2">
      <c r="K356" s="76">
        <v>44266</v>
      </c>
      <c r="L356" s="70">
        <v>0.5</v>
      </c>
      <c r="M356" s="70">
        <v>0.16</v>
      </c>
    </row>
    <row r="357" spans="11:13" x14ac:dyDescent="0.2">
      <c r="K357" s="76">
        <v>44267</v>
      </c>
      <c r="L357" s="70">
        <v>0.5</v>
      </c>
      <c r="M357" s="70">
        <v>0.16</v>
      </c>
    </row>
    <row r="358" spans="11:13" x14ac:dyDescent="0.2">
      <c r="K358" s="76">
        <v>44268</v>
      </c>
      <c r="L358" s="70">
        <v>0.5</v>
      </c>
      <c r="M358" s="70">
        <v>0.16</v>
      </c>
    </row>
    <row r="359" spans="11:13" x14ac:dyDescent="0.2">
      <c r="K359" s="76">
        <v>44269</v>
      </c>
      <c r="L359" s="70">
        <v>0.5</v>
      </c>
      <c r="M359" s="70">
        <v>0.16</v>
      </c>
    </row>
    <row r="360" spans="11:13" x14ac:dyDescent="0.2">
      <c r="K360" s="76">
        <v>44270</v>
      </c>
      <c r="L360" s="70">
        <v>0.5</v>
      </c>
      <c r="M360" s="70">
        <v>0.16</v>
      </c>
    </row>
    <row r="361" spans="11:13" x14ac:dyDescent="0.2">
      <c r="K361" s="76">
        <v>44271</v>
      </c>
      <c r="L361" s="70">
        <v>0.5</v>
      </c>
      <c r="M361" s="70">
        <v>0.16</v>
      </c>
    </row>
    <row r="362" spans="11:13" x14ac:dyDescent="0.2">
      <c r="K362" s="76">
        <v>44272</v>
      </c>
      <c r="L362" s="70">
        <v>0.5</v>
      </c>
      <c r="M362" s="70">
        <v>0.16</v>
      </c>
    </row>
    <row r="363" spans="11:13" x14ac:dyDescent="0.2">
      <c r="K363" s="76">
        <v>44273</v>
      </c>
      <c r="L363" s="70">
        <v>0.5</v>
      </c>
      <c r="M363" s="70">
        <v>0.16</v>
      </c>
    </row>
    <row r="364" spans="11:13" x14ac:dyDescent="0.2">
      <c r="K364" s="76">
        <v>44274</v>
      </c>
      <c r="L364" s="70">
        <v>0.5</v>
      </c>
      <c r="M364" s="70">
        <v>0.16</v>
      </c>
    </row>
    <row r="365" spans="11:13" x14ac:dyDescent="0.2">
      <c r="K365" s="76">
        <v>44275</v>
      </c>
      <c r="L365" s="70">
        <v>0.5</v>
      </c>
      <c r="M365" s="70">
        <v>0.16</v>
      </c>
    </row>
    <row r="366" spans="11:13" x14ac:dyDescent="0.2">
      <c r="K366" s="76">
        <v>44276</v>
      </c>
      <c r="L366" s="70">
        <v>0.5</v>
      </c>
      <c r="M366" s="70">
        <v>0.16</v>
      </c>
    </row>
    <row r="367" spans="11:13" x14ac:dyDescent="0.2">
      <c r="K367" s="76">
        <v>44277</v>
      </c>
      <c r="L367" s="70">
        <v>0.5</v>
      </c>
      <c r="M367" s="70">
        <v>0.16</v>
      </c>
    </row>
    <row r="368" spans="11:13" x14ac:dyDescent="0.2">
      <c r="K368" s="76">
        <v>44278</v>
      </c>
      <c r="L368" s="70">
        <v>0.5</v>
      </c>
      <c r="M368" s="70">
        <v>0.16</v>
      </c>
    </row>
    <row r="369" spans="11:13" x14ac:dyDescent="0.2">
      <c r="K369" s="76">
        <v>44279</v>
      </c>
      <c r="L369" s="70">
        <v>0.5</v>
      </c>
      <c r="M369" s="70">
        <v>0.16</v>
      </c>
    </row>
    <row r="370" spans="11:13" x14ac:dyDescent="0.2">
      <c r="K370" s="76">
        <v>44280</v>
      </c>
      <c r="L370" s="70">
        <v>0.5</v>
      </c>
      <c r="M370" s="70">
        <v>0.16</v>
      </c>
    </row>
    <row r="371" spans="11:13" x14ac:dyDescent="0.2">
      <c r="K371" s="76">
        <v>44281</v>
      </c>
      <c r="L371" s="70">
        <v>0.5</v>
      </c>
      <c r="M371" s="70">
        <v>0.16</v>
      </c>
    </row>
    <row r="372" spans="11:13" x14ac:dyDescent="0.2">
      <c r="K372" s="76">
        <v>44282</v>
      </c>
      <c r="L372" s="70">
        <v>0.5</v>
      </c>
      <c r="M372" s="70">
        <v>0.16</v>
      </c>
    </row>
    <row r="373" spans="11:13" x14ac:dyDescent="0.2">
      <c r="K373" s="76">
        <v>44283</v>
      </c>
      <c r="L373" s="70">
        <v>0.5</v>
      </c>
      <c r="M373" s="70">
        <v>0.16</v>
      </c>
    </row>
    <row r="374" spans="11:13" x14ac:dyDescent="0.2">
      <c r="K374" s="76">
        <v>44284</v>
      </c>
      <c r="L374" s="70">
        <v>0.5</v>
      </c>
      <c r="M374" s="70">
        <v>0.16</v>
      </c>
    </row>
    <row r="375" spans="11:13" x14ac:dyDescent="0.2">
      <c r="K375" s="76">
        <v>44285</v>
      </c>
      <c r="L375" s="70">
        <v>0.5</v>
      </c>
      <c r="M375" s="70">
        <v>0.16</v>
      </c>
    </row>
    <row r="376" spans="11:13" x14ac:dyDescent="0.2">
      <c r="K376" s="76">
        <v>44286</v>
      </c>
      <c r="L376" s="70">
        <v>0.5</v>
      </c>
      <c r="M376" s="70">
        <v>0.16</v>
      </c>
    </row>
    <row r="377" spans="11:13" x14ac:dyDescent="0.2">
      <c r="K377" s="76">
        <v>44287</v>
      </c>
      <c r="L377" s="70">
        <v>0.5</v>
      </c>
      <c r="M377" s="70">
        <v>0.16</v>
      </c>
    </row>
    <row r="378" spans="11:13" x14ac:dyDescent="0.2">
      <c r="K378" s="76">
        <v>44288</v>
      </c>
      <c r="L378" s="70">
        <v>0.5</v>
      </c>
      <c r="M378" s="70">
        <v>0.16</v>
      </c>
    </row>
    <row r="379" spans="11:13" x14ac:dyDescent="0.2">
      <c r="K379" s="76">
        <v>44289</v>
      </c>
      <c r="L379" s="70">
        <v>0.5</v>
      </c>
      <c r="M379" s="70">
        <v>0.16</v>
      </c>
    </row>
    <row r="380" spans="11:13" x14ac:dyDescent="0.2">
      <c r="K380" s="76">
        <v>44290</v>
      </c>
      <c r="L380" s="70">
        <v>0.5</v>
      </c>
      <c r="M380" s="70">
        <v>0.16</v>
      </c>
    </row>
    <row r="381" spans="11:13" x14ac:dyDescent="0.2">
      <c r="K381" s="76">
        <v>44291</v>
      </c>
      <c r="L381" s="70">
        <v>0.5</v>
      </c>
      <c r="M381" s="70">
        <v>0.16</v>
      </c>
    </row>
    <row r="382" spans="11:13" x14ac:dyDescent="0.2">
      <c r="K382" s="76">
        <v>44292</v>
      </c>
      <c r="L382" s="70">
        <v>0.5</v>
      </c>
      <c r="M382" s="70">
        <v>0.16</v>
      </c>
    </row>
    <row r="383" spans="11:13" x14ac:dyDescent="0.2">
      <c r="K383" s="76">
        <v>44293</v>
      </c>
      <c r="L383" s="70">
        <v>0.5</v>
      </c>
      <c r="M383" s="70">
        <v>0.16</v>
      </c>
    </row>
    <row r="384" spans="11:13" x14ac:dyDescent="0.2">
      <c r="K384" s="76">
        <v>44294</v>
      </c>
      <c r="L384" s="70">
        <v>0.5</v>
      </c>
      <c r="M384" s="70">
        <v>0.16</v>
      </c>
    </row>
    <row r="385" spans="11:13" x14ac:dyDescent="0.2">
      <c r="K385" s="76">
        <v>44295</v>
      </c>
      <c r="L385" s="70">
        <v>0.5</v>
      </c>
      <c r="M385" s="70">
        <v>0.16</v>
      </c>
    </row>
    <row r="386" spans="11:13" x14ac:dyDescent="0.2">
      <c r="K386" s="76">
        <v>44296</v>
      </c>
      <c r="L386" s="70">
        <v>0.5</v>
      </c>
      <c r="M386" s="70">
        <v>0.16</v>
      </c>
    </row>
    <row r="387" spans="11:13" x14ac:dyDescent="0.2">
      <c r="K387" s="76">
        <v>44297</v>
      </c>
      <c r="L387" s="70">
        <v>0.5</v>
      </c>
      <c r="M387" s="70">
        <v>0.16</v>
      </c>
    </row>
    <row r="388" spans="11:13" x14ac:dyDescent="0.2">
      <c r="K388" s="76">
        <v>44298</v>
      </c>
      <c r="L388" s="70">
        <v>0.5</v>
      </c>
      <c r="M388" s="70">
        <v>0.16</v>
      </c>
    </row>
    <row r="389" spans="11:13" x14ac:dyDescent="0.2">
      <c r="K389" s="76">
        <v>44299</v>
      </c>
      <c r="L389" s="70">
        <v>0.5</v>
      </c>
      <c r="M389" s="70">
        <v>0.16</v>
      </c>
    </row>
    <row r="390" spans="11:13" x14ac:dyDescent="0.2">
      <c r="K390" s="76">
        <v>44300</v>
      </c>
      <c r="L390" s="70">
        <v>0.5</v>
      </c>
      <c r="M390" s="70">
        <v>0.16</v>
      </c>
    </row>
    <row r="391" spans="11:13" x14ac:dyDescent="0.2">
      <c r="K391" s="76">
        <v>44301</v>
      </c>
      <c r="L391" s="70">
        <v>0.5</v>
      </c>
      <c r="M391" s="70">
        <v>0.16</v>
      </c>
    </row>
    <row r="392" spans="11:13" x14ac:dyDescent="0.2">
      <c r="K392" s="76">
        <v>44302</v>
      </c>
      <c r="L392" s="70">
        <v>0.5</v>
      </c>
      <c r="M392" s="70">
        <v>0.16</v>
      </c>
    </row>
    <row r="393" spans="11:13" x14ac:dyDescent="0.2">
      <c r="K393" s="76">
        <v>44303</v>
      </c>
      <c r="L393" s="70">
        <v>0.5</v>
      </c>
      <c r="M393" s="70">
        <v>0.16</v>
      </c>
    </row>
    <row r="394" spans="11:13" x14ac:dyDescent="0.2">
      <c r="K394" s="76">
        <v>44304</v>
      </c>
      <c r="L394" s="70">
        <v>0.5</v>
      </c>
      <c r="M394" s="70">
        <v>0.16</v>
      </c>
    </row>
    <row r="395" spans="11:13" x14ac:dyDescent="0.2">
      <c r="K395" s="76">
        <v>44305</v>
      </c>
      <c r="L395" s="70">
        <v>0.5</v>
      </c>
      <c r="M395" s="70">
        <v>0.16</v>
      </c>
    </row>
    <row r="396" spans="11:13" x14ac:dyDescent="0.2">
      <c r="K396" s="76">
        <v>44306</v>
      </c>
      <c r="L396" s="70">
        <v>0.5</v>
      </c>
      <c r="M396" s="70">
        <v>0.16</v>
      </c>
    </row>
  </sheetData>
  <pageMargins left="0.7" right="0.7" top="0.75" bottom="0.75" header="0.3" footer="0.3"/>
  <pageSetup orientation="portrait" horizontalDpi="0" verticalDpi="0"/>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CF80D-2857-A34D-922F-CA38FC7127B2}">
  <sheetPr codeName="Sheet5"/>
  <dimension ref="A1"/>
  <sheetViews>
    <sheetView zoomScaleNormal="100" workbookViewId="0">
      <selection activeCell="M25" sqref="M25"/>
    </sheetView>
  </sheetViews>
  <sheetFormatPr baseColWidth="10" defaultRowHeight="16" x14ac:dyDescent="0.2"/>
  <sheetData/>
  <pageMargins left="0.7" right="0.7" top="0.75" bottom="0.75" header="0.3" footer="0.3"/>
  <pageSetup orientation="portrait" horizontalDpi="0" verticalDpi="0"/>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97C01-C3D2-1847-9FB2-9AC9F9E0C4BE}">
  <sheetPr codeName="Sheet6">
    <pageSetUpPr autoPageBreaks="0"/>
  </sheetPr>
  <dimension ref="A1:L19"/>
  <sheetViews>
    <sheetView zoomScaleNormal="100" workbookViewId="0">
      <selection activeCell="K8" sqref="K8"/>
    </sheetView>
  </sheetViews>
  <sheetFormatPr baseColWidth="10" defaultRowHeight="16" x14ac:dyDescent="0.2"/>
  <cols>
    <col min="1" max="1" width="2.83203125" customWidth="1"/>
    <col min="2" max="2" width="1.83203125" customWidth="1"/>
    <col min="3" max="3" width="40.83203125" customWidth="1"/>
    <col min="4" max="4" width="1.83203125" customWidth="1"/>
    <col min="5" max="5" width="3.83203125" customWidth="1"/>
    <col min="6" max="6" width="1.83203125" customWidth="1"/>
    <col min="7" max="7" width="40.83203125" customWidth="1"/>
    <col min="8" max="8" width="1.83203125" style="23" customWidth="1"/>
    <col min="9" max="9" width="2.83203125" customWidth="1"/>
  </cols>
  <sheetData>
    <row r="1" spans="1:12" ht="5" customHeight="1" x14ac:dyDescent="0.2">
      <c r="A1" s="17"/>
      <c r="B1" s="17"/>
      <c r="C1" s="17"/>
      <c r="D1" s="17"/>
      <c r="E1" s="17"/>
      <c r="F1" s="17"/>
      <c r="G1" s="17"/>
      <c r="H1" s="21"/>
      <c r="I1" s="21"/>
    </row>
    <row r="2" spans="1:12" ht="72" customHeight="1" x14ac:dyDescent="0.2">
      <c r="A2" s="17"/>
      <c r="B2" s="17"/>
      <c r="C2" s="17"/>
      <c r="D2" s="17"/>
      <c r="E2" s="17"/>
      <c r="F2" s="17"/>
      <c r="G2" s="17"/>
      <c r="H2" s="21"/>
      <c r="I2" s="21"/>
    </row>
    <row r="3" spans="1:12" ht="10" customHeight="1" x14ac:dyDescent="0.2">
      <c r="A3" s="17"/>
      <c r="B3" s="17"/>
      <c r="C3" s="17"/>
      <c r="D3" s="17"/>
      <c r="E3" s="17"/>
      <c r="F3" s="17"/>
      <c r="G3" s="17"/>
      <c r="H3" s="21"/>
      <c r="I3" s="21"/>
    </row>
    <row r="4" spans="1:12" ht="15" customHeight="1" x14ac:dyDescent="0.2">
      <c r="A4" s="17"/>
      <c r="B4" s="24"/>
      <c r="C4" s="24"/>
      <c r="D4" s="24"/>
      <c r="E4" s="17"/>
      <c r="F4" s="18"/>
      <c r="G4" s="18"/>
      <c r="H4" s="22"/>
      <c r="I4" s="21"/>
      <c r="L4" s="4"/>
    </row>
    <row r="5" spans="1:12" ht="40" customHeight="1" x14ac:dyDescent="0.45">
      <c r="A5" s="17"/>
      <c r="B5" s="24"/>
      <c r="C5" s="40" t="s">
        <v>15</v>
      </c>
      <c r="D5" s="24"/>
      <c r="E5" s="17"/>
      <c r="F5" s="18"/>
      <c r="G5" s="41" t="s">
        <v>14</v>
      </c>
      <c r="H5" s="22"/>
      <c r="I5" s="21"/>
    </row>
    <row r="6" spans="1:12" ht="86" customHeight="1" x14ac:dyDescent="0.85">
      <c r="A6" s="17"/>
      <c r="B6" s="24"/>
      <c r="C6" s="59">
        <f ca="1">compute!U9</f>
        <v>651</v>
      </c>
      <c r="D6" s="24"/>
      <c r="E6" s="17"/>
      <c r="F6" s="18"/>
      <c r="G6" s="82">
        <f ca="1">compute!U12</f>
        <v>5425</v>
      </c>
      <c r="H6" s="22"/>
      <c r="I6" s="21"/>
    </row>
    <row r="7" spans="1:12" s="50" customFormat="1" ht="35" customHeight="1" x14ac:dyDescent="0.2">
      <c r="A7" s="43"/>
      <c r="B7" s="44"/>
      <c r="C7" s="45" t="s">
        <v>12</v>
      </c>
      <c r="D7" s="44"/>
      <c r="E7" s="43"/>
      <c r="F7" s="46"/>
      <c r="G7" s="47" t="s">
        <v>13</v>
      </c>
      <c r="H7" s="48"/>
      <c r="I7" s="49"/>
    </row>
    <row r="8" spans="1:12" s="50" customFormat="1" ht="37" customHeight="1" x14ac:dyDescent="0.2">
      <c r="A8" s="43"/>
      <c r="B8" s="44"/>
      <c r="C8" s="45" t="str">
        <f ca="1">compute!V47</f>
        <v>doubing in 44.8 days</v>
      </c>
      <c r="D8" s="44"/>
      <c r="E8" s="43"/>
      <c r="F8" s="46"/>
      <c r="G8" s="47" t="str">
        <f ca="1">compute!V49</f>
        <v>+1.6% per day</v>
      </c>
      <c r="H8" s="48"/>
      <c r="I8" s="49"/>
    </row>
    <row r="9" spans="1:12" ht="2" customHeight="1" x14ac:dyDescent="0.2">
      <c r="A9" s="17"/>
      <c r="B9" s="24"/>
      <c r="C9" s="24"/>
      <c r="D9" s="24"/>
      <c r="E9" s="17"/>
      <c r="F9" s="18"/>
      <c r="G9" s="18"/>
      <c r="H9" s="22"/>
      <c r="I9" s="21"/>
    </row>
    <row r="10" spans="1:12" ht="22" customHeight="1" x14ac:dyDescent="0.2">
      <c r="A10" s="17"/>
      <c r="B10" s="17"/>
      <c r="C10" s="17"/>
      <c r="D10" s="17"/>
      <c r="E10" s="17"/>
      <c r="F10" s="17"/>
      <c r="G10" s="17"/>
      <c r="H10" s="21"/>
      <c r="I10" s="21"/>
    </row>
    <row r="11" spans="1:12" x14ac:dyDescent="0.2">
      <c r="A11" s="17"/>
      <c r="B11" s="18"/>
      <c r="C11" s="18"/>
      <c r="D11" s="18"/>
      <c r="E11" s="17"/>
      <c r="F11" s="18"/>
      <c r="G11" s="18"/>
      <c r="H11" s="22"/>
      <c r="I11" s="21"/>
    </row>
    <row r="12" spans="1:12" ht="40" customHeight="1" x14ac:dyDescent="0.45">
      <c r="A12" s="17"/>
      <c r="B12" s="18"/>
      <c r="C12" s="41" t="s">
        <v>14</v>
      </c>
      <c r="D12" s="18"/>
      <c r="E12" s="17"/>
      <c r="F12" s="18"/>
      <c r="G12" s="41" t="s">
        <v>14</v>
      </c>
      <c r="H12" s="22"/>
      <c r="I12" s="21"/>
    </row>
    <row r="13" spans="1:12" ht="28" customHeight="1" x14ac:dyDescent="0.3">
      <c r="A13" s="17"/>
      <c r="B13" s="18"/>
      <c r="C13" s="18"/>
      <c r="D13" s="18"/>
      <c r="E13" s="17"/>
      <c r="F13" s="18"/>
      <c r="G13" s="42" t="s">
        <v>16</v>
      </c>
      <c r="H13" s="22"/>
      <c r="I13" s="21"/>
    </row>
    <row r="14" spans="1:12" ht="59" customHeight="1" x14ac:dyDescent="0.2">
      <c r="A14" s="17"/>
      <c r="B14" s="18"/>
      <c r="C14" s="20">
        <f ca="1">compute!U15</f>
        <v>5.9148694912667089E-2</v>
      </c>
      <c r="D14" s="18"/>
      <c r="E14" s="17"/>
      <c r="F14" s="18"/>
      <c r="G14" s="19">
        <f ca="1">compute!U18</f>
        <v>24.152205398288348</v>
      </c>
      <c r="H14" s="22"/>
      <c r="I14" s="21"/>
    </row>
    <row r="15" spans="1:12" ht="32" customHeight="1" x14ac:dyDescent="0.2">
      <c r="A15" s="17"/>
      <c r="B15" s="18"/>
      <c r="C15" s="47" t="s">
        <v>17</v>
      </c>
      <c r="D15" s="18"/>
      <c r="E15" s="17"/>
      <c r="F15" s="18"/>
      <c r="G15" s="47" t="s">
        <v>18</v>
      </c>
      <c r="H15" s="22"/>
      <c r="I15" s="21"/>
    </row>
    <row r="16" spans="1:12" ht="40" customHeight="1" x14ac:dyDescent="0.3">
      <c r="A16" s="17"/>
      <c r="B16" s="18"/>
      <c r="C16" s="42" t="s">
        <v>13</v>
      </c>
      <c r="D16" s="18"/>
      <c r="E16" s="17"/>
      <c r="F16" s="18"/>
      <c r="G16" s="42" t="s">
        <v>19</v>
      </c>
      <c r="H16" s="22"/>
      <c r="I16" s="21"/>
    </row>
    <row r="17" spans="1:9" ht="10" customHeight="1" x14ac:dyDescent="0.2">
      <c r="A17" s="17"/>
      <c r="B17" s="18"/>
      <c r="C17" s="18"/>
      <c r="D17" s="18"/>
      <c r="E17" s="17"/>
      <c r="F17" s="18"/>
      <c r="G17" s="18"/>
      <c r="H17" s="22"/>
      <c r="I17" s="21"/>
    </row>
    <row r="18" spans="1:9" ht="11" customHeight="1" x14ac:dyDescent="0.2">
      <c r="A18" s="17"/>
      <c r="B18" s="17"/>
      <c r="C18" s="17"/>
      <c r="D18" s="17"/>
      <c r="E18" s="17"/>
      <c r="F18" s="17"/>
      <c r="G18" s="17"/>
      <c r="H18" s="21"/>
      <c r="I18" s="21"/>
    </row>
    <row r="19" spans="1:9" ht="30" customHeight="1" x14ac:dyDescent="0.2">
      <c r="A19" s="77"/>
      <c r="B19" s="77"/>
      <c r="C19" s="77"/>
      <c r="D19" s="77"/>
      <c r="E19" s="77"/>
      <c r="F19" s="77"/>
      <c r="G19" s="77"/>
      <c r="H19" s="78"/>
      <c r="I19" s="78"/>
    </row>
  </sheetData>
  <pageMargins left="0.7" right="0.7" top="0.75" bottom="0.75" header="0.3" footer="0.3"/>
  <pageSetup orientation="portrait" horizontalDpi="0" verticalDpi="0"/>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1E0E18-E130-924E-B8A9-7F036230CE4B}">
  <sheetPr codeName="Sheet7"/>
  <dimension ref="A1:X51"/>
  <sheetViews>
    <sheetView tabSelected="1" workbookViewId="0">
      <selection sqref="A1:B34"/>
    </sheetView>
  </sheetViews>
  <sheetFormatPr baseColWidth="10" defaultRowHeight="16" x14ac:dyDescent="0.2"/>
  <cols>
    <col min="1" max="1" width="12.33203125" customWidth="1"/>
    <col min="2" max="2" width="13.33203125" customWidth="1"/>
    <col min="3" max="3" width="13.33203125" style="75" customWidth="1"/>
    <col min="4" max="4" width="12.5" style="28" customWidth="1"/>
    <col min="5" max="5" width="11.1640625" style="39" customWidth="1"/>
    <col min="6" max="6" width="11.1640625" style="79" customWidth="1"/>
    <col min="7" max="7" width="16.6640625" style="79" customWidth="1"/>
    <col min="8" max="8" width="15.6640625" style="79" customWidth="1"/>
    <col min="9" max="9" width="11.6640625" style="79" customWidth="1"/>
    <col min="10" max="11" width="10.6640625" style="79" customWidth="1"/>
    <col min="12" max="13" width="15.83203125" style="28" customWidth="1"/>
    <col min="14" max="14" width="12.6640625" style="16" customWidth="1"/>
    <col min="15" max="15" width="12.83203125" style="28" customWidth="1"/>
    <col min="16" max="16" width="14" customWidth="1"/>
    <col min="17" max="17" width="15.33203125" customWidth="1"/>
    <col min="18" max="18" width="11.5" style="4" customWidth="1"/>
    <col min="19" max="19" width="8.1640625" style="4" customWidth="1"/>
    <col min="20" max="21" width="18.1640625" style="3" customWidth="1"/>
    <col min="22" max="22" width="87.83203125" customWidth="1"/>
  </cols>
  <sheetData>
    <row r="1" spans="1:24" x14ac:dyDescent="0.2">
      <c r="A1" s="1" t="s">
        <v>40</v>
      </c>
      <c r="B1" s="1" t="s">
        <v>42</v>
      </c>
      <c r="C1" s="71"/>
    </row>
    <row r="2" spans="1:24" ht="17" x14ac:dyDescent="0.2">
      <c r="A2" s="1" t="s">
        <v>41</v>
      </c>
      <c r="B2" s="57">
        <v>91718</v>
      </c>
      <c r="C2" s="72"/>
    </row>
    <row r="3" spans="1:24" x14ac:dyDescent="0.2">
      <c r="A3" s="1" t="s">
        <v>43</v>
      </c>
      <c r="B3" s="54" t="s">
        <v>35</v>
      </c>
      <c r="C3" s="71"/>
    </row>
    <row r="4" spans="1:24" s="2" customFormat="1" ht="81" customHeight="1" thickBot="1" x14ac:dyDescent="0.25">
      <c r="A4" s="52" t="s">
        <v>0</v>
      </c>
      <c r="B4" s="53" t="s">
        <v>1</v>
      </c>
      <c r="C4" s="73" t="s">
        <v>52</v>
      </c>
      <c r="D4" s="51" t="s">
        <v>31</v>
      </c>
      <c r="E4" s="37" t="s">
        <v>39</v>
      </c>
      <c r="F4" s="80" t="s">
        <v>58</v>
      </c>
      <c r="G4" s="80" t="s">
        <v>60</v>
      </c>
      <c r="H4" s="80" t="s">
        <v>61</v>
      </c>
      <c r="I4" s="80" t="s">
        <v>6</v>
      </c>
      <c r="J4" s="80" t="s">
        <v>4</v>
      </c>
      <c r="K4" s="80" t="s">
        <v>62</v>
      </c>
      <c r="L4" s="25" t="s">
        <v>56</v>
      </c>
      <c r="M4" s="25" t="s">
        <v>57</v>
      </c>
      <c r="N4" s="13" t="s">
        <v>8</v>
      </c>
      <c r="O4" s="25" t="s">
        <v>9</v>
      </c>
      <c r="P4" s="6" t="s">
        <v>2</v>
      </c>
      <c r="Q4" s="6" t="s">
        <v>3</v>
      </c>
      <c r="R4" s="7" t="s">
        <v>7</v>
      </c>
      <c r="S4" s="7" t="s">
        <v>5</v>
      </c>
      <c r="T4" s="10" t="s">
        <v>10</v>
      </c>
      <c r="U4" s="10" t="s">
        <v>21</v>
      </c>
      <c r="V4" s="30" t="s">
        <v>20</v>
      </c>
    </row>
    <row r="5" spans="1:24" ht="17" x14ac:dyDescent="0.2">
      <c r="A5" s="8">
        <v>43913</v>
      </c>
      <c r="B5" s="9">
        <v>33</v>
      </c>
      <c r="C5" s="74">
        <f>Table2[[#This Row],[cases]]/$B$2</f>
        <v>3.5979851283281364E-4</v>
      </c>
      <c r="D5" s="26" t="e">
        <f>(Table2[[#This Row],[cases]]-B4)/B4</f>
        <v>#VALUE!</v>
      </c>
      <c r="E5" s="38" t="e">
        <f t="shared" ref="E5:E21" si="0">(LN(2)/LN(B5/B4))</f>
        <v>#VALUE!</v>
      </c>
      <c r="F5" s="81">
        <f>Table2[[#This Row],[cases]]*100/$T$19</f>
        <v>275</v>
      </c>
      <c r="G5" s="56">
        <f>Table2[[#This Row],[cases]]*100/$T$13</f>
        <v>126.92307692307692</v>
      </c>
      <c r="H5" s="56">
        <f>Table2[[#This Row],[cases]]*100/$T$16</f>
        <v>300</v>
      </c>
      <c r="I5" s="56">
        <f>Table2[[#This Row],[infection count, high end of estimate range]]-Table2[[#This Row],[infection count, low end of estimate range]]</f>
        <v>173.07692307692309</v>
      </c>
      <c r="J5" s="56">
        <f>(Table2[[#This Row],[infection count, low end of estimate range]]+Table2[[#This Row],[infection count, high end of estimate range]])/2</f>
        <v>213.46153846153845</v>
      </c>
      <c r="K5" s="26">
        <f>Table2[[#This Row],[estimated infections]]/$T$6</f>
        <v>2.9983209402734468E-3</v>
      </c>
      <c r="L5" s="26">
        <f>Table2[[#This Row],[infection count, low end of estimate range]]/$T$6</f>
        <v>1.3838404339723601E-3</v>
      </c>
      <c r="M5" s="26">
        <f>Table2[[#This Row],[infection count, high end of estimate range]]/$T$6</f>
        <v>3.2708955712073967E-3</v>
      </c>
      <c r="N5" s="14">
        <f>Table2[[#This Row],[infection percentage, high end of estimate range]]-Table2[[#This Row],[infection percentage, low end of estimate range]]</f>
        <v>1.8870551372350366E-3</v>
      </c>
      <c r="O5" s="26">
        <f>(Table2[[#This Row],[infection percentage, low end of estimate range]]+Table2[[#This Row],[infection percentage, high end of estimate range]])/2</f>
        <v>2.3273680025898786E-3</v>
      </c>
      <c r="P5" s="12">
        <f>$T$6/(Table2[[#This Row],[cases]]*5)</f>
        <v>555.86666666666667</v>
      </c>
      <c r="Q5" s="12">
        <f>$T$6/(Table2[[#This Row],[cases]]*7)</f>
        <v>397.04761904761904</v>
      </c>
      <c r="R5" s="3">
        <f>Table2[[#This Row],[1-in-X odds, estimating 5x cases infected]]-Table2[[#This Row],[1-in-X odds, estimating 7x cases infected]]</f>
        <v>158.81904761904764</v>
      </c>
      <c r="S5" s="5">
        <f>(Table2[[#This Row],[1-in-X odds, estimating 5x cases infected]]+Table2[[#This Row],[1-in-X odds, estimating 7x cases infected]])/2</f>
        <v>476.45714285714286</v>
      </c>
      <c r="T5" s="11" t="s">
        <v>11</v>
      </c>
      <c r="U5" s="11" t="s">
        <v>26</v>
      </c>
      <c r="V5" s="3"/>
      <c r="X5" s="1" t="s">
        <v>46</v>
      </c>
    </row>
    <row r="6" spans="1:24" x14ac:dyDescent="0.2">
      <c r="A6" s="8">
        <v>43914</v>
      </c>
      <c r="B6" s="9">
        <v>46</v>
      </c>
      <c r="C6" s="71">
        <f>Table2[[#This Row],[cases]]/$B$2</f>
        <v>5.0153732091846751E-4</v>
      </c>
      <c r="D6" s="26">
        <f>(Table2[[#This Row],[cases]]-B5)/B5</f>
        <v>0.39393939393939392</v>
      </c>
      <c r="E6" s="38">
        <f t="shared" si="0"/>
        <v>2.0869514258092652</v>
      </c>
      <c r="F6" s="81">
        <f>Table2[[#This Row],[cases]]*100/$T$19</f>
        <v>383.33333333333331</v>
      </c>
      <c r="G6" s="56">
        <f>Table2[[#This Row],[cases]]*100/$T$13</f>
        <v>176.92307692307693</v>
      </c>
      <c r="H6" s="56">
        <f>Table2[[#This Row],[cases]]*100/$T$16</f>
        <v>418.18181818181819</v>
      </c>
      <c r="I6" s="56">
        <f>Table2[[#This Row],[infection count, high end of estimate range]]-Table2[[#This Row],[infection count, low end of estimate range]]</f>
        <v>241.25874125874125</v>
      </c>
      <c r="J6" s="56">
        <f>(Table2[[#This Row],[infection count, low end of estimate range]]+Table2[[#This Row],[infection count, high end of estimate range]])/2</f>
        <v>297.55244755244757</v>
      </c>
      <c r="K6" s="26">
        <f>Table2[[#This Row],[estimated infections]]/$T$6</f>
        <v>4.1794776743205621E-3</v>
      </c>
      <c r="L6" s="26">
        <f>Table2[[#This Row],[infection count, low end of estimate range]]/$T$6</f>
        <v>1.9289896958402596E-3</v>
      </c>
      <c r="M6" s="26">
        <f>Table2[[#This Row],[infection count, high end of estimate range]]/$T$6</f>
        <v>4.5594301901678864E-3</v>
      </c>
      <c r="N6" s="14">
        <f>Table2[[#This Row],[infection percentage, high end of estimate range]]-Table2[[#This Row],[infection percentage, low end of estimate range]]</f>
        <v>2.630440494327627E-3</v>
      </c>
      <c r="O6" s="26">
        <f>(Table2[[#This Row],[infection percentage, low end of estimate range]]+Table2[[#This Row],[infection percentage, high end of estimate range]])/2</f>
        <v>3.2442099430040729E-3</v>
      </c>
      <c r="P6" s="12">
        <f>$T$6/(Table2[[#This Row],[cases]]*5)</f>
        <v>398.77391304347827</v>
      </c>
      <c r="Q6" s="12">
        <f>$T$6/(Table2[[#This Row],[cases]]*7)</f>
        <v>284.83850931677017</v>
      </c>
      <c r="R6" s="3">
        <f>Table2[[#This Row],[1-in-X odds, estimating 5x cases infected]]-Table2[[#This Row],[1-in-X odds, estimating 7x cases infected]]</f>
        <v>113.9354037267081</v>
      </c>
      <c r="S6" s="3">
        <f>(Table2[[#This Row],[1-in-X odds, estimating 5x cases infected]]+Table2[[#This Row],[1-in-X odds, estimating 7x cases infected]])/2</f>
        <v>341.80621118012425</v>
      </c>
      <c r="T6" s="3">
        <f>B2</f>
        <v>91718</v>
      </c>
      <c r="U6" s="29">
        <f ca="1">OFFSET(compute!A5,COUNTA(compute!A5:A10012)-1,0)</f>
        <v>43942</v>
      </c>
      <c r="V6" s="3"/>
      <c r="X6" t="str">
        <f>"Number of Confirmed COVID-19 Cases " &amp; B1</f>
        <v>Number of Confirmed COVID-19 Cases Miami Beach</v>
      </c>
    </row>
    <row r="7" spans="1:24" x14ac:dyDescent="0.2">
      <c r="A7" s="8">
        <v>43915</v>
      </c>
      <c r="B7" s="9">
        <v>63</v>
      </c>
      <c r="C7" s="71">
        <f>Table2[[#This Row],[cases]]/$B$2</f>
        <v>6.8688806995355323E-4</v>
      </c>
      <c r="D7" s="26">
        <f>(Table2[[#This Row],[cases]]-B6)/B6</f>
        <v>0.36956521739130432</v>
      </c>
      <c r="E7" s="38">
        <f t="shared" si="0"/>
        <v>2.2040123419309841</v>
      </c>
      <c r="F7" s="81">
        <f>Table2[[#This Row],[cases]]*100/$T$19</f>
        <v>525</v>
      </c>
      <c r="G7" s="56">
        <f>Table2[[#This Row],[cases]]*100/$T$13</f>
        <v>242.30769230769232</v>
      </c>
      <c r="H7" s="56">
        <f>Table2[[#This Row],[cases]]*100/$T$16</f>
        <v>572.72727272727275</v>
      </c>
      <c r="I7" s="56">
        <f>Table2[[#This Row],[infection count, high end of estimate range]]-Table2[[#This Row],[infection count, low end of estimate range]]</f>
        <v>330.41958041958043</v>
      </c>
      <c r="J7" s="56">
        <f>(Table2[[#This Row],[infection count, low end of estimate range]]+Table2[[#This Row],[infection count, high end of estimate range]])/2</f>
        <v>407.51748251748256</v>
      </c>
      <c r="K7" s="26">
        <f>Table2[[#This Row],[estimated infections]]/$T$6</f>
        <v>5.7240672496129442E-3</v>
      </c>
      <c r="L7" s="26">
        <f>Table2[[#This Row],[infection count, low end of estimate range]]/$T$6</f>
        <v>2.6418771921290513E-3</v>
      </c>
      <c r="M7" s="26">
        <f>Table2[[#This Row],[infection count, high end of estimate range]]/$T$6</f>
        <v>6.2444369995777573E-3</v>
      </c>
      <c r="N7" s="14">
        <f>Table2[[#This Row],[infection percentage, high end of estimate range]]-Table2[[#This Row],[infection percentage, low end of estimate range]]</f>
        <v>3.602559807448706E-3</v>
      </c>
      <c r="O7" s="26">
        <f>(Table2[[#This Row],[infection percentage, low end of estimate range]]+Table2[[#This Row],[infection percentage, high end of estimate range]])/2</f>
        <v>4.4431570958534047E-3</v>
      </c>
      <c r="P7" s="12">
        <f>$T$6/(Table2[[#This Row],[cases]]*5)</f>
        <v>291.16825396825396</v>
      </c>
      <c r="Q7" s="12">
        <f>$T$6/(Table2[[#This Row],[cases]]*7)</f>
        <v>207.97732426303855</v>
      </c>
      <c r="R7" s="3">
        <f>Table2[[#This Row],[1-in-X odds, estimating 5x cases infected]]-Table2[[#This Row],[1-in-X odds, estimating 7x cases infected]]</f>
        <v>83.19092970521541</v>
      </c>
      <c r="S7" s="3">
        <f>(Table2[[#This Row],[1-in-X odds, estimating 5x cases infected]]+Table2[[#This Row],[1-in-X odds, estimating 7x cases infected]])/2</f>
        <v>249.57278911564626</v>
      </c>
      <c r="V7" s="3"/>
    </row>
    <row r="8" spans="1:24" x14ac:dyDescent="0.2">
      <c r="A8" s="8">
        <v>43916</v>
      </c>
      <c r="B8" s="9">
        <v>76</v>
      </c>
      <c r="C8" s="71">
        <f>Table2[[#This Row],[cases]]/$B$2</f>
        <v>8.2862687803920716E-4</v>
      </c>
      <c r="D8" s="26">
        <f>(Table2[[#This Row],[cases]]-B7)/B7</f>
        <v>0.20634920634920634</v>
      </c>
      <c r="E8" s="38">
        <f t="shared" si="0"/>
        <v>3.6948416950918879</v>
      </c>
      <c r="F8" s="81">
        <f>Table2[[#This Row],[cases]]*100/$T$19</f>
        <v>633.33333333333337</v>
      </c>
      <c r="G8" s="56">
        <f>Table2[[#This Row],[cases]]*100/$T$13</f>
        <v>292.30769230769232</v>
      </c>
      <c r="H8" s="56">
        <f>Table2[[#This Row],[cases]]*100/$T$16</f>
        <v>690.90909090909088</v>
      </c>
      <c r="I8" s="56">
        <f>Table2[[#This Row],[infection count, high end of estimate range]]-Table2[[#This Row],[infection count, low end of estimate range]]</f>
        <v>398.60139860139856</v>
      </c>
      <c r="J8" s="56">
        <f>(Table2[[#This Row],[infection count, low end of estimate range]]+Table2[[#This Row],[infection count, high end of estimate range]])/2</f>
        <v>491.60839160839157</v>
      </c>
      <c r="K8" s="26">
        <f>Table2[[#This Row],[estimated infections]]/$T$6</f>
        <v>6.9052239836600599E-3</v>
      </c>
      <c r="L8" s="26">
        <f>Table2[[#This Row],[infection count, low end of estimate range]]/$T$6</f>
        <v>3.1870264539969506E-3</v>
      </c>
      <c r="M8" s="26">
        <f>Table2[[#This Row],[infection count, high end of estimate range]]/$T$6</f>
        <v>7.5329716185382461E-3</v>
      </c>
      <c r="N8" s="14">
        <f>Table2[[#This Row],[infection percentage, high end of estimate range]]-Table2[[#This Row],[infection percentage, low end of estimate range]]</f>
        <v>4.3459451645412959E-3</v>
      </c>
      <c r="O8" s="26">
        <f>(Table2[[#This Row],[infection percentage, low end of estimate range]]+Table2[[#This Row],[infection percentage, high end of estimate range]])/2</f>
        <v>5.3599990362675981E-3</v>
      </c>
      <c r="P8" s="12">
        <f>$T$6/(Table2[[#This Row],[cases]]*5)</f>
        <v>241.36315789473684</v>
      </c>
      <c r="Q8" s="12">
        <f>$T$6/(Table2[[#This Row],[cases]]*7)</f>
        <v>172.40225563909775</v>
      </c>
      <c r="R8" s="3">
        <f>Table2[[#This Row],[1-in-X odds, estimating 5x cases infected]]-Table2[[#This Row],[1-in-X odds, estimating 7x cases infected]]</f>
        <v>68.960902255639098</v>
      </c>
      <c r="S8" s="3">
        <f>(Table2[[#This Row],[1-in-X odds, estimating 5x cases infected]]+Table2[[#This Row],[1-in-X odds, estimating 7x cases infected]])/2</f>
        <v>206.88270676691729</v>
      </c>
      <c r="T8" s="34" t="s">
        <v>33</v>
      </c>
      <c r="U8" s="34" t="s">
        <v>25</v>
      </c>
      <c r="V8" s="3"/>
    </row>
    <row r="9" spans="1:24" x14ac:dyDescent="0.2">
      <c r="A9" s="8">
        <v>43917</v>
      </c>
      <c r="B9" s="9">
        <v>90</v>
      </c>
      <c r="C9" s="71">
        <f>Table2[[#This Row],[cases]]/$B$2</f>
        <v>9.8126867136221906E-4</v>
      </c>
      <c r="D9" s="26">
        <f>(Table2[[#This Row],[cases]]-B8)/B8</f>
        <v>0.18421052631578946</v>
      </c>
      <c r="E9" s="38">
        <f t="shared" si="0"/>
        <v>4.0996109885980694</v>
      </c>
      <c r="F9" s="81">
        <f>Table2[[#This Row],[cases]]*100/$T$19</f>
        <v>750</v>
      </c>
      <c r="G9" s="56">
        <f>Table2[[#This Row],[cases]]*100/$T$13</f>
        <v>346.15384615384613</v>
      </c>
      <c r="H9" s="56">
        <f>Table2[[#This Row],[cases]]*100/$T$16</f>
        <v>818.18181818181813</v>
      </c>
      <c r="I9" s="56">
        <f>Table2[[#This Row],[infection count, high end of estimate range]]-Table2[[#This Row],[infection count, low end of estimate range]]</f>
        <v>472.027972027972</v>
      </c>
      <c r="J9" s="56">
        <f>(Table2[[#This Row],[infection count, low end of estimate range]]+Table2[[#This Row],[infection count, high end of estimate range]])/2</f>
        <v>582.1678321678321</v>
      </c>
      <c r="K9" s="26">
        <f>Table2[[#This Row],[estimated infections]]/$T$6</f>
        <v>8.1772389280184918E-3</v>
      </c>
      <c r="L9" s="26">
        <f>Table2[[#This Row],[infection count, low end of estimate range]]/$T$6</f>
        <v>3.7741102744700728E-3</v>
      </c>
      <c r="M9" s="26">
        <f>Table2[[#This Row],[infection count, high end of estimate range]]/$T$6</f>
        <v>8.9206242851110808E-3</v>
      </c>
      <c r="N9" s="14">
        <f>Table2[[#This Row],[infection percentage, high end of estimate range]]-Table2[[#This Row],[infection percentage, low end of estimate range]]</f>
        <v>5.1465140106410085E-3</v>
      </c>
      <c r="O9" s="26">
        <f>(Table2[[#This Row],[infection percentage, low end of estimate range]]+Table2[[#This Row],[infection percentage, high end of estimate range]])/2</f>
        <v>6.3473672797905766E-3</v>
      </c>
      <c r="P9" s="12">
        <f>$T$6/(Table2[[#This Row],[cases]]*5)</f>
        <v>203.81777777777779</v>
      </c>
      <c r="Q9" s="12">
        <f>$T$6/(Table2[[#This Row],[cases]]*7)</f>
        <v>145.58412698412698</v>
      </c>
      <c r="R9" s="3">
        <f>Table2[[#This Row],[1-in-X odds, estimating 5x cases infected]]-Table2[[#This Row],[1-in-X odds, estimating 7x cases infected]]</f>
        <v>58.23365079365081</v>
      </c>
      <c r="S9" s="3">
        <f>(Table2[[#This Row],[1-in-X odds, estimating 5x cases infected]]+Table2[[#This Row],[1-in-X odds, estimating 7x cases infected]])/2</f>
        <v>174.7009523809524</v>
      </c>
      <c r="T9" s="34" t="str">
        <f>B3</f>
        <v>evening</v>
      </c>
      <c r="U9" s="3">
        <f ca="1">OFFSET(compute!B4,COUNTA(compute!B4:B10012)-1,0)</f>
        <v>651</v>
      </c>
      <c r="V9" s="3"/>
    </row>
    <row r="10" spans="1:24" x14ac:dyDescent="0.2">
      <c r="A10" s="8">
        <v>43918</v>
      </c>
      <c r="B10" s="9">
        <v>118</v>
      </c>
      <c r="C10" s="71">
        <f>Table2[[#This Row],[cases]]/$B$2</f>
        <v>1.2865522580082426E-3</v>
      </c>
      <c r="D10" s="26">
        <f>(Table2[[#This Row],[cases]]-B9)/B9</f>
        <v>0.31111111111111112</v>
      </c>
      <c r="E10" s="38">
        <f t="shared" si="0"/>
        <v>2.55891942011541</v>
      </c>
      <c r="F10" s="81">
        <f>Table2[[#This Row],[cases]]*100/$T$19</f>
        <v>983.33333333333337</v>
      </c>
      <c r="G10" s="56">
        <f>Table2[[#This Row],[cases]]*100/$T$13</f>
        <v>453.84615384615387</v>
      </c>
      <c r="H10" s="56">
        <f>Table2[[#This Row],[cases]]*100/$T$16</f>
        <v>1072.7272727272727</v>
      </c>
      <c r="I10" s="56">
        <f>Table2[[#This Row],[infection count, high end of estimate range]]-Table2[[#This Row],[infection count, low end of estimate range]]</f>
        <v>618.88111888111894</v>
      </c>
      <c r="J10" s="56">
        <f>(Table2[[#This Row],[infection count, low end of estimate range]]+Table2[[#This Row],[infection count, high end of estimate range]])/2</f>
        <v>763.28671328671328</v>
      </c>
      <c r="K10" s="26">
        <f>Table2[[#This Row],[estimated infections]]/$T$6</f>
        <v>1.0721268816735356E-2</v>
      </c>
      <c r="L10" s="26">
        <f>Table2[[#This Row],[infection count, low end of estimate range]]/$T$6</f>
        <v>4.9482779154163183E-3</v>
      </c>
      <c r="M10" s="26">
        <f>Table2[[#This Row],[infection count, high end of estimate range]]/$T$6</f>
        <v>1.1695929618256752E-2</v>
      </c>
      <c r="N10" s="14">
        <f>Table2[[#This Row],[infection percentage, high end of estimate range]]-Table2[[#This Row],[infection percentage, low end of estimate range]]</f>
        <v>6.7476517028404338E-3</v>
      </c>
      <c r="O10" s="26">
        <f>(Table2[[#This Row],[infection percentage, low end of estimate range]]+Table2[[#This Row],[infection percentage, high end of estimate range]])/2</f>
        <v>8.3221037668365361E-3</v>
      </c>
      <c r="P10" s="12">
        <f>$T$6/(Table2[[#This Row],[cases]]*5)</f>
        <v>155.4542372881356</v>
      </c>
      <c r="Q10" s="12">
        <f>$T$6/(Table2[[#This Row],[cases]]*7)</f>
        <v>111.03874092009686</v>
      </c>
      <c r="R10" s="3">
        <f>Table2[[#This Row],[1-in-X odds, estimating 5x cases infected]]-Table2[[#This Row],[1-in-X odds, estimating 7x cases infected]]</f>
        <v>44.415496368038745</v>
      </c>
      <c r="S10" s="3">
        <f>(Table2[[#This Row],[1-in-X odds, estimating 5x cases infected]]+Table2[[#This Row],[1-in-X odds, estimating 7x cases infected]])/2</f>
        <v>133.24648910411622</v>
      </c>
      <c r="V10" s="3"/>
    </row>
    <row r="11" spans="1:24" x14ac:dyDescent="0.2">
      <c r="A11" s="8">
        <v>43919</v>
      </c>
      <c r="B11" s="9">
        <v>160</v>
      </c>
      <c r="C11" s="71">
        <f>Table2[[#This Row],[cases]]/$B$2</f>
        <v>1.7444776379772781E-3</v>
      </c>
      <c r="D11" s="26">
        <f>(Table2[[#This Row],[cases]]-B10)/B10</f>
        <v>0.3559322033898305</v>
      </c>
      <c r="E11" s="38">
        <f t="shared" si="0"/>
        <v>2.276426229815518</v>
      </c>
      <c r="F11" s="81">
        <f>Table2[[#This Row],[cases]]*100/$T$19</f>
        <v>1333.3333333333333</v>
      </c>
      <c r="G11" s="56">
        <f>Table2[[#This Row],[cases]]*100/$T$13</f>
        <v>615.38461538461536</v>
      </c>
      <c r="H11" s="56">
        <f>Table2[[#This Row],[cases]]*100/$T$16</f>
        <v>1454.5454545454545</v>
      </c>
      <c r="I11" s="56">
        <f>Table2[[#This Row],[infection count, high end of estimate range]]-Table2[[#This Row],[infection count, low end of estimate range]]</f>
        <v>839.16083916083915</v>
      </c>
      <c r="J11" s="56">
        <f>(Table2[[#This Row],[infection count, low end of estimate range]]+Table2[[#This Row],[infection count, high end of estimate range]])/2</f>
        <v>1034.9650349650349</v>
      </c>
      <c r="K11" s="26">
        <f>Table2[[#This Row],[estimated infections]]/$T$6</f>
        <v>1.4537313649810651E-2</v>
      </c>
      <c r="L11" s="26">
        <f>Table2[[#This Row],[infection count, low end of estimate range]]/$T$6</f>
        <v>6.7095293768356847E-3</v>
      </c>
      <c r="M11" s="26">
        <f>Table2[[#This Row],[infection count, high end of estimate range]]/$T$6</f>
        <v>1.5858887617975256E-2</v>
      </c>
      <c r="N11" s="14">
        <f>Table2[[#This Row],[infection percentage, high end of estimate range]]-Table2[[#This Row],[infection percentage, low end of estimate range]]</f>
        <v>9.1493582411395716E-3</v>
      </c>
      <c r="O11" s="26">
        <f>(Table2[[#This Row],[infection percentage, low end of estimate range]]+Table2[[#This Row],[infection percentage, high end of estimate range]])/2</f>
        <v>1.1284208497405471E-2</v>
      </c>
      <c r="P11" s="12">
        <f>$T$6/(Table2[[#This Row],[cases]]*5)</f>
        <v>114.64749999999999</v>
      </c>
      <c r="Q11" s="12">
        <f>$T$6/(Table2[[#This Row],[cases]]*7)</f>
        <v>81.891071428571422</v>
      </c>
      <c r="R11" s="3">
        <f>Table2[[#This Row],[1-in-X odds, estimating 5x cases infected]]-Table2[[#This Row],[1-in-X odds, estimating 7x cases infected]]</f>
        <v>32.756428571428572</v>
      </c>
      <c r="S11" s="3">
        <f>(Table2[[#This Row],[1-in-X odds, estimating 5x cases infected]]+Table2[[#This Row],[1-in-X odds, estimating 7x cases infected]])/2</f>
        <v>98.269285714285701</v>
      </c>
      <c r="T11" s="3" t="s">
        <v>36</v>
      </c>
      <c r="U11" s="34" t="s">
        <v>27</v>
      </c>
      <c r="V11" s="3"/>
    </row>
    <row r="12" spans="1:24" x14ac:dyDescent="0.2">
      <c r="A12" s="8">
        <v>43920</v>
      </c>
      <c r="B12" s="9">
        <v>197</v>
      </c>
      <c r="C12" s="71">
        <f>Table2[[#This Row],[cases]]/$B$2</f>
        <v>2.1478880917595237E-3</v>
      </c>
      <c r="D12" s="26">
        <f>(Table2[[#This Row],[cases]]-B11)/B11</f>
        <v>0.23125000000000001</v>
      </c>
      <c r="E12" s="38">
        <f t="shared" si="0"/>
        <v>3.3319591826205279</v>
      </c>
      <c r="F12" s="81">
        <f>Table2[[#This Row],[cases]]*100/$T$19</f>
        <v>1641.6666666666667</v>
      </c>
      <c r="G12" s="56">
        <f>Table2[[#This Row],[cases]]*100/$T$13</f>
        <v>757.69230769230774</v>
      </c>
      <c r="H12" s="56">
        <f>Table2[[#This Row],[cases]]*100/$T$16</f>
        <v>1790.909090909091</v>
      </c>
      <c r="I12" s="56">
        <f>Table2[[#This Row],[infection count, high end of estimate range]]-Table2[[#This Row],[infection count, low end of estimate range]]</f>
        <v>1033.2167832167834</v>
      </c>
      <c r="J12" s="56">
        <f>(Table2[[#This Row],[infection count, low end of estimate range]]+Table2[[#This Row],[infection count, high end of estimate range]])/2</f>
        <v>1274.3006993006993</v>
      </c>
      <c r="K12" s="26">
        <f>Table2[[#This Row],[estimated infections]]/$T$6</f>
        <v>1.7899067431329366E-2</v>
      </c>
      <c r="L12" s="26">
        <f>Table2[[#This Row],[infection count, low end of estimate range]]/$T$6</f>
        <v>8.2611080452289383E-3</v>
      </c>
      <c r="M12" s="26">
        <f>Table2[[#This Row],[infection count, high end of estimate range]]/$T$6</f>
        <v>1.9526255379632033E-2</v>
      </c>
      <c r="N12" s="14">
        <f>Table2[[#This Row],[infection percentage, high end of estimate range]]-Table2[[#This Row],[infection percentage, low end of estimate range]]</f>
        <v>1.1265147334403095E-2</v>
      </c>
      <c r="O12" s="26">
        <f>(Table2[[#This Row],[infection percentage, low end of estimate range]]+Table2[[#This Row],[infection percentage, high end of estimate range]])/2</f>
        <v>1.3893681712430486E-2</v>
      </c>
      <c r="P12" s="12">
        <f>$T$6/(Table2[[#This Row],[cases]]*5)</f>
        <v>93.114720812182739</v>
      </c>
      <c r="Q12" s="12">
        <f>$T$6/(Table2[[#This Row],[cases]]*7)</f>
        <v>66.510514865844812</v>
      </c>
      <c r="R12" s="3">
        <f>Table2[[#This Row],[1-in-X odds, estimating 5x cases infected]]-Table2[[#This Row],[1-in-X odds, estimating 7x cases infected]]</f>
        <v>26.604205946337927</v>
      </c>
      <c r="S12" s="3">
        <f>(Table2[[#This Row],[1-in-X odds, estimating 5x cases infected]]+Table2[[#This Row],[1-in-X odds, estimating 7x cases infected]])/2</f>
        <v>79.812617839013768</v>
      </c>
      <c r="T12" s="34" t="s">
        <v>37</v>
      </c>
      <c r="U12" s="35">
        <f ca="1">OFFSET(compute!F4,COUNTA(compute!F:F)-1,0)</f>
        <v>5425</v>
      </c>
      <c r="V12" s="3"/>
    </row>
    <row r="13" spans="1:24" x14ac:dyDescent="0.2">
      <c r="A13" s="8">
        <v>43921</v>
      </c>
      <c r="B13" s="9">
        <v>238</v>
      </c>
      <c r="C13" s="71">
        <f>Table2[[#This Row],[cases]]/$B$2</f>
        <v>2.5949104864912012E-3</v>
      </c>
      <c r="D13" s="26">
        <f>(Table2[[#This Row],[cases]]-B12)/B12</f>
        <v>0.20812182741116753</v>
      </c>
      <c r="E13" s="38">
        <f t="shared" si="0"/>
        <v>3.6661468285944667</v>
      </c>
      <c r="F13" s="81">
        <f>Table2[[#This Row],[cases]]*100/$T$19</f>
        <v>1983.3333333333333</v>
      </c>
      <c r="G13" s="56">
        <f>Table2[[#This Row],[cases]]*100/$T$13</f>
        <v>915.38461538461536</v>
      </c>
      <c r="H13" s="56">
        <f>Table2[[#This Row],[cases]]*100/$T$16</f>
        <v>2163.6363636363635</v>
      </c>
      <c r="I13" s="56">
        <f>Table2[[#This Row],[infection count, high end of estimate range]]-Table2[[#This Row],[infection count, low end of estimate range]]</f>
        <v>1248.2517482517483</v>
      </c>
      <c r="J13" s="56">
        <f>(Table2[[#This Row],[infection count, low end of estimate range]]+Table2[[#This Row],[infection count, high end of estimate range]])/2</f>
        <v>1539.5104895104894</v>
      </c>
      <c r="K13" s="26">
        <f>Table2[[#This Row],[estimated infections]]/$T$6</f>
        <v>2.1624254054093343E-2</v>
      </c>
      <c r="L13" s="26">
        <f>Table2[[#This Row],[infection count, low end of estimate range]]/$T$6</f>
        <v>9.9804249480430814E-3</v>
      </c>
      <c r="M13" s="26">
        <f>Table2[[#This Row],[infection count, high end of estimate range]]/$T$6</f>
        <v>2.3590095331738191E-2</v>
      </c>
      <c r="N13" s="14">
        <f>Table2[[#This Row],[infection percentage, high end of estimate range]]-Table2[[#This Row],[infection percentage, low end of estimate range]]</f>
        <v>1.3609670383695109E-2</v>
      </c>
      <c r="O13" s="26">
        <f>(Table2[[#This Row],[infection percentage, low end of estimate range]]+Table2[[#This Row],[infection percentage, high end of estimate range]])/2</f>
        <v>1.6785260139890637E-2</v>
      </c>
      <c r="P13" s="12">
        <f>$T$6/(Table2[[#This Row],[cases]]*5)</f>
        <v>77.073949579831933</v>
      </c>
      <c r="Q13" s="12">
        <f>$T$6/(Table2[[#This Row],[cases]]*7)</f>
        <v>55.052821128451377</v>
      </c>
      <c r="R13" s="3">
        <f>Table2[[#This Row],[1-in-X odds, estimating 5x cases infected]]-Table2[[#This Row],[1-in-X odds, estimating 7x cases infected]]</f>
        <v>22.021128451380555</v>
      </c>
      <c r="S13" s="3">
        <f>(Table2[[#This Row],[1-in-X odds, estimating 5x cases infected]]+Table2[[#This Row],[1-in-X odds, estimating 7x cases infected]])/2</f>
        <v>66.063385354141658</v>
      </c>
      <c r="T13" s="3">
        <v>26</v>
      </c>
      <c r="V13" s="3"/>
    </row>
    <row r="14" spans="1:24" x14ac:dyDescent="0.2">
      <c r="A14" s="8">
        <v>43922</v>
      </c>
      <c r="B14" s="9">
        <v>266</v>
      </c>
      <c r="C14" s="71">
        <f>Table2[[#This Row],[cases]]/$B$2</f>
        <v>2.900194073137225E-3</v>
      </c>
      <c r="D14" s="26">
        <f>(Table2[[#This Row],[cases]]-B13)/B13</f>
        <v>0.11764705882352941</v>
      </c>
      <c r="E14" s="38">
        <f t="shared" si="0"/>
        <v>6.2319013047040608</v>
      </c>
      <c r="F14" s="81">
        <f>Table2[[#This Row],[cases]]*100/$T$19</f>
        <v>2216.6666666666665</v>
      </c>
      <c r="G14" s="56">
        <f>Table2[[#This Row],[cases]]*100/$T$13</f>
        <v>1023.0769230769231</v>
      </c>
      <c r="H14" s="56">
        <f>Table2[[#This Row],[cases]]*100/$T$16</f>
        <v>2418.181818181818</v>
      </c>
      <c r="I14" s="56">
        <f>Table2[[#This Row],[infection count, high end of estimate range]]-Table2[[#This Row],[infection count, low end of estimate range]]</f>
        <v>1395.1048951048949</v>
      </c>
      <c r="J14" s="56">
        <f>(Table2[[#This Row],[infection count, low end of estimate range]]+Table2[[#This Row],[infection count, high end of estimate range]])/2</f>
        <v>1720.6293706293704</v>
      </c>
      <c r="K14" s="26">
        <f>Table2[[#This Row],[estimated infections]]/$T$6</f>
        <v>2.4168283942810207E-2</v>
      </c>
      <c r="L14" s="26">
        <f>Table2[[#This Row],[infection count, low end of estimate range]]/$T$6</f>
        <v>1.1154592588989327E-2</v>
      </c>
      <c r="M14" s="26">
        <f>Table2[[#This Row],[infection count, high end of estimate range]]/$T$6</f>
        <v>2.636540066488386E-2</v>
      </c>
      <c r="N14" s="14">
        <f>Table2[[#This Row],[infection percentage, high end of estimate range]]-Table2[[#This Row],[infection percentage, low end of estimate range]]</f>
        <v>1.5210808075894533E-2</v>
      </c>
      <c r="O14" s="26">
        <f>(Table2[[#This Row],[infection percentage, low end of estimate range]]+Table2[[#This Row],[infection percentage, high end of estimate range]])/2</f>
        <v>1.8759996626936594E-2</v>
      </c>
      <c r="P14" s="12">
        <f>$T$6/(Table2[[#This Row],[cases]]*5)</f>
        <v>68.960902255639098</v>
      </c>
      <c r="Q14" s="12">
        <f>$T$6/(Table2[[#This Row],[cases]]*7)</f>
        <v>49.257787325456498</v>
      </c>
      <c r="R14" s="3">
        <f>Table2[[#This Row],[1-in-X odds, estimating 5x cases infected]]-Table2[[#This Row],[1-in-X odds, estimating 7x cases infected]]</f>
        <v>19.703114930182601</v>
      </c>
      <c r="S14" s="3">
        <f>(Table2[[#This Row],[1-in-X odds, estimating 5x cases infected]]+Table2[[#This Row],[1-in-X odds, estimating 7x cases infected]])/2</f>
        <v>59.109344790547794</v>
      </c>
      <c r="U14" s="34" t="s">
        <v>28</v>
      </c>
      <c r="V14" s="3"/>
    </row>
    <row r="15" spans="1:24" x14ac:dyDescent="0.2">
      <c r="A15" s="8">
        <v>43923</v>
      </c>
      <c r="B15" s="9">
        <v>294</v>
      </c>
      <c r="C15" s="71">
        <f>Table2[[#This Row],[cases]]/$B$2</f>
        <v>3.2054776597832488E-3</v>
      </c>
      <c r="D15" s="26">
        <f>(Table2[[#This Row],[cases]]-B14)/B14</f>
        <v>0.10526315789473684</v>
      </c>
      <c r="E15" s="38">
        <f t="shared" si="0"/>
        <v>6.9256917232261834</v>
      </c>
      <c r="F15" s="81">
        <f>Table2[[#This Row],[cases]]*100/$T$19</f>
        <v>2450</v>
      </c>
      <c r="G15" s="56">
        <f>Table2[[#This Row],[cases]]*100/$T$13</f>
        <v>1130.7692307692307</v>
      </c>
      <c r="H15" s="56">
        <f>Table2[[#This Row],[cases]]*100/$T$16</f>
        <v>2672.7272727272725</v>
      </c>
      <c r="I15" s="56">
        <f>Table2[[#This Row],[infection count, high end of estimate range]]-Table2[[#This Row],[infection count, low end of estimate range]]</f>
        <v>1541.9580419580418</v>
      </c>
      <c r="J15" s="56">
        <f>(Table2[[#This Row],[infection count, low end of estimate range]]+Table2[[#This Row],[infection count, high end of estimate range]])/2</f>
        <v>1901.7482517482517</v>
      </c>
      <c r="K15" s="26">
        <f>Table2[[#This Row],[estimated infections]]/$T$6</f>
        <v>2.6712313831527071E-2</v>
      </c>
      <c r="L15" s="26">
        <f>Table2[[#This Row],[infection count, low end of estimate range]]/$T$6</f>
        <v>1.2328760229935572E-2</v>
      </c>
      <c r="M15" s="26">
        <f>Table2[[#This Row],[infection count, high end of estimate range]]/$T$6</f>
        <v>2.914070599802953E-2</v>
      </c>
      <c r="N15" s="14">
        <f>Table2[[#This Row],[infection percentage, high end of estimate range]]-Table2[[#This Row],[infection percentage, low end of estimate range]]</f>
        <v>1.6811945768093958E-2</v>
      </c>
      <c r="O15" s="26">
        <f>(Table2[[#This Row],[infection percentage, low end of estimate range]]+Table2[[#This Row],[infection percentage, high end of estimate range]])/2</f>
        <v>2.0734733113982551E-2</v>
      </c>
      <c r="P15" s="12">
        <f>$T$6/(Table2[[#This Row],[cases]]*5)</f>
        <v>62.393197278911565</v>
      </c>
      <c r="Q15" s="12">
        <f>$T$6/(Table2[[#This Row],[cases]]*7)</f>
        <v>44.566569484936835</v>
      </c>
      <c r="R15" s="3">
        <f>Table2[[#This Row],[1-in-X odds, estimating 5x cases infected]]-Table2[[#This Row],[1-in-X odds, estimating 7x cases infected]]</f>
        <v>17.82662779397473</v>
      </c>
      <c r="S15" s="3">
        <f>(Table2[[#This Row],[1-in-X odds, estimating 5x cases infected]]+Table2[[#This Row],[1-in-X odds, estimating 7x cases infected]])/2</f>
        <v>53.479883381924196</v>
      </c>
      <c r="T15" s="34" t="s">
        <v>38</v>
      </c>
      <c r="U15" s="27">
        <f ca="1">OFFSET(compute!K4,COUNTA(compute!K:K)-1,0)</f>
        <v>5.9148694912667089E-2</v>
      </c>
      <c r="V15" s="3"/>
    </row>
    <row r="16" spans="1:24" x14ac:dyDescent="0.2">
      <c r="A16" s="8">
        <v>43924</v>
      </c>
      <c r="B16" s="9">
        <v>310</v>
      </c>
      <c r="C16" s="71">
        <f>Table2[[#This Row],[cases]]/$B$2</f>
        <v>3.3799254235809765E-3</v>
      </c>
      <c r="D16" s="26">
        <f>(Table2[[#This Row],[cases]]-B15)/B15</f>
        <v>5.4421768707482991E-2</v>
      </c>
      <c r="E16" s="38">
        <f t="shared" si="0"/>
        <v>13.080092207751859</v>
      </c>
      <c r="F16" s="81">
        <f>Table2[[#This Row],[cases]]*100/$T$19</f>
        <v>2583.3333333333335</v>
      </c>
      <c r="G16" s="56">
        <f>Table2[[#This Row],[cases]]*100/$T$13</f>
        <v>1192.3076923076924</v>
      </c>
      <c r="H16" s="56">
        <f>Table2[[#This Row],[cases]]*100/$T$16</f>
        <v>2818.181818181818</v>
      </c>
      <c r="I16" s="56">
        <f>Table2[[#This Row],[infection count, high end of estimate range]]-Table2[[#This Row],[infection count, low end of estimate range]]</f>
        <v>1625.8741258741256</v>
      </c>
      <c r="J16" s="56">
        <f>(Table2[[#This Row],[infection count, low end of estimate range]]+Table2[[#This Row],[infection count, high end of estimate range]])/2</f>
        <v>2005.2447552447552</v>
      </c>
      <c r="K16" s="26">
        <f>Table2[[#This Row],[estimated infections]]/$T$6</f>
        <v>2.816604519650814E-2</v>
      </c>
      <c r="L16" s="26">
        <f>Table2[[#This Row],[infection count, low end of estimate range]]/$T$6</f>
        <v>1.299971316761914E-2</v>
      </c>
      <c r="M16" s="26">
        <f>Table2[[#This Row],[infection count, high end of estimate range]]/$T$6</f>
        <v>3.0726594759827058E-2</v>
      </c>
      <c r="N16" s="14">
        <f>Table2[[#This Row],[infection percentage, high end of estimate range]]-Table2[[#This Row],[infection percentage, low end of estimate range]]</f>
        <v>1.7726881592207918E-2</v>
      </c>
      <c r="O16" s="26">
        <f>(Table2[[#This Row],[infection percentage, low end of estimate range]]+Table2[[#This Row],[infection percentage, high end of estimate range]])/2</f>
        <v>2.1863153963723098E-2</v>
      </c>
      <c r="P16" s="12">
        <f>$T$6/(Table2[[#This Row],[cases]]*5)</f>
        <v>59.172903225806451</v>
      </c>
      <c r="Q16" s="12">
        <f>$T$6/(Table2[[#This Row],[cases]]*7)</f>
        <v>42.266359447004611</v>
      </c>
      <c r="R16" s="3">
        <f>Table2[[#This Row],[1-in-X odds, estimating 5x cases infected]]-Table2[[#This Row],[1-in-X odds, estimating 7x cases infected]]</f>
        <v>16.90654377880184</v>
      </c>
      <c r="S16" s="3">
        <f>(Table2[[#This Row],[1-in-X odds, estimating 5x cases infected]]+Table2[[#This Row],[1-in-X odds, estimating 7x cases infected]])/2</f>
        <v>50.719631336405527</v>
      </c>
      <c r="T16" s="3">
        <v>11</v>
      </c>
      <c r="V16" s="3"/>
    </row>
    <row r="17" spans="1:22" x14ac:dyDescent="0.2">
      <c r="A17" s="8">
        <v>43925</v>
      </c>
      <c r="B17" s="9">
        <v>347</v>
      </c>
      <c r="C17" s="71">
        <f>Table2[[#This Row],[cases]]/$B$2</f>
        <v>3.7833358773632221E-3</v>
      </c>
      <c r="D17" s="26">
        <f>(Table2[[#This Row],[cases]]-B16)/B16</f>
        <v>0.11935483870967742</v>
      </c>
      <c r="E17" s="38">
        <f t="shared" si="0"/>
        <v>6.1475114816980732</v>
      </c>
      <c r="F17" s="81">
        <f>Table2[[#This Row],[cases]]*100/$T$19</f>
        <v>2891.6666666666665</v>
      </c>
      <c r="G17" s="56">
        <f>Table2[[#This Row],[cases]]*100/$T$13</f>
        <v>1334.6153846153845</v>
      </c>
      <c r="H17" s="56">
        <f>Table2[[#This Row],[cases]]*100/$T$16</f>
        <v>3154.5454545454545</v>
      </c>
      <c r="I17" s="56">
        <f>Table2[[#This Row],[infection count, high end of estimate range]]-Table2[[#This Row],[infection count, low end of estimate range]]</f>
        <v>1819.93006993007</v>
      </c>
      <c r="J17" s="56">
        <f>(Table2[[#This Row],[infection count, low end of estimate range]]+Table2[[#This Row],[infection count, high end of estimate range]])/2</f>
        <v>2244.5804195804194</v>
      </c>
      <c r="K17" s="26">
        <f>Table2[[#This Row],[estimated infections]]/$T$6</f>
        <v>3.152779897802685E-2</v>
      </c>
      <c r="L17" s="26">
        <f>Table2[[#This Row],[infection count, low end of estimate range]]/$T$6</f>
        <v>1.4551291836012392E-2</v>
      </c>
      <c r="M17" s="26">
        <f>Table2[[#This Row],[infection count, high end of estimate range]]/$T$6</f>
        <v>3.4393962521483835E-2</v>
      </c>
      <c r="N17" s="14">
        <f>Table2[[#This Row],[infection percentage, high end of estimate range]]-Table2[[#This Row],[infection percentage, low end of estimate range]]</f>
        <v>1.9842670685471443E-2</v>
      </c>
      <c r="O17" s="26">
        <f>(Table2[[#This Row],[infection percentage, low end of estimate range]]+Table2[[#This Row],[infection percentage, high end of estimate range]])/2</f>
        <v>2.4472627178748114E-2</v>
      </c>
      <c r="P17" s="12">
        <f>$T$6/(Table2[[#This Row],[cases]]*5)</f>
        <v>52.863400576368875</v>
      </c>
      <c r="Q17" s="12">
        <f>$T$6/(Table2[[#This Row],[cases]]*7)</f>
        <v>37.759571840263483</v>
      </c>
      <c r="R17" s="3">
        <f>Table2[[#This Row],[1-in-X odds, estimating 5x cases infected]]-Table2[[#This Row],[1-in-X odds, estimating 7x cases infected]]</f>
        <v>15.103828736105392</v>
      </c>
      <c r="S17" s="3">
        <f>(Table2[[#This Row],[1-in-X odds, estimating 5x cases infected]]+Table2[[#This Row],[1-in-X odds, estimating 7x cases infected]])/2</f>
        <v>45.311486208316182</v>
      </c>
      <c r="U17" s="34" t="s">
        <v>29</v>
      </c>
      <c r="V17" s="3"/>
    </row>
    <row r="18" spans="1:22" x14ac:dyDescent="0.2">
      <c r="A18" s="8">
        <v>43926</v>
      </c>
      <c r="B18" s="9">
        <v>365</v>
      </c>
      <c r="C18" s="71">
        <f>Table2[[#This Row],[cases]]/$B$2</f>
        <v>3.9795896116356661E-3</v>
      </c>
      <c r="D18" s="26">
        <f>(Table2[[#This Row],[cases]]-B17)/B17</f>
        <v>5.1873198847262249E-2</v>
      </c>
      <c r="E18" s="38">
        <f t="shared" si="0"/>
        <v>13.705989842517504</v>
      </c>
      <c r="F18" s="81">
        <f>Table2[[#This Row],[cases]]*100/$T$19</f>
        <v>3041.6666666666665</v>
      </c>
      <c r="G18" s="56">
        <f>Table2[[#This Row],[cases]]*100/$T$13</f>
        <v>1403.8461538461538</v>
      </c>
      <c r="H18" s="56">
        <f>Table2[[#This Row],[cases]]*100/$T$16</f>
        <v>3318.181818181818</v>
      </c>
      <c r="I18" s="56">
        <f>Table2[[#This Row],[infection count, high end of estimate range]]-Table2[[#This Row],[infection count, low end of estimate range]]</f>
        <v>1914.3356643356642</v>
      </c>
      <c r="J18" s="56">
        <f>(Table2[[#This Row],[infection count, low end of estimate range]]+Table2[[#This Row],[infection count, high end of estimate range]])/2</f>
        <v>2361.0139860139861</v>
      </c>
      <c r="K18" s="26">
        <f>Table2[[#This Row],[estimated infections]]/$T$6</f>
        <v>3.3163246763630548E-2</v>
      </c>
      <c r="L18" s="26">
        <f>Table2[[#This Row],[infection count, low end of estimate range]]/$T$6</f>
        <v>1.5306113890906407E-2</v>
      </c>
      <c r="M18" s="26">
        <f>Table2[[#This Row],[infection count, high end of estimate range]]/$T$6</f>
        <v>3.6178087378506051E-2</v>
      </c>
      <c r="N18" s="14">
        <f>Table2[[#This Row],[infection percentage, high end of estimate range]]-Table2[[#This Row],[infection percentage, low end of estimate range]]</f>
        <v>2.0871973487599643E-2</v>
      </c>
      <c r="O18" s="26">
        <f>(Table2[[#This Row],[infection percentage, low end of estimate range]]+Table2[[#This Row],[infection percentage, high end of estimate range]])/2</f>
        <v>2.5742100634706229E-2</v>
      </c>
      <c r="P18" s="12">
        <f>$T$6/(Table2[[#This Row],[cases]]*5)</f>
        <v>50.256438356164381</v>
      </c>
      <c r="Q18" s="12">
        <f>$T$6/(Table2[[#This Row],[cases]]*7)</f>
        <v>35.897455968688845</v>
      </c>
      <c r="R18" s="3">
        <f>Table2[[#This Row],[1-in-X odds, estimating 5x cases infected]]-Table2[[#This Row],[1-in-X odds, estimating 7x cases infected]]</f>
        <v>14.358982387475535</v>
      </c>
      <c r="S18" s="3">
        <f>(Table2[[#This Row],[1-in-X odds, estimating 5x cases infected]]+Table2[[#This Row],[1-in-X odds, estimating 7x cases infected]])/2</f>
        <v>43.076947162426613</v>
      </c>
      <c r="T18" s="34" t="s">
        <v>59</v>
      </c>
      <c r="U18" s="3">
        <f ca="1">OFFSET(compute!S4,COUNTA(compute!S:S)-1,0)</f>
        <v>24.152205398288348</v>
      </c>
      <c r="V18" s="3"/>
    </row>
    <row r="19" spans="1:22" x14ac:dyDescent="0.2">
      <c r="A19" s="8">
        <v>43927</v>
      </c>
      <c r="B19" s="9">
        <v>396</v>
      </c>
      <c r="C19" s="71">
        <f>Table2[[#This Row],[cases]]/$B$2</f>
        <v>4.3175821539937634E-3</v>
      </c>
      <c r="D19" s="26">
        <f>(Table2[[#This Row],[cases]]-B18)/B18</f>
        <v>8.4931506849315067E-2</v>
      </c>
      <c r="E19" s="38">
        <f t="shared" si="0"/>
        <v>8.5031145747675918</v>
      </c>
      <c r="F19" s="81">
        <f>Table2[[#This Row],[cases]]*100/$T$19</f>
        <v>3300</v>
      </c>
      <c r="G19" s="35">
        <f>Table2[[#This Row],[cases]]*100/$T$13</f>
        <v>1523.0769230769231</v>
      </c>
      <c r="H19" s="35">
        <f>Table2[[#This Row],[cases]]*100/$T$16</f>
        <v>3600</v>
      </c>
      <c r="I19" s="35">
        <f>Table2[[#This Row],[infection count, high end of estimate range]]-Table2[[#This Row],[infection count, low end of estimate range]]</f>
        <v>2076.9230769230771</v>
      </c>
      <c r="J19" s="35">
        <f>(Table2[[#This Row],[infection count, low end of estimate range]]+Table2[[#This Row],[infection count, high end of estimate range]])/2</f>
        <v>2561.5384615384614</v>
      </c>
      <c r="K19" s="26">
        <f>Table2[[#This Row],[estimated infections]]/$T$6</f>
        <v>3.5979851283281364E-2</v>
      </c>
      <c r="L19" s="27">
        <f>Table2[[#This Row],[infection count, low end of estimate range]]/$T$6</f>
        <v>1.660608520766832E-2</v>
      </c>
      <c r="M19" s="26">
        <f>Table2[[#This Row],[infection count, high end of estimate range]]/$T$6</f>
        <v>3.9250746854488761E-2</v>
      </c>
      <c r="N19" s="15">
        <f>Table2[[#This Row],[infection percentage, high end of estimate range]]-Table2[[#This Row],[infection percentage, low end of estimate range]]</f>
        <v>2.2644661646820441E-2</v>
      </c>
      <c r="O19" s="27">
        <f>(Table2[[#This Row],[infection percentage, low end of estimate range]]+Table2[[#This Row],[infection percentage, high end of estimate range]])/2</f>
        <v>2.792841603107854E-2</v>
      </c>
      <c r="P19" s="3">
        <f>$T$6/(Table2[[#This Row],[cases]]*5)</f>
        <v>46.322222222222223</v>
      </c>
      <c r="Q19" s="3">
        <f>$T$6/(Table2[[#This Row],[cases]]*7)</f>
        <v>33.087301587301589</v>
      </c>
      <c r="R19" s="3">
        <f>Table2[[#This Row],[1-in-X odds, estimating 5x cases infected]]-Table2[[#This Row],[1-in-X odds, estimating 7x cases infected]]</f>
        <v>13.234920634920634</v>
      </c>
      <c r="S19" s="3">
        <f>(Table2[[#This Row],[1-in-X odds, estimating 5x cases infected]]+Table2[[#This Row],[1-in-X odds, estimating 7x cases infected]])/2</f>
        <v>39.704761904761909</v>
      </c>
      <c r="T19" s="3">
        <v>12</v>
      </c>
      <c r="V19" s="32" t="s">
        <v>23</v>
      </c>
    </row>
    <row r="20" spans="1:22" x14ac:dyDescent="0.2">
      <c r="A20" s="8">
        <v>43928</v>
      </c>
      <c r="B20" s="9">
        <v>428</v>
      </c>
      <c r="C20" s="71">
        <f>Table2[[#This Row],[cases]]/$B$2</f>
        <v>4.6664776815892187E-3</v>
      </c>
      <c r="D20" s="26">
        <f>(Table2[[#This Row],[cases]]-B19)/B19</f>
        <v>8.0808080808080815E-2</v>
      </c>
      <c r="E20" s="38">
        <f t="shared" si="0"/>
        <v>8.9197817544539646</v>
      </c>
      <c r="F20" s="81">
        <f>Table2[[#This Row],[cases]]*100/$T$19</f>
        <v>3566.6666666666665</v>
      </c>
      <c r="G20" s="35">
        <f>Table2[[#This Row],[cases]]*100/$T$13</f>
        <v>1646.1538461538462</v>
      </c>
      <c r="H20" s="35">
        <f>Table2[[#This Row],[cases]]*100/$T$16</f>
        <v>3890.909090909091</v>
      </c>
      <c r="I20" s="35">
        <f>Table2[[#This Row],[infection count, high end of estimate range]]-Table2[[#This Row],[infection count, low end of estimate range]]</f>
        <v>2244.7552447552448</v>
      </c>
      <c r="J20" s="35">
        <f>(Table2[[#This Row],[infection count, low end of estimate range]]+Table2[[#This Row],[infection count, high end of estimate range]])/2</f>
        <v>2768.5314685314688</v>
      </c>
      <c r="K20" s="26">
        <f>Table2[[#This Row],[estimated infections]]/$T$6</f>
        <v>3.8887314013243489E-2</v>
      </c>
      <c r="L20" s="27">
        <f>Table2[[#This Row],[infection count, low end of estimate range]]/$T$6</f>
        <v>1.7947991083035457E-2</v>
      </c>
      <c r="M20" s="26">
        <f>Table2[[#This Row],[infection count, high end of estimate range]]/$T$6</f>
        <v>4.242252437808381E-2</v>
      </c>
      <c r="N20" s="15">
        <f>Table2[[#This Row],[infection percentage, high end of estimate range]]-Table2[[#This Row],[infection percentage, low end of estimate range]]</f>
        <v>2.4474533295048354E-2</v>
      </c>
      <c r="O20" s="27">
        <f>(Table2[[#This Row],[infection percentage, low end of estimate range]]+Table2[[#This Row],[infection percentage, high end of estimate range]])/2</f>
        <v>3.0185257730559634E-2</v>
      </c>
      <c r="P20" s="3">
        <f>$T$6/(Table2[[#This Row],[cases]]*5)</f>
        <v>42.858878504672894</v>
      </c>
      <c r="Q20" s="3">
        <f>$T$6/(Table2[[#This Row],[cases]]*7)</f>
        <v>30.613484646194927</v>
      </c>
      <c r="R20" s="3">
        <f>Table2[[#This Row],[1-in-X odds, estimating 5x cases infected]]-Table2[[#This Row],[1-in-X odds, estimating 7x cases infected]]</f>
        <v>12.245393858477968</v>
      </c>
      <c r="S20" s="3">
        <f>(Table2[[#This Row],[1-in-X odds, estimating 5x cases infected]]+Table2[[#This Row],[1-in-X odds, estimating 7x cases infected]])/2</f>
        <v>36.73618157543391</v>
      </c>
      <c r="U20" s="34" t="s">
        <v>30</v>
      </c>
      <c r="V20" s="66" t="s">
        <v>22</v>
      </c>
    </row>
    <row r="21" spans="1:22" x14ac:dyDescent="0.2">
      <c r="A21" s="8">
        <v>43929</v>
      </c>
      <c r="B21" s="9">
        <v>454</v>
      </c>
      <c r="C21" s="71">
        <f>Table2[[#This Row],[cases]]/$B$2</f>
        <v>4.949955297760527E-3</v>
      </c>
      <c r="D21" s="26">
        <f>(Table2[[#This Row],[cases]]-B20)/B20</f>
        <v>6.0747663551401869E-2</v>
      </c>
      <c r="E21" s="38">
        <f t="shared" si="0"/>
        <v>11.753436288055184</v>
      </c>
      <c r="F21" s="81">
        <f>Table2[[#This Row],[cases]]*100/$T$19</f>
        <v>3783.3333333333335</v>
      </c>
      <c r="G21" s="35">
        <f>Table2[[#This Row],[cases]]*100/$T$13</f>
        <v>1746.1538461538462</v>
      </c>
      <c r="H21" s="35">
        <f>Table2[[#This Row],[cases]]*100/$T$16</f>
        <v>4127.272727272727</v>
      </c>
      <c r="I21" s="35">
        <f>Table2[[#This Row],[infection count, high end of estimate range]]-Table2[[#This Row],[infection count, low end of estimate range]]</f>
        <v>2381.1188811188808</v>
      </c>
      <c r="J21" s="35">
        <f>(Table2[[#This Row],[infection count, low end of estimate range]]+Table2[[#This Row],[infection count, high end of estimate range]])/2</f>
        <v>2936.7132867132868</v>
      </c>
      <c r="K21" s="26">
        <f>Table2[[#This Row],[estimated infections]]/$T$6</f>
        <v>4.1249627481337724E-2</v>
      </c>
      <c r="L21" s="27">
        <f>Table2[[#This Row],[infection count, low end of estimate range]]/$T$6</f>
        <v>1.9038289606771258E-2</v>
      </c>
      <c r="M21" s="27">
        <f>Table2[[#This Row],[infection count, high end of estimate range]]/$T$6</f>
        <v>4.4999593616004786E-2</v>
      </c>
      <c r="N21" s="15">
        <f>Table2[[#This Row],[infection percentage, high end of estimate range]]-Table2[[#This Row],[infection percentage, low end of estimate range]]</f>
        <v>2.5961304009233528E-2</v>
      </c>
      <c r="O21" s="27">
        <f>(Table2[[#This Row],[infection percentage, low end of estimate range]]+Table2[[#This Row],[infection percentage, high end of estimate range]])/2</f>
        <v>3.2018941611388019E-2</v>
      </c>
      <c r="P21" s="3">
        <f>$T$6/(Table2[[#This Row],[cases]]*5)</f>
        <v>40.404405286343611</v>
      </c>
      <c r="Q21" s="3">
        <f>$T$6/(Table2[[#This Row],[cases]]*7)</f>
        <v>28.860289490245439</v>
      </c>
      <c r="R21" s="3">
        <f>Table2[[#This Row],[1-in-X odds, estimating 5x cases infected]]-Table2[[#This Row],[1-in-X odds, estimating 7x cases infected]]</f>
        <v>11.544115796098172</v>
      </c>
      <c r="S21" s="3">
        <f>(Table2[[#This Row],[1-in-X odds, estimating 5x cases infected]]+Table2[[#This Row],[1-in-X odds, estimating 7x cases infected]])/2</f>
        <v>34.632347388294527</v>
      </c>
      <c r="U21" s="3">
        <f ca="1">OFFSET(compute!E4,COUNTA(compute!E:E)-1,0)</f>
        <v>44.776413697177858</v>
      </c>
      <c r="V21" s="31"/>
    </row>
    <row r="22" spans="1:22" x14ac:dyDescent="0.2">
      <c r="A22" s="8">
        <v>43930</v>
      </c>
      <c r="B22" s="9">
        <v>468</v>
      </c>
      <c r="C22" s="71">
        <f>Table2[[#This Row],[cases]]/$B$2</f>
        <v>5.1025970910835387E-3</v>
      </c>
      <c r="D22" s="26">
        <f>(Table2[[#This Row],[cases]]-B21)/B21</f>
        <v>3.0837004405286344E-2</v>
      </c>
      <c r="E22" s="38">
        <f t="shared" ref="E22" si="1">(LN(2)/LN(B22/B21))</f>
        <v>22.822592169144759</v>
      </c>
      <c r="F22" s="81">
        <f>Table2[[#This Row],[cases]]*100/$T$19</f>
        <v>3900</v>
      </c>
      <c r="G22" s="35">
        <f>Table2[[#This Row],[cases]]*100/$T$13</f>
        <v>1800</v>
      </c>
      <c r="H22" s="35">
        <f>Table2[[#This Row],[cases]]*100/$T$16</f>
        <v>4254.545454545455</v>
      </c>
      <c r="I22" s="35">
        <f>Table2[[#This Row],[infection count, high end of estimate range]]-Table2[[#This Row],[infection count, low end of estimate range]]</f>
        <v>2454.545454545455</v>
      </c>
      <c r="J22" s="35">
        <f>(Table2[[#This Row],[infection count, low end of estimate range]]+Table2[[#This Row],[infection count, high end of estimate range]])/2</f>
        <v>3027.2727272727275</v>
      </c>
      <c r="K22" s="26">
        <f>Table2[[#This Row],[estimated infections]]/$T$6</f>
        <v>4.2521642425696157E-2</v>
      </c>
      <c r="L22" s="27">
        <f>Table2[[#This Row],[infection count, low end of estimate range]]/$T$6</f>
        <v>1.962537342724438E-2</v>
      </c>
      <c r="M22" s="27">
        <f>Table2[[#This Row],[infection count, high end of estimate range]]/$T$6</f>
        <v>4.6387246282577628E-2</v>
      </c>
      <c r="N22" s="15">
        <f>Table2[[#This Row],[infection percentage, high end of estimate range]]-Table2[[#This Row],[infection percentage, low end of estimate range]]</f>
        <v>2.6761872855333248E-2</v>
      </c>
      <c r="O22" s="27">
        <f>(Table2[[#This Row],[infection percentage, low end of estimate range]]+Table2[[#This Row],[infection percentage, high end of estimate range]])/2</f>
        <v>3.3006309854911001E-2</v>
      </c>
      <c r="P22" s="3">
        <f>$T$6/(Table2[[#This Row],[cases]]*5)</f>
        <v>39.195726495726497</v>
      </c>
      <c r="Q22" s="3">
        <f>$T$6/(Table2[[#This Row],[cases]]*7)</f>
        <v>27.996947496947495</v>
      </c>
      <c r="R22" s="3">
        <f>Table2[[#This Row],[1-in-X odds, estimating 5x cases infected]]-Table2[[#This Row],[1-in-X odds, estimating 7x cases infected]]</f>
        <v>11.198778998779002</v>
      </c>
      <c r="S22" s="3">
        <f>(Table2[[#This Row],[1-in-X odds, estimating 5x cases infected]]+Table2[[#This Row],[1-in-X odds, estimating 7x cases infected]])/2</f>
        <v>33.596336996336994</v>
      </c>
      <c r="V22" s="31"/>
    </row>
    <row r="23" spans="1:22" x14ac:dyDescent="0.2">
      <c r="A23" s="8">
        <v>43931</v>
      </c>
      <c r="B23" s="9">
        <v>493</v>
      </c>
      <c r="C23" s="71">
        <f>Table2[[#This Row],[cases]]/$B$2</f>
        <v>5.3751717220174881E-3</v>
      </c>
      <c r="D23" s="26">
        <f>(Table2[[#This Row],[cases]]-B22)/B22</f>
        <v>5.3418803418803416E-2</v>
      </c>
      <c r="E23" s="38">
        <f t="shared" ref="E23" si="2">(LN(2)/LN(B23/B22))</f>
        <v>13.319282947041303</v>
      </c>
      <c r="F23" s="81">
        <f>Table2[[#This Row],[cases]]*100/$T$19</f>
        <v>4108.333333333333</v>
      </c>
      <c r="G23" s="35">
        <f>Table2[[#This Row],[cases]]*100/$T$13</f>
        <v>1896.1538461538462</v>
      </c>
      <c r="H23" s="35">
        <f>Table2[[#This Row],[cases]]*100/$T$16</f>
        <v>4481.818181818182</v>
      </c>
      <c r="I23" s="35">
        <f>Table2[[#This Row],[infection count, high end of estimate range]]-Table2[[#This Row],[infection count, low end of estimate range]]</f>
        <v>2585.6643356643358</v>
      </c>
      <c r="J23" s="35">
        <f>(Table2[[#This Row],[infection count, low end of estimate range]]+Table2[[#This Row],[infection count, high end of estimate range]])/2</f>
        <v>3188.9860139860139</v>
      </c>
      <c r="K23" s="26">
        <f>Table2[[#This Row],[estimated infections]]/$T$6</f>
        <v>4.4793097683479069E-2</v>
      </c>
      <c r="L23" s="27">
        <f>Table2[[#This Row],[infection count, low end of estimate range]]/$T$6</f>
        <v>2.0673737392374957E-2</v>
      </c>
      <c r="M23" s="27">
        <f>Table2[[#This Row],[infection count, high end of estimate range]]/$T$6</f>
        <v>4.8865197472886257E-2</v>
      </c>
      <c r="N23" s="15">
        <f>Table2[[#This Row],[infection percentage, high end of estimate range]]-Table2[[#This Row],[infection percentage, low end of estimate range]]</f>
        <v>2.8191460080511301E-2</v>
      </c>
      <c r="O23" s="27">
        <f>(Table2[[#This Row],[infection percentage, low end of estimate range]]+Table2[[#This Row],[infection percentage, high end of estimate range]])/2</f>
        <v>3.476946743263061E-2</v>
      </c>
      <c r="P23" s="3">
        <f>$T$6/(Table2[[#This Row],[cases]]*5)</f>
        <v>37.208113590263693</v>
      </c>
      <c r="Q23" s="3">
        <f>$T$6/(Table2[[#This Row],[cases]]*7)</f>
        <v>26.577223993045493</v>
      </c>
      <c r="R23" s="3">
        <f>Table2[[#This Row],[1-in-X odds, estimating 5x cases infected]]-Table2[[#This Row],[1-in-X odds, estimating 7x cases infected]]</f>
        <v>10.6308895972182</v>
      </c>
      <c r="S23" s="3">
        <f>(Table2[[#This Row],[1-in-X odds, estimating 5x cases infected]]+Table2[[#This Row],[1-in-X odds, estimating 7x cases infected]])/2</f>
        <v>31.892668791654593</v>
      </c>
      <c r="V23" s="31" t="s">
        <v>48</v>
      </c>
    </row>
    <row r="24" spans="1:22" x14ac:dyDescent="0.2">
      <c r="A24" s="8">
        <v>43932</v>
      </c>
      <c r="B24" s="9">
        <v>520</v>
      </c>
      <c r="C24" s="71">
        <f>Table2[[#This Row],[cases]]/$B$2</f>
        <v>5.6695523234261544E-3</v>
      </c>
      <c r="D24" s="26">
        <f>(Table2[[#This Row],[cases]]-B23)/B23</f>
        <v>5.4766734279918863E-2</v>
      </c>
      <c r="E24" s="38">
        <f t="shared" ref="E24" si="3">(LN(2)/LN(B24/B23))</f>
        <v>12.999847947836686</v>
      </c>
      <c r="F24" s="81">
        <f>Table2[[#This Row],[cases]]*100/$T$19</f>
        <v>4333.333333333333</v>
      </c>
      <c r="G24" s="35">
        <f>Table2[[#This Row],[cases]]*100/$T$13</f>
        <v>2000</v>
      </c>
      <c r="H24" s="35">
        <f>Table2[[#This Row],[cases]]*100/$T$16</f>
        <v>4727.272727272727</v>
      </c>
      <c r="I24" s="35">
        <f>Table2[[#This Row],[infection count, high end of estimate range]]-Table2[[#This Row],[infection count, low end of estimate range]]</f>
        <v>2727.272727272727</v>
      </c>
      <c r="J24" s="35">
        <f>(Table2[[#This Row],[infection count, low end of estimate range]]+Table2[[#This Row],[infection count, high end of estimate range]])/2</f>
        <v>3363.6363636363635</v>
      </c>
      <c r="K24" s="26">
        <f>Table2[[#This Row],[estimated infections]]/$T$6</f>
        <v>4.7246269361884613E-2</v>
      </c>
      <c r="L24" s="27">
        <f>Table2[[#This Row],[infection count, low end of estimate range]]/$T$6</f>
        <v>2.1805970474715976E-2</v>
      </c>
      <c r="M24" s="27">
        <f>Table2[[#This Row],[infection count, high end of estimate range]]/$T$6</f>
        <v>5.154138475841958E-2</v>
      </c>
      <c r="N24" s="15">
        <f>Table2[[#This Row],[infection percentage, high end of estimate range]]-Table2[[#This Row],[infection percentage, low end of estimate range]]</f>
        <v>2.9735414283703604E-2</v>
      </c>
      <c r="O24" s="27">
        <f>(Table2[[#This Row],[infection percentage, low end of estimate range]]+Table2[[#This Row],[infection percentage, high end of estimate range]])/2</f>
        <v>3.6673677616567778E-2</v>
      </c>
      <c r="P24" s="3">
        <f>$T$6/(Table2[[#This Row],[cases]]*5)</f>
        <v>35.276153846153846</v>
      </c>
      <c r="Q24" s="3">
        <f>$T$6/(Table2[[#This Row],[cases]]*7)</f>
        <v>25.197252747252747</v>
      </c>
      <c r="R24" s="3">
        <f>Table2[[#This Row],[1-in-X odds, estimating 5x cases infected]]-Table2[[#This Row],[1-in-X odds, estimating 7x cases infected]]</f>
        <v>10.078901098901099</v>
      </c>
      <c r="S24" s="3">
        <f>(Table2[[#This Row],[1-in-X odds, estimating 5x cases infected]]+Table2[[#This Row],[1-in-X odds, estimating 7x cases infected]])/2</f>
        <v>30.236703296703297</v>
      </c>
      <c r="V24" s="31"/>
    </row>
    <row r="25" spans="1:22" x14ac:dyDescent="0.2">
      <c r="A25" s="8">
        <v>43933</v>
      </c>
      <c r="B25" s="9">
        <v>535</v>
      </c>
      <c r="C25" s="71">
        <f>Table2[[#This Row],[cases]]/$B$2</f>
        <v>5.833097101986524E-3</v>
      </c>
      <c r="D25" s="26">
        <f>(Table2[[#This Row],[cases]]-B24)/B24</f>
        <v>2.8846153846153848E-2</v>
      </c>
      <c r="E25" s="38">
        <f t="shared" ref="E25" si="4">(LN(2)/LN(B25/B24))</f>
        <v>24.37403323227419</v>
      </c>
      <c r="F25" s="81">
        <f>Table2[[#This Row],[cases]]*100/$T$19</f>
        <v>4458.333333333333</v>
      </c>
      <c r="G25" s="35">
        <f>Table2[[#This Row],[cases]]*100/$T$13</f>
        <v>2057.6923076923076</v>
      </c>
      <c r="H25" s="35">
        <f>Table2[[#This Row],[cases]]*100/$T$16</f>
        <v>4863.636363636364</v>
      </c>
      <c r="I25" s="35">
        <f>Table2[[#This Row],[infection count, high end of estimate range]]-Table2[[#This Row],[infection count, low end of estimate range]]</f>
        <v>2805.9440559440563</v>
      </c>
      <c r="J25" s="35">
        <f>(Table2[[#This Row],[infection count, low end of estimate range]]+Table2[[#This Row],[infection count, high end of estimate range]])/2</f>
        <v>3460.6643356643358</v>
      </c>
      <c r="K25" s="26">
        <f>Table2[[#This Row],[estimated infections]]/$T$6</f>
        <v>4.8609142516554363E-2</v>
      </c>
      <c r="L25" s="27">
        <f>Table2[[#This Row],[infection count, low end of estimate range]]/$T$6</f>
        <v>2.2434988853794323E-2</v>
      </c>
      <c r="M25" s="27">
        <f>Table2[[#This Row],[infection count, high end of estimate range]]/$T$6</f>
        <v>5.3028155472604768E-2</v>
      </c>
      <c r="N25" s="15">
        <f>Table2[[#This Row],[infection percentage, high end of estimate range]]-Table2[[#This Row],[infection percentage, low end of estimate range]]</f>
        <v>3.0593166618810445E-2</v>
      </c>
      <c r="O25" s="27">
        <f>(Table2[[#This Row],[infection percentage, low end of estimate range]]+Table2[[#This Row],[infection percentage, high end of estimate range]])/2</f>
        <v>3.7731572163199542E-2</v>
      </c>
      <c r="P25" s="3">
        <f>$T$6/(Table2[[#This Row],[cases]]*5)</f>
        <v>34.287102803738321</v>
      </c>
      <c r="Q25" s="3">
        <f>$T$6/(Table2[[#This Row],[cases]]*7)</f>
        <v>24.490787716955943</v>
      </c>
      <c r="R25" s="3">
        <f>Table2[[#This Row],[1-in-X odds, estimating 5x cases infected]]-Table2[[#This Row],[1-in-X odds, estimating 7x cases infected]]</f>
        <v>9.7963150867823785</v>
      </c>
      <c r="S25" s="3">
        <f>(Table2[[#This Row],[1-in-X odds, estimating 5x cases infected]]+Table2[[#This Row],[1-in-X odds, estimating 7x cases infected]])/2</f>
        <v>29.388945260347132</v>
      </c>
      <c r="V25" s="31"/>
    </row>
    <row r="26" spans="1:22" x14ac:dyDescent="0.2">
      <c r="A26" s="8">
        <v>43934</v>
      </c>
      <c r="B26" s="9">
        <v>561</v>
      </c>
      <c r="C26" s="71">
        <f>Table2[[#This Row],[cases]]/$B$2</f>
        <v>6.1165747181578314E-3</v>
      </c>
      <c r="D26" s="26">
        <f>(Table2[[#This Row],[cases]]-B25)/B25</f>
        <v>4.8598130841121495E-2</v>
      </c>
      <c r="E26" s="38">
        <f t="shared" ref="E26" si="5">(LN(2)/LN(B26/B25))</f>
        <v>14.606668848830834</v>
      </c>
      <c r="F26" s="81">
        <f>Table2[[#This Row],[cases]]*100/$T$19</f>
        <v>4675</v>
      </c>
      <c r="G26" s="35">
        <f>Table2[[#This Row],[cases]]*100/$T$13</f>
        <v>2157.6923076923076</v>
      </c>
      <c r="H26" s="35">
        <f>Table2[[#This Row],[cases]]*100/$T$16</f>
        <v>5100</v>
      </c>
      <c r="I26" s="35">
        <f>Table2[[#This Row],[infection count, high end of estimate range]]-Table2[[#This Row],[infection count, low end of estimate range]]</f>
        <v>2942.3076923076924</v>
      </c>
      <c r="J26" s="35">
        <f>(Table2[[#This Row],[infection count, low end of estimate range]]+Table2[[#This Row],[infection count, high end of estimate range]])/2</f>
        <v>3628.8461538461538</v>
      </c>
      <c r="K26" s="26">
        <f>Table2[[#This Row],[estimated infections]]/$T$6</f>
        <v>5.0971455984648598E-2</v>
      </c>
      <c r="L26" s="27">
        <f>Table2[[#This Row],[infection count, low end of estimate range]]/$T$6</f>
        <v>2.3525287377530121E-2</v>
      </c>
      <c r="M26" s="27">
        <f>Table2[[#This Row],[infection count, high end of estimate range]]/$T$6</f>
        <v>5.5605224710525744E-2</v>
      </c>
      <c r="N26" s="15">
        <f>Table2[[#This Row],[infection percentage, high end of estimate range]]-Table2[[#This Row],[infection percentage, low end of estimate range]]</f>
        <v>3.207993733299562E-2</v>
      </c>
      <c r="O26" s="27">
        <f>(Table2[[#This Row],[infection percentage, low end of estimate range]]+Table2[[#This Row],[infection percentage, high end of estimate range]])/2</f>
        <v>3.9565256044027934E-2</v>
      </c>
      <c r="P26" s="3">
        <f>$T$6/(Table2[[#This Row],[cases]]*5)</f>
        <v>32.698039215686272</v>
      </c>
      <c r="Q26" s="3">
        <f>$T$6/(Table2[[#This Row],[cases]]*7)</f>
        <v>23.355742296918766</v>
      </c>
      <c r="R26" s="3">
        <f>Table2[[#This Row],[1-in-X odds, estimating 5x cases infected]]-Table2[[#This Row],[1-in-X odds, estimating 7x cases infected]]</f>
        <v>9.3422969187675058</v>
      </c>
      <c r="S26" s="3">
        <f>(Table2[[#This Row],[1-in-X odds, estimating 5x cases infected]]+Table2[[#This Row],[1-in-X odds, estimating 7x cases infected]])/2</f>
        <v>28.026890756302521</v>
      </c>
      <c r="V26" s="31"/>
    </row>
    <row r="27" spans="1:22" x14ac:dyDescent="0.2">
      <c r="A27" s="8">
        <v>43935</v>
      </c>
      <c r="B27" s="9">
        <v>568</v>
      </c>
      <c r="C27" s="71">
        <f>Table2[[#This Row],[cases]]/$B$2</f>
        <v>6.1928956148193373E-3</v>
      </c>
      <c r="D27" s="26">
        <f>(Table2[[#This Row],[cases]]-B26)/B26</f>
        <v>1.2477718360071301E-2</v>
      </c>
      <c r="E27" s="38">
        <f t="shared" ref="E27" si="6">(LN(2)/LN(B27/B26))</f>
        <v>55.896652780975636</v>
      </c>
      <c r="F27" s="81">
        <f>Table2[[#This Row],[cases]]*100/$T$19</f>
        <v>4733.333333333333</v>
      </c>
      <c r="G27" s="35">
        <f>Table2[[#This Row],[cases]]*100/$T$13</f>
        <v>2184.6153846153848</v>
      </c>
      <c r="H27" s="35">
        <f>Table2[[#This Row],[cases]]*100/$T$16</f>
        <v>5163.636363636364</v>
      </c>
      <c r="I27" s="35">
        <f>Table2[[#This Row],[infection count, high end of estimate range]]-Table2[[#This Row],[infection count, low end of estimate range]]</f>
        <v>2979.0209790209792</v>
      </c>
      <c r="J27" s="35">
        <f>(Table2[[#This Row],[infection count, low end of estimate range]]+Table2[[#This Row],[infection count, high end of estimate range]])/2</f>
        <v>3674.1258741258744</v>
      </c>
      <c r="K27" s="26">
        <f>Table2[[#This Row],[estimated infections]]/$T$6</f>
        <v>5.1607463456827811E-2</v>
      </c>
      <c r="L27" s="27">
        <f>Table2[[#This Row],[infection count, low end of estimate range]]/$T$6</f>
        <v>2.3818829287766685E-2</v>
      </c>
      <c r="M27" s="27">
        <f>Table2[[#This Row],[infection count, high end of estimate range]]/$T$6</f>
        <v>5.6299051043812165E-2</v>
      </c>
      <c r="N27" s="15">
        <f>Table2[[#This Row],[infection percentage, high end of estimate range]]-Table2[[#This Row],[infection percentage, low end of estimate range]]</f>
        <v>3.248022175604548E-2</v>
      </c>
      <c r="O27" s="27">
        <f>(Table2[[#This Row],[infection percentage, low end of estimate range]]+Table2[[#This Row],[infection percentage, high end of estimate range]])/2</f>
        <v>4.0058940165789425E-2</v>
      </c>
      <c r="P27" s="3">
        <f>$T$6/(Table2[[#This Row],[cases]]*5)</f>
        <v>32.295070422535211</v>
      </c>
      <c r="Q27" s="3">
        <f>$T$6/(Table2[[#This Row],[cases]]*7)</f>
        <v>23.067907444668009</v>
      </c>
      <c r="R27" s="3">
        <f>Table2[[#This Row],[1-in-X odds, estimating 5x cases infected]]-Table2[[#This Row],[1-in-X odds, estimating 7x cases infected]]</f>
        <v>9.2271629778672022</v>
      </c>
      <c r="S27" s="3">
        <f>(Table2[[#This Row],[1-in-X odds, estimating 5x cases infected]]+Table2[[#This Row],[1-in-X odds, estimating 7x cases infected]])/2</f>
        <v>27.68148893360161</v>
      </c>
      <c r="V27" s="31"/>
    </row>
    <row r="28" spans="1:22" x14ac:dyDescent="0.2">
      <c r="A28" s="8">
        <v>43936</v>
      </c>
      <c r="B28" s="9">
        <v>583</v>
      </c>
      <c r="C28" s="71">
        <f>Table2[[#This Row],[cases]]/$B$2</f>
        <v>6.3564403933797069E-3</v>
      </c>
      <c r="D28" s="26">
        <f>(Table2[[#This Row],[cases]]-B27)/B27</f>
        <v>2.6408450704225352E-2</v>
      </c>
      <c r="E28" s="38">
        <f t="shared" ref="E28" si="7">(LN(2)/LN(B28/B27))</f>
        <v>26.592241226753817</v>
      </c>
      <c r="F28" s="81">
        <f>Table2[[#This Row],[cases]]*100/$T$19</f>
        <v>4858.333333333333</v>
      </c>
      <c r="G28" s="35">
        <f>Table2[[#This Row],[cases]]*100/$T$13</f>
        <v>2242.3076923076924</v>
      </c>
      <c r="H28" s="35">
        <f>Table2[[#This Row],[cases]]*100/$T$16</f>
        <v>5300</v>
      </c>
      <c r="I28" s="35">
        <f>Table2[[#This Row],[infection count, high end of estimate range]]-Table2[[#This Row],[infection count, low end of estimate range]]</f>
        <v>3057.6923076923076</v>
      </c>
      <c r="J28" s="35">
        <f>(Table2[[#This Row],[infection count, low end of estimate range]]+Table2[[#This Row],[infection count, high end of estimate range]])/2</f>
        <v>3771.1538461538462</v>
      </c>
      <c r="K28" s="26">
        <f>Table2[[#This Row],[estimated infections]]/$T$6</f>
        <v>5.2970336611497561E-2</v>
      </c>
      <c r="L28" s="27">
        <f>Table2[[#This Row],[infection count, low end of estimate range]]/$T$6</f>
        <v>2.4447847666845029E-2</v>
      </c>
      <c r="M28" s="27">
        <f>Table2[[#This Row],[infection count, high end of estimate range]]/$T$6</f>
        <v>5.778582175799734E-2</v>
      </c>
      <c r="N28" s="15">
        <f>Table2[[#This Row],[infection percentage, high end of estimate range]]-Table2[[#This Row],[infection percentage, low end of estimate range]]</f>
        <v>3.3337974091152314E-2</v>
      </c>
      <c r="O28" s="27">
        <f>(Table2[[#This Row],[infection percentage, low end of estimate range]]+Table2[[#This Row],[infection percentage, high end of estimate range]])/2</f>
        <v>4.1116834712421182E-2</v>
      </c>
      <c r="P28" s="3">
        <f>$T$6/(Table2[[#This Row],[cases]]*5)</f>
        <v>31.464150943396227</v>
      </c>
      <c r="Q28" s="3">
        <f>$T$6/(Table2[[#This Row],[cases]]*7)</f>
        <v>22.474393530997304</v>
      </c>
      <c r="R28" s="3">
        <f>Table2[[#This Row],[1-in-X odds, estimating 5x cases infected]]-Table2[[#This Row],[1-in-X odds, estimating 7x cases infected]]</f>
        <v>8.989757412398923</v>
      </c>
      <c r="S28" s="3">
        <f>(Table2[[#This Row],[1-in-X odds, estimating 5x cases infected]]+Table2[[#This Row],[1-in-X odds, estimating 7x cases infected]])/2</f>
        <v>26.969272237196765</v>
      </c>
      <c r="V28" s="31"/>
    </row>
    <row r="29" spans="1:22" x14ac:dyDescent="0.2">
      <c r="A29" s="8">
        <v>43937</v>
      </c>
      <c r="B29" s="9">
        <v>587</v>
      </c>
      <c r="C29" s="71">
        <f>Table2[[#This Row],[cases]]/$B$2</f>
        <v>6.4000523343291397E-3</v>
      </c>
      <c r="D29" s="26">
        <f>(Table2[[#This Row],[cases]]-B28)/B28</f>
        <v>6.8610634648370496E-3</v>
      </c>
      <c r="E29" s="38">
        <f t="shared" ref="E29:E30" si="8">(LN(2)/LN(B29/B28))</f>
        <v>101.37238020000403</v>
      </c>
      <c r="F29" s="81">
        <f>Table2[[#This Row],[cases]]*100/$T$19</f>
        <v>4891.666666666667</v>
      </c>
      <c r="G29" s="35">
        <f>Table2[[#This Row],[cases]]*100/$T$13</f>
        <v>2257.6923076923076</v>
      </c>
      <c r="H29" s="35">
        <f>Table2[[#This Row],[cases]]*100/$T$16</f>
        <v>5336.363636363636</v>
      </c>
      <c r="I29" s="35">
        <f>Table2[[#This Row],[infection count, high end of estimate range]]-Table2[[#This Row],[infection count, low end of estimate range]]</f>
        <v>3078.6713286713284</v>
      </c>
      <c r="J29" s="35">
        <f>(Table2[[#This Row],[infection count, low end of estimate range]]+Table2[[#This Row],[infection count, high end of estimate range]])/2</f>
        <v>3797.0279720279718</v>
      </c>
      <c r="K29" s="26">
        <f>Table2[[#This Row],[estimated infections]]/$T$6</f>
        <v>5.3333769452742832E-2</v>
      </c>
      <c r="L29" s="27">
        <f>Table2[[#This Row],[infection count, low end of estimate range]]/$T$6</f>
        <v>2.4615585901265918E-2</v>
      </c>
      <c r="M29" s="27">
        <f>Table2[[#This Row],[infection count, high end of estimate range]]/$T$6</f>
        <v>5.818229394844672E-2</v>
      </c>
      <c r="N29" s="15">
        <f>Table2[[#This Row],[infection percentage, high end of estimate range]]-Table2[[#This Row],[infection percentage, low end of estimate range]]</f>
        <v>3.3566708047180802E-2</v>
      </c>
      <c r="O29" s="27">
        <f>(Table2[[#This Row],[infection percentage, low end of estimate range]]+Table2[[#This Row],[infection percentage, high end of estimate range]])/2</f>
        <v>4.1398939924856319E-2</v>
      </c>
      <c r="P29" s="3">
        <f>$T$6/(Table2[[#This Row],[cases]]*5)</f>
        <v>31.249744463373084</v>
      </c>
      <c r="Q29" s="3">
        <f>$T$6/(Table2[[#This Row],[cases]]*7)</f>
        <v>22.321246045266488</v>
      </c>
      <c r="R29" s="3">
        <f>Table2[[#This Row],[1-in-X odds, estimating 5x cases infected]]-Table2[[#This Row],[1-in-X odds, estimating 7x cases infected]]</f>
        <v>8.9284984181065958</v>
      </c>
      <c r="S29" s="3">
        <f>(Table2[[#This Row],[1-in-X odds, estimating 5x cases infected]]+Table2[[#This Row],[1-in-X odds, estimating 7x cases infected]])/2</f>
        <v>26.785495254319784</v>
      </c>
      <c r="V29" s="31"/>
    </row>
    <row r="30" spans="1:22" x14ac:dyDescent="0.2">
      <c r="A30" s="8">
        <v>43938</v>
      </c>
      <c r="B30" s="9">
        <v>607</v>
      </c>
      <c r="C30" s="71">
        <f>Table2[[#This Row],[cases]]/$B$2</f>
        <v>6.6181120390762993E-3</v>
      </c>
      <c r="D30" s="26">
        <f>(Table2[[#This Row],[cases]]-B29)/B29</f>
        <v>3.4071550255536626E-2</v>
      </c>
      <c r="E30" s="38">
        <f t="shared" si="8"/>
        <v>20.688508110653103</v>
      </c>
      <c r="F30" s="81">
        <f>Table2[[#This Row],[cases]]*100/$T$19</f>
        <v>5058.333333333333</v>
      </c>
      <c r="G30" s="35">
        <f>Table2[[#This Row],[cases]]*100/$T$13</f>
        <v>2334.6153846153848</v>
      </c>
      <c r="H30" s="35">
        <f>Table2[[#This Row],[cases]]*100/$T$16</f>
        <v>5518.181818181818</v>
      </c>
      <c r="I30" s="35">
        <f>Table2[[#This Row],[infection count, high end of estimate range]]-Table2[[#This Row],[infection count, low end of estimate range]]</f>
        <v>3183.5664335664333</v>
      </c>
      <c r="J30" s="35">
        <f>(Table2[[#This Row],[infection count, low end of estimate range]]+Table2[[#This Row],[infection count, high end of estimate range]])/2</f>
        <v>3926.3986013986014</v>
      </c>
      <c r="K30" s="26">
        <f>Table2[[#This Row],[estimated infections]]/$T$6</f>
        <v>5.5150933658969156E-2</v>
      </c>
      <c r="L30" s="27">
        <f>Table2[[#This Row],[infection count, low end of estimate range]]/$T$6</f>
        <v>2.5454277073370384E-2</v>
      </c>
      <c r="M30" s="27">
        <f>Table2[[#This Row],[infection count, high end of estimate range]]/$T$6</f>
        <v>6.0164654900693629E-2</v>
      </c>
      <c r="N30" s="15">
        <f>Table2[[#This Row],[infection percentage, high end of estimate range]]-Table2[[#This Row],[infection percentage, low end of estimate range]]</f>
        <v>3.4710377827323245E-2</v>
      </c>
      <c r="O30" s="27">
        <f>(Table2[[#This Row],[infection percentage, low end of estimate range]]+Table2[[#This Row],[infection percentage, high end of estimate range]])/2</f>
        <v>4.2809465987032003E-2</v>
      </c>
      <c r="P30" s="3">
        <f>$T$6/(Table2[[#This Row],[cases]]*5)</f>
        <v>30.220098846787479</v>
      </c>
      <c r="Q30" s="3">
        <f>$T$6/(Table2[[#This Row],[cases]]*7)</f>
        <v>21.585784890562486</v>
      </c>
      <c r="R30" s="3">
        <f>Table2[[#This Row],[1-in-X odds, estimating 5x cases infected]]-Table2[[#This Row],[1-in-X odds, estimating 7x cases infected]]</f>
        <v>8.6343139562249931</v>
      </c>
      <c r="S30" s="3">
        <f>(Table2[[#This Row],[1-in-X odds, estimating 5x cases infected]]+Table2[[#This Row],[1-in-X odds, estimating 7x cases infected]])/2</f>
        <v>25.902941868674983</v>
      </c>
      <c r="V30" s="31"/>
    </row>
    <row r="31" spans="1:22" x14ac:dyDescent="0.2">
      <c r="A31" s="8">
        <v>43939</v>
      </c>
      <c r="B31" s="9">
        <v>615</v>
      </c>
      <c r="C31" s="71">
        <f>Table2[[#This Row],[cases]]/$B$2</f>
        <v>6.7053359209751631E-3</v>
      </c>
      <c r="D31" s="26">
        <f>(Table2[[#This Row],[cases]]-B30)/B30</f>
        <v>1.3179571663920923E-2</v>
      </c>
      <c r="E31" s="38">
        <f t="shared" ref="E31" si="9">(LN(2)/LN(B31/B30))</f>
        <v>52.938359608552602</v>
      </c>
      <c r="F31" s="81">
        <f>Table2[[#This Row],[cases]]*100/$T$19</f>
        <v>5125</v>
      </c>
      <c r="G31" s="35">
        <f>Table2[[#This Row],[cases]]*100/$T$13</f>
        <v>2365.3846153846152</v>
      </c>
      <c r="H31" s="35">
        <f>Table2[[#This Row],[cases]]*100/$T$16</f>
        <v>5590.909090909091</v>
      </c>
      <c r="I31" s="35">
        <f>Table2[[#This Row],[infection count, high end of estimate range]]-Table2[[#This Row],[infection count, low end of estimate range]]</f>
        <v>3225.5244755244757</v>
      </c>
      <c r="J31" s="35">
        <f>(Table2[[#This Row],[infection count, low end of estimate range]]+Table2[[#This Row],[infection count, high end of estimate range]])/2</f>
        <v>3978.1468531468531</v>
      </c>
      <c r="K31" s="26">
        <f>Table2[[#This Row],[estimated infections]]/$T$6</f>
        <v>5.5877799341459693E-2</v>
      </c>
      <c r="L31" s="27">
        <f>Table2[[#This Row],[infection count, low end of estimate range]]/$T$6</f>
        <v>2.5789753542212163E-2</v>
      </c>
      <c r="M31" s="27">
        <f>Table2[[#This Row],[infection count, high end of estimate range]]/$T$6</f>
        <v>6.0957599281592389E-2</v>
      </c>
      <c r="N31" s="15">
        <f>Table2[[#This Row],[infection percentage, high end of estimate range]]-Table2[[#This Row],[infection percentage, low end of estimate range]]</f>
        <v>3.5167845739380227E-2</v>
      </c>
      <c r="O31" s="27">
        <f>(Table2[[#This Row],[infection percentage, low end of estimate range]]+Table2[[#This Row],[infection percentage, high end of estimate range]])/2</f>
        <v>4.3373676411902276E-2</v>
      </c>
      <c r="P31" s="3">
        <f>$T$6/(Table2[[#This Row],[cases]]*5)</f>
        <v>29.8269918699187</v>
      </c>
      <c r="Q31" s="3">
        <f>$T$6/(Table2[[#This Row],[cases]]*7)</f>
        <v>21.304994192799072</v>
      </c>
      <c r="R31" s="3">
        <f>Table2[[#This Row],[1-in-X odds, estimating 5x cases infected]]-Table2[[#This Row],[1-in-X odds, estimating 7x cases infected]]</f>
        <v>8.5219976771196286</v>
      </c>
      <c r="S31" s="3">
        <f>(Table2[[#This Row],[1-in-X odds, estimating 5x cases infected]]+Table2[[#This Row],[1-in-X odds, estimating 7x cases infected]])/2</f>
        <v>25.565993031358886</v>
      </c>
      <c r="V31" s="31"/>
    </row>
    <row r="32" spans="1:22" x14ac:dyDescent="0.2">
      <c r="A32" s="8">
        <v>43940</v>
      </c>
      <c r="B32" s="9">
        <v>636</v>
      </c>
      <c r="C32" s="71">
        <f>Table2[[#This Row],[cases]]/$B$2</f>
        <v>6.9342986109596806E-3</v>
      </c>
      <c r="D32" s="26">
        <f>(Table2[[#This Row],[cases]]-B31)/B31</f>
        <v>3.4146341463414637E-2</v>
      </c>
      <c r="E32" s="38">
        <f t="shared" ref="E32:E34" si="10">(LN(2)/LN(B32/B31))</f>
        <v>20.643944471665133</v>
      </c>
      <c r="F32" s="81">
        <f>Table2[[#This Row],[cases]]*100/$T$19</f>
        <v>5300</v>
      </c>
      <c r="G32" s="35">
        <f>Table2[[#This Row],[cases]]*100/$T$13</f>
        <v>2446.1538461538462</v>
      </c>
      <c r="H32" s="35">
        <f>Table2[[#This Row],[cases]]*100/$T$16</f>
        <v>5781.818181818182</v>
      </c>
      <c r="I32" s="35">
        <f>Table2[[#This Row],[infection count, high end of estimate range]]-Table2[[#This Row],[infection count, low end of estimate range]]</f>
        <v>3335.6643356643358</v>
      </c>
      <c r="J32" s="35">
        <f>(Table2[[#This Row],[infection count, low end of estimate range]]+Table2[[#This Row],[infection count, high end of estimate range]])/2</f>
        <v>4113.9860139860139</v>
      </c>
      <c r="K32" s="26">
        <f>Table2[[#This Row],[estimated infections]]/$T$6</f>
        <v>5.778582175799734E-2</v>
      </c>
      <c r="L32" s="27">
        <f>Table2[[#This Row],[infection count, low end of estimate range]]/$T$6</f>
        <v>2.6670379272921849E-2</v>
      </c>
      <c r="M32" s="27">
        <f>Table2[[#This Row],[infection count, high end of estimate range]]/$T$6</f>
        <v>6.3039078281451638E-2</v>
      </c>
      <c r="N32" s="15">
        <f>Table2[[#This Row],[infection percentage, high end of estimate range]]-Table2[[#This Row],[infection percentage, low end of estimate range]]</f>
        <v>3.6368699008529792E-2</v>
      </c>
      <c r="O32" s="27">
        <f>(Table2[[#This Row],[infection percentage, low end of estimate range]]+Table2[[#This Row],[infection percentage, high end of estimate range]])/2</f>
        <v>4.4854728777186742E-2</v>
      </c>
      <c r="P32" s="3">
        <f>$T$6/(Table2[[#This Row],[cases]]*5)</f>
        <v>28.842138364779874</v>
      </c>
      <c r="Q32" s="3">
        <f>$T$6/(Table2[[#This Row],[cases]]*7)</f>
        <v>20.601527403414195</v>
      </c>
      <c r="R32" s="3">
        <f>Table2[[#This Row],[1-in-X odds, estimating 5x cases infected]]-Table2[[#This Row],[1-in-X odds, estimating 7x cases infected]]</f>
        <v>8.2406109613656788</v>
      </c>
      <c r="S32" s="3">
        <f>(Table2[[#This Row],[1-in-X odds, estimating 5x cases infected]]+Table2[[#This Row],[1-in-X odds, estimating 7x cases infected]])/2</f>
        <v>24.721832884097033</v>
      </c>
      <c r="V32" s="31"/>
    </row>
    <row r="33" spans="1:22" x14ac:dyDescent="0.2">
      <c r="A33" s="8">
        <v>43941</v>
      </c>
      <c r="B33" s="9">
        <v>641</v>
      </c>
      <c r="C33" s="71">
        <f>Table2[[#This Row],[cases]]/$B$2</f>
        <v>6.9888135371464705E-3</v>
      </c>
      <c r="D33" s="26">
        <f>(Table2[[#This Row],[cases]]-B32)/B32</f>
        <v>7.8616352201257862E-3</v>
      </c>
      <c r="E33" s="38">
        <f t="shared" si="10"/>
        <v>88.514442627817402</v>
      </c>
      <c r="F33" s="81">
        <f>Table2[[#This Row],[cases]]*100/$T$19</f>
        <v>5341.666666666667</v>
      </c>
      <c r="G33" s="35">
        <f>Table2[[#This Row],[cases]]*100/$T$13</f>
        <v>2465.3846153846152</v>
      </c>
      <c r="H33" s="35">
        <f>Table2[[#This Row],[cases]]*100/$T$16</f>
        <v>5827.272727272727</v>
      </c>
      <c r="I33" s="35">
        <f>Table2[[#This Row],[infection count, high end of estimate range]]-Table2[[#This Row],[infection count, low end of estimate range]]</f>
        <v>3361.8881118881118</v>
      </c>
      <c r="J33" s="35">
        <f>(Table2[[#This Row],[infection count, low end of estimate range]]+Table2[[#This Row],[infection count, high end of estimate range]])/2</f>
        <v>4146.3286713286707</v>
      </c>
      <c r="K33" s="26">
        <f>Table2[[#This Row],[estimated infections]]/$T$6</f>
        <v>5.8240112809553927E-2</v>
      </c>
      <c r="L33" s="27">
        <f>Table2[[#This Row],[infection count, low end of estimate range]]/$T$6</f>
        <v>2.6880052065947964E-2</v>
      </c>
      <c r="M33" s="27">
        <f>Table2[[#This Row],[infection count, high end of estimate range]]/$T$6</f>
        <v>6.3534668519513365E-2</v>
      </c>
      <c r="N33" s="15">
        <f>Table2[[#This Row],[infection percentage, high end of estimate range]]-Table2[[#This Row],[infection percentage, low end of estimate range]]</f>
        <v>3.6654616453565401E-2</v>
      </c>
      <c r="O33" s="27">
        <f>(Table2[[#This Row],[infection percentage, low end of estimate range]]+Table2[[#This Row],[infection percentage, high end of estimate range]])/2</f>
        <v>4.5207360292730661E-2</v>
      </c>
      <c r="P33" s="3">
        <f>$T$6/(Table2[[#This Row],[cases]]*5)</f>
        <v>28.617160686427457</v>
      </c>
      <c r="Q33" s="3">
        <f>$T$6/(Table2[[#This Row],[cases]]*7)</f>
        <v>20.440829061733897</v>
      </c>
      <c r="R33" s="3">
        <f>Table2[[#This Row],[1-in-X odds, estimating 5x cases infected]]-Table2[[#This Row],[1-in-X odds, estimating 7x cases infected]]</f>
        <v>8.1763316246935602</v>
      </c>
      <c r="S33" s="3">
        <f>(Table2[[#This Row],[1-in-X odds, estimating 5x cases infected]]+Table2[[#This Row],[1-in-X odds, estimating 7x cases infected]])/2</f>
        <v>24.528994874080677</v>
      </c>
      <c r="V33" s="31"/>
    </row>
    <row r="34" spans="1:22" x14ac:dyDescent="0.2">
      <c r="A34" s="8">
        <v>43942</v>
      </c>
      <c r="B34" s="9">
        <v>651</v>
      </c>
      <c r="C34" s="71">
        <f>Table2[[#This Row],[cases]]/$B$2</f>
        <v>7.0978433895200503E-3</v>
      </c>
      <c r="D34" s="26">
        <f>(Table2[[#This Row],[cases]]-B33)/B33</f>
        <v>1.5600624024960999E-2</v>
      </c>
      <c r="E34" s="38">
        <f t="shared" si="10"/>
        <v>44.776413697177858</v>
      </c>
      <c r="F34" s="81">
        <f>Table2[[#This Row],[cases]]*100/$T$19</f>
        <v>5425</v>
      </c>
      <c r="G34" s="35">
        <f>Table2[[#This Row],[cases]]*100/$T$13</f>
        <v>2503.8461538461538</v>
      </c>
      <c r="H34" s="35">
        <f>Table2[[#This Row],[cases]]*100/$T$16</f>
        <v>5918.181818181818</v>
      </c>
      <c r="I34" s="35">
        <f>Table2[[#This Row],[infection count, high end of estimate range]]-Table2[[#This Row],[infection count, low end of estimate range]]</f>
        <v>3414.3356643356642</v>
      </c>
      <c r="J34" s="35">
        <f>(Table2[[#This Row],[infection count, low end of estimate range]]+Table2[[#This Row],[infection count, high end of estimate range]])/2</f>
        <v>4211.0139860139861</v>
      </c>
      <c r="K34" s="26">
        <f>Table2[[#This Row],[estimated infections]]/$T$6</f>
        <v>5.9148694912667089E-2</v>
      </c>
      <c r="L34" s="27">
        <f>Table2[[#This Row],[infection count, low end of estimate range]]/$T$6</f>
        <v>2.7299397652000193E-2</v>
      </c>
      <c r="M34" s="27">
        <f>Table2[[#This Row],[infection count, high end of estimate range]]/$T$6</f>
        <v>6.452584899563682E-2</v>
      </c>
      <c r="N34" s="15">
        <f>Table2[[#This Row],[infection percentage, high end of estimate range]]-Table2[[#This Row],[infection percentage, low end of estimate range]]</f>
        <v>3.7226451343636627E-2</v>
      </c>
      <c r="O34" s="27">
        <f>(Table2[[#This Row],[infection percentage, low end of estimate range]]+Table2[[#This Row],[infection percentage, high end of estimate range]])/2</f>
        <v>4.5912623323818506E-2</v>
      </c>
      <c r="P34" s="3">
        <f>$T$6/(Table2[[#This Row],[cases]]*5)</f>
        <v>28.177572964669739</v>
      </c>
      <c r="Q34" s="3">
        <f>$T$6/(Table2[[#This Row],[cases]]*7)</f>
        <v>20.126837831906958</v>
      </c>
      <c r="R34" s="3">
        <f>Table2[[#This Row],[1-in-X odds, estimating 5x cases infected]]-Table2[[#This Row],[1-in-X odds, estimating 7x cases infected]]</f>
        <v>8.0507351327627816</v>
      </c>
      <c r="S34" s="3">
        <f>(Table2[[#This Row],[1-in-X odds, estimating 5x cases infected]]+Table2[[#This Row],[1-in-X odds, estimating 7x cases infected]])/2</f>
        <v>24.152205398288348</v>
      </c>
      <c r="V34" s="31"/>
    </row>
    <row r="35" spans="1:22" x14ac:dyDescent="0.2">
      <c r="V35" s="55" t="str">
        <f ca="1">"updated " &amp; TEXT($U6,"MMMM d, yyyy") &amp; ", " &amp; T9</f>
        <v>updated April 21, 2020, evening</v>
      </c>
    </row>
    <row r="36" spans="1:22" x14ac:dyDescent="0.2">
      <c r="U36" s="34" t="s">
        <v>32</v>
      </c>
      <c r="V36" s="36"/>
    </row>
    <row r="37" spans="1:22" x14ac:dyDescent="0.2">
      <c r="U37" s="27">
        <f ca="1">OFFSET(compute!D4,COUNTA(compute!D:D)-1,0)</f>
        <v>1.5600624024960999E-2</v>
      </c>
    </row>
    <row r="38" spans="1:22" x14ac:dyDescent="0.2">
      <c r="V38" s="33" t="s">
        <v>24</v>
      </c>
    </row>
    <row r="39" spans="1:22" x14ac:dyDescent="0.2">
      <c r="V39" s="1" t="str">
        <f ca="1">"There have been " &amp;TEXT( U9,"0") &amp; " confirmed cases of COVID-19 disease in " &amp; B1 &amp; " since the start of the outbreak."</f>
        <v>There have been 651 confirmed cases of COVID-19 disease in Miami Beach since the start of the outbreak.</v>
      </c>
    </row>
    <row r="41" spans="1:22" x14ac:dyDescent="0.2">
      <c r="V41" s="1" t="str">
        <f ca="1">"Around " &amp;TEXT(ROUND(U12,-3),"#,##0") &amp;" people in " &amp; B1 &amp; " may have already been infected with the SARS-CoV-2 virus."</f>
        <v>Around 5,000 people in Miami Beach may have already been infected with the SARS-CoV-2 virus.</v>
      </c>
    </row>
    <row r="43" spans="1:22" x14ac:dyDescent="0.2">
      <c r="V43" s="1" t="str">
        <f ca="1">"Around " &amp; TEXT(U15,"0.0%") &amp; " of the total population of " &amp; B1 &amp; " may have already been infected with the SARS-CoV-2 virus, based on an estimated population of " &amp; TEXT(T6,"0,000") &amp; "."</f>
        <v>Around 5.9% of the total population of Miami Beach may have already been infected with the SARS-CoV-2 virus, based on an estimated population of 91,718.</v>
      </c>
    </row>
    <row r="45" spans="1:22" x14ac:dyDescent="0.2">
      <c r="V45" s="1" t="str">
        <f ca="1">"The odds of any given person in " &amp; B1 &amp; " having been infected with SARS-CoV-2 is currently estimated to be around one in " &amp; TEXT(U18,"#,##0")  &amp; "."</f>
        <v>The odds of any given person in Miami Beach having been infected with SARS-CoV-2 is currently estimated to be around one in 24.</v>
      </c>
    </row>
    <row r="47" spans="1:22" x14ac:dyDescent="0.2">
      <c r="V47" s="1" t="str">
        <f ca="1">"doubing in " &amp; TEXT(U21,"0.0") &amp; " days"</f>
        <v>doubing in 44.8 days</v>
      </c>
    </row>
    <row r="49" spans="22:22" x14ac:dyDescent="0.2">
      <c r="V49" s="1" t="str">
        <f ca="1">TEXT(U37, "+0.0%;-0.0%") &amp; " per day"</f>
        <v>+1.6% per day</v>
      </c>
    </row>
    <row r="51" spans="22:22" x14ac:dyDescent="0.2">
      <c r="V51" t="str">
        <f ca="1">"The current rate of increase is " &amp; V49</f>
        <v>The current rate of increase is +1.6% per day</v>
      </c>
    </row>
  </sheetData>
  <phoneticPr fontId="3" type="noConversion"/>
  <pageMargins left="0.7" right="0.7" top="0.75" bottom="0.75" header="0.3" footer="0.3"/>
  <pageSetup orientation="portrait" horizontalDpi="0" verticalDpi="0"/>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377BA5-DB4B-F44A-995C-FE5BE9F15A27}">
  <sheetPr codeName="Sheet8"/>
  <dimension ref="A1:D34"/>
  <sheetViews>
    <sheetView workbookViewId="0">
      <selection sqref="A1:B34"/>
    </sheetView>
  </sheetViews>
  <sheetFormatPr baseColWidth="10" defaultRowHeight="16" x14ac:dyDescent="0.2"/>
  <cols>
    <col min="1" max="1" width="12.5" customWidth="1"/>
    <col min="2" max="2" width="14.5" customWidth="1"/>
    <col min="3" max="3" width="11.1640625" style="28" customWidth="1"/>
    <col min="4" max="4" width="15.33203125" style="39" customWidth="1"/>
  </cols>
  <sheetData>
    <row r="1" spans="1:4" x14ac:dyDescent="0.2">
      <c r="A1" s="1" t="s">
        <v>40</v>
      </c>
      <c r="B1" s="1" t="s">
        <v>42</v>
      </c>
    </row>
    <row r="2" spans="1:4" ht="17" x14ac:dyDescent="0.2">
      <c r="A2" s="1" t="s">
        <v>41</v>
      </c>
      <c r="B2" s="57">
        <v>91718</v>
      </c>
    </row>
    <row r="3" spans="1:4" x14ac:dyDescent="0.2">
      <c r="A3" s="1" t="s">
        <v>43</v>
      </c>
      <c r="B3" s="54" t="s">
        <v>34</v>
      </c>
    </row>
    <row r="4" spans="1:4" ht="35" customHeight="1" thickBot="1" x14ac:dyDescent="0.25">
      <c r="A4" s="52" t="s">
        <v>0</v>
      </c>
      <c r="B4" s="53" t="s">
        <v>1</v>
      </c>
      <c r="C4" s="65" t="s">
        <v>31</v>
      </c>
      <c r="D4" s="65" t="s">
        <v>39</v>
      </c>
    </row>
    <row r="5" spans="1:4" x14ac:dyDescent="0.2">
      <c r="A5" s="8">
        <v>43913</v>
      </c>
      <c r="B5" s="9">
        <v>33</v>
      </c>
      <c r="C5" s="26" t="e">
        <f>(Table2[[#This Row],[cases]]-B4)/B4</f>
        <v>#VALUE!</v>
      </c>
      <c r="D5" s="38" t="e">
        <f t="shared" ref="D5:D21" si="0">(LN(2)/LN(B5/B4))</f>
        <v>#VALUE!</v>
      </c>
    </row>
    <row r="6" spans="1:4" x14ac:dyDescent="0.2">
      <c r="A6" s="8">
        <v>43914</v>
      </c>
      <c r="B6" s="9">
        <v>45</v>
      </c>
      <c r="C6" s="26">
        <f>(B6-B5)/B5</f>
        <v>0.36363636363636365</v>
      </c>
      <c r="D6" s="38">
        <f t="shared" si="0"/>
        <v>2.2348417429656711</v>
      </c>
    </row>
    <row r="7" spans="1:4" x14ac:dyDescent="0.2">
      <c r="A7" s="8">
        <v>43915</v>
      </c>
      <c r="B7" s="9">
        <v>50</v>
      </c>
      <c r="C7" s="26">
        <f t="shared" ref="C7:C22" si="1">(B7-B6)/B6</f>
        <v>0.1111111111111111</v>
      </c>
      <c r="D7" s="38">
        <f t="shared" si="0"/>
        <v>6.5788134789605808</v>
      </c>
    </row>
    <row r="8" spans="1:4" x14ac:dyDescent="0.2">
      <c r="A8" s="8">
        <v>43916</v>
      </c>
      <c r="B8" s="9">
        <v>74</v>
      </c>
      <c r="C8" s="26">
        <f t="shared" si="1"/>
        <v>0.48</v>
      </c>
      <c r="D8" s="38">
        <f t="shared" si="0"/>
        <v>1.768042774417488</v>
      </c>
    </row>
    <row r="9" spans="1:4" x14ac:dyDescent="0.2">
      <c r="A9" s="8">
        <v>43917</v>
      </c>
      <c r="B9" s="9">
        <v>90</v>
      </c>
      <c r="C9" s="26">
        <f t="shared" si="1"/>
        <v>0.21621621621621623</v>
      </c>
      <c r="D9" s="38">
        <f t="shared" si="0"/>
        <v>3.5410798640589243</v>
      </c>
    </row>
    <row r="10" spans="1:4" x14ac:dyDescent="0.2">
      <c r="A10" s="8">
        <v>43918</v>
      </c>
      <c r="B10" s="9">
        <v>115</v>
      </c>
      <c r="C10" s="26">
        <f t="shared" si="1"/>
        <v>0.27777777777777779</v>
      </c>
      <c r="D10" s="38">
        <f t="shared" si="0"/>
        <v>2.8277587705434639</v>
      </c>
    </row>
    <row r="11" spans="1:4" x14ac:dyDescent="0.2">
      <c r="A11" s="8">
        <v>43919</v>
      </c>
      <c r="B11" s="9">
        <v>123</v>
      </c>
      <c r="C11" s="26">
        <f t="shared" si="1"/>
        <v>6.9565217391304349E-2</v>
      </c>
      <c r="D11" s="38">
        <f t="shared" si="0"/>
        <v>10.30667996266442</v>
      </c>
    </row>
    <row r="12" spans="1:4" x14ac:dyDescent="0.2">
      <c r="A12" s="8">
        <v>43920</v>
      </c>
      <c r="B12" s="9">
        <v>194</v>
      </c>
      <c r="C12" s="26">
        <f t="shared" si="1"/>
        <v>0.57723577235772361</v>
      </c>
      <c r="D12" s="38">
        <f t="shared" si="0"/>
        <v>1.5211477485550517</v>
      </c>
    </row>
    <row r="13" spans="1:4" x14ac:dyDescent="0.2">
      <c r="A13" s="8">
        <v>43921</v>
      </c>
      <c r="B13" s="9">
        <v>236</v>
      </c>
      <c r="C13" s="26">
        <f t="shared" si="1"/>
        <v>0.21649484536082475</v>
      </c>
      <c r="D13" s="38">
        <f t="shared" si="0"/>
        <v>3.5369407817893648</v>
      </c>
    </row>
    <row r="14" spans="1:4" x14ac:dyDescent="0.2">
      <c r="A14" s="8">
        <v>43922</v>
      </c>
      <c r="B14" s="9">
        <v>252</v>
      </c>
      <c r="C14" s="26">
        <f t="shared" si="1"/>
        <v>6.7796610169491525E-2</v>
      </c>
      <c r="D14" s="38">
        <f t="shared" si="0"/>
        <v>10.566705727632121</v>
      </c>
    </row>
    <row r="15" spans="1:4" x14ac:dyDescent="0.2">
      <c r="A15" s="8">
        <v>43923</v>
      </c>
      <c r="B15" s="9">
        <v>268</v>
      </c>
      <c r="C15" s="26">
        <f t="shared" si="1"/>
        <v>6.3492063492063489E-2</v>
      </c>
      <c r="D15" s="38">
        <f t="shared" si="0"/>
        <v>11.26008618531381</v>
      </c>
    </row>
    <row r="16" spans="1:4" x14ac:dyDescent="0.2">
      <c r="A16" s="8">
        <v>43924</v>
      </c>
      <c r="B16" s="9">
        <v>302</v>
      </c>
      <c r="C16" s="26">
        <f t="shared" si="1"/>
        <v>0.12686567164179105</v>
      </c>
      <c r="D16" s="38">
        <f t="shared" si="0"/>
        <v>5.803306820384857</v>
      </c>
    </row>
    <row r="17" spans="1:4" x14ac:dyDescent="0.2">
      <c r="A17" s="8">
        <v>43925</v>
      </c>
      <c r="B17" s="9">
        <v>341</v>
      </c>
      <c r="C17" s="26">
        <f t="shared" si="1"/>
        <v>0.12913907284768211</v>
      </c>
      <c r="D17" s="38">
        <f t="shared" si="0"/>
        <v>5.7070071702111713</v>
      </c>
    </row>
    <row r="18" spans="1:4" x14ac:dyDescent="0.2">
      <c r="A18" s="8">
        <v>43926</v>
      </c>
      <c r="B18" s="9">
        <v>361</v>
      </c>
      <c r="C18" s="26">
        <f t="shared" si="1"/>
        <v>5.865102639296188E-2</v>
      </c>
      <c r="D18" s="38">
        <f t="shared" si="0"/>
        <v>12.161441008974148</v>
      </c>
    </row>
    <row r="19" spans="1:4" x14ac:dyDescent="0.2">
      <c r="A19" s="8">
        <v>43927</v>
      </c>
      <c r="B19" s="9">
        <v>383</v>
      </c>
      <c r="C19" s="26">
        <f t="shared" si="1"/>
        <v>6.0941828254847646E-2</v>
      </c>
      <c r="D19" s="38">
        <f t="shared" si="0"/>
        <v>11.717071844658532</v>
      </c>
    </row>
    <row r="20" spans="1:4" x14ac:dyDescent="0.2">
      <c r="A20" s="8">
        <v>43928</v>
      </c>
      <c r="B20" s="9">
        <v>426</v>
      </c>
      <c r="C20" s="26">
        <f t="shared" si="1"/>
        <v>0.1122715404699739</v>
      </c>
      <c r="D20" s="38">
        <f t="shared" si="0"/>
        <v>6.5142744106049149</v>
      </c>
    </row>
    <row r="21" spans="1:4" x14ac:dyDescent="0.2">
      <c r="A21" s="8">
        <v>43929</v>
      </c>
      <c r="B21" s="9">
        <v>453</v>
      </c>
      <c r="C21" s="26">
        <f t="shared" si="1"/>
        <v>6.3380281690140844E-2</v>
      </c>
      <c r="D21" s="38">
        <f t="shared" si="0"/>
        <v>11.27934634412482</v>
      </c>
    </row>
    <row r="22" spans="1:4" x14ac:dyDescent="0.2">
      <c r="A22" s="8">
        <v>43930</v>
      </c>
      <c r="B22" s="9">
        <v>464</v>
      </c>
      <c r="C22" s="26">
        <f t="shared" si="1"/>
        <v>2.4282560706401765E-2</v>
      </c>
      <c r="D22" s="38">
        <f t="shared" ref="D22" si="2">(LN(2)/LN(B22/B21))</f>
        <v>28.890248909722647</v>
      </c>
    </row>
    <row r="23" spans="1:4" x14ac:dyDescent="0.2">
      <c r="A23" s="8">
        <v>43931</v>
      </c>
      <c r="B23" s="9">
        <v>479</v>
      </c>
      <c r="C23" s="26">
        <f t="shared" ref="C23" si="3">(B23-B22)/B22</f>
        <v>3.2327586206896554E-2</v>
      </c>
      <c r="D23" s="38">
        <f t="shared" ref="D23" si="4">(LN(2)/LN(B23/B22))</f>
        <v>21.78608863977048</v>
      </c>
    </row>
    <row r="24" spans="1:4" x14ac:dyDescent="0.2">
      <c r="A24" s="8">
        <v>43932</v>
      </c>
      <c r="B24" s="9">
        <v>516</v>
      </c>
      <c r="C24" s="26">
        <f t="shared" ref="C24" si="5">(B24-B23)/B23</f>
        <v>7.724425887265135E-2</v>
      </c>
      <c r="D24" s="38">
        <f t="shared" ref="D24" si="6">(LN(2)/LN(B24/B23))</f>
        <v>9.3157220501103151</v>
      </c>
    </row>
    <row r="25" spans="1:4" x14ac:dyDescent="0.2">
      <c r="A25" s="8">
        <v>43933</v>
      </c>
      <c r="B25" s="9">
        <v>523</v>
      </c>
      <c r="C25" s="26">
        <f t="shared" ref="C25" si="7">(B25-B24)/B24</f>
        <v>1.3565891472868217E-2</v>
      </c>
      <c r="D25" s="38">
        <f t="shared" ref="D25" si="8">(LN(2)/LN(B25/B24))</f>
        <v>51.440644573371593</v>
      </c>
    </row>
    <row r="26" spans="1:4" x14ac:dyDescent="0.2">
      <c r="A26" s="8">
        <v>43934</v>
      </c>
      <c r="B26" s="9">
        <v>553</v>
      </c>
      <c r="C26" s="26">
        <f t="shared" ref="C26" si="9">(B26-B25)/B25</f>
        <v>5.736137667304015E-2</v>
      </c>
      <c r="D26" s="38">
        <f t="shared" ref="D26" si="10">(LN(2)/LN(B26/B25))</f>
        <v>12.427217825939763</v>
      </c>
    </row>
    <row r="27" spans="1:4" x14ac:dyDescent="0.2">
      <c r="A27" s="8">
        <v>43935</v>
      </c>
      <c r="B27" s="9">
        <v>562</v>
      </c>
      <c r="C27" s="26">
        <f t="shared" ref="C27" si="11">(B27-B26)/B26</f>
        <v>1.62748643761302E-2</v>
      </c>
      <c r="D27" s="38">
        <f t="shared" ref="D27" si="12">(LN(2)/LN(B27/B26))</f>
        <v>42.935684516821048</v>
      </c>
    </row>
    <row r="28" spans="1:4" x14ac:dyDescent="0.2">
      <c r="A28" s="8">
        <v>43936</v>
      </c>
      <c r="B28" s="9">
        <v>577</v>
      </c>
      <c r="C28" s="26">
        <f t="shared" ref="C28:C34" si="13">(B28-B27)/B27</f>
        <v>2.6690391459074734E-2</v>
      </c>
      <c r="D28" s="38">
        <f t="shared" ref="D28:D34" si="14">(LN(2)/LN(B28/B27))</f>
        <v>26.314966490726817</v>
      </c>
    </row>
    <row r="29" spans="1:4" x14ac:dyDescent="0.2">
      <c r="A29" s="8">
        <v>43937</v>
      </c>
      <c r="B29" s="9">
        <v>583</v>
      </c>
      <c r="C29" s="26">
        <f t="shared" si="13"/>
        <v>1.0398613518197574E-2</v>
      </c>
      <c r="D29" s="38">
        <f t="shared" si="14"/>
        <v>67.003629909192583</v>
      </c>
    </row>
    <row r="30" spans="1:4" x14ac:dyDescent="0.2">
      <c r="A30" s="8">
        <v>43938</v>
      </c>
      <c r="B30" s="9">
        <v>601</v>
      </c>
      <c r="C30" s="26">
        <f t="shared" si="13"/>
        <v>3.0874785591766724E-2</v>
      </c>
      <c r="D30" s="38">
        <f t="shared" si="14"/>
        <v>22.795084211739212</v>
      </c>
    </row>
    <row r="31" spans="1:4" x14ac:dyDescent="0.2">
      <c r="A31" s="8">
        <v>43939</v>
      </c>
      <c r="B31" s="9">
        <v>614</v>
      </c>
      <c r="C31" s="26">
        <f t="shared" si="13"/>
        <v>2.1630615640599003E-2</v>
      </c>
      <c r="D31" s="38">
        <f t="shared" si="14"/>
        <v>32.390064835036874</v>
      </c>
    </row>
    <row r="32" spans="1:4" x14ac:dyDescent="0.2">
      <c r="A32" s="8">
        <v>43940</v>
      </c>
      <c r="B32" s="9">
        <v>620</v>
      </c>
      <c r="C32" s="26">
        <f t="shared" si="13"/>
        <v>9.7719869706840382E-3</v>
      </c>
      <c r="D32" s="38">
        <f t="shared" si="14"/>
        <v>71.278073356438</v>
      </c>
    </row>
    <row r="33" spans="1:4" x14ac:dyDescent="0.2">
      <c r="A33" s="8">
        <v>43941</v>
      </c>
      <c r="B33" s="9">
        <v>640</v>
      </c>
      <c r="C33" s="26">
        <f t="shared" si="13"/>
        <v>3.2258064516129031E-2</v>
      </c>
      <c r="D33" s="38">
        <f t="shared" si="14"/>
        <v>21.832302341719139</v>
      </c>
    </row>
    <row r="34" spans="1:4" x14ac:dyDescent="0.2">
      <c r="A34" s="8">
        <v>43942</v>
      </c>
      <c r="B34" s="9">
        <v>648</v>
      </c>
      <c r="C34" s="26">
        <f t="shared" si="13"/>
        <v>1.2500000000000001E-2</v>
      </c>
      <c r="D34" s="38">
        <f t="shared" si="14"/>
        <v>55.797630484028609</v>
      </c>
    </row>
  </sheetData>
  <pageMargins left="0.7" right="0.7" top="0.75" bottom="0.75" header="0.3" footer="0.3"/>
  <pageSetup orientation="portrait" horizontalDpi="0" verticalDpi="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622B87-083D-1F42-87C1-FAD06175FFF3}">
  <sheetPr codeName="Sheet9"/>
  <dimension ref="A1:D34"/>
  <sheetViews>
    <sheetView workbookViewId="0">
      <selection activeCell="B34" sqref="A1:B34"/>
    </sheetView>
  </sheetViews>
  <sheetFormatPr baseColWidth="10" defaultRowHeight="16" x14ac:dyDescent="0.2"/>
  <cols>
    <col min="1" max="1" width="13.1640625" customWidth="1"/>
    <col min="2" max="2" width="15" customWidth="1"/>
  </cols>
  <sheetData>
    <row r="1" spans="1:4" x14ac:dyDescent="0.2">
      <c r="A1" s="1" t="s">
        <v>40</v>
      </c>
      <c r="B1" s="1" t="s">
        <v>42</v>
      </c>
      <c r="C1" s="28"/>
      <c r="D1" s="39"/>
    </row>
    <row r="2" spans="1:4" ht="17" x14ac:dyDescent="0.2">
      <c r="A2" s="1" t="s">
        <v>41</v>
      </c>
      <c r="B2" s="57">
        <v>91718</v>
      </c>
      <c r="C2" s="28"/>
      <c r="D2" s="39"/>
    </row>
    <row r="3" spans="1:4" x14ac:dyDescent="0.2">
      <c r="A3" s="1" t="s">
        <v>43</v>
      </c>
      <c r="B3" s="54" t="s">
        <v>35</v>
      </c>
      <c r="C3" s="28"/>
      <c r="D3" s="39"/>
    </row>
    <row r="4" spans="1:4" ht="52" thickBot="1" x14ac:dyDescent="0.25">
      <c r="A4" s="52" t="s">
        <v>0</v>
      </c>
      <c r="B4" s="53" t="s">
        <v>1</v>
      </c>
      <c r="C4" s="65" t="s">
        <v>31</v>
      </c>
      <c r="D4" s="65" t="s">
        <v>39</v>
      </c>
    </row>
    <row r="5" spans="1:4" x14ac:dyDescent="0.2">
      <c r="A5" s="8">
        <v>43913</v>
      </c>
      <c r="B5" s="9">
        <v>33</v>
      </c>
      <c r="C5" s="26" t="e">
        <f>(Table2[[#This Row],[cases]]-B4)/B4</f>
        <v>#VALUE!</v>
      </c>
      <c r="D5" s="38" t="e">
        <f t="shared" ref="D5:D21" si="0">(LN(2)/LN(B5/B4))</f>
        <v>#VALUE!</v>
      </c>
    </row>
    <row r="6" spans="1:4" x14ac:dyDescent="0.2">
      <c r="A6" s="8">
        <v>43914</v>
      </c>
      <c r="B6" s="9">
        <v>46</v>
      </c>
      <c r="C6" s="26">
        <f>(B6-B5)/B5</f>
        <v>0.39393939393939392</v>
      </c>
      <c r="D6" s="38">
        <f t="shared" si="0"/>
        <v>2.0869514258092652</v>
      </c>
    </row>
    <row r="7" spans="1:4" x14ac:dyDescent="0.2">
      <c r="A7" s="8">
        <v>43915</v>
      </c>
      <c r="B7" s="9">
        <v>63</v>
      </c>
      <c r="C7" s="26">
        <f t="shared" ref="C7:C21" si="1">(B7-B6)/B6</f>
        <v>0.36956521739130432</v>
      </c>
      <c r="D7" s="38">
        <f t="shared" si="0"/>
        <v>2.2040123419309841</v>
      </c>
    </row>
    <row r="8" spans="1:4" x14ac:dyDescent="0.2">
      <c r="A8" s="8">
        <v>43916</v>
      </c>
      <c r="B8" s="9">
        <v>76</v>
      </c>
      <c r="C8" s="26">
        <f t="shared" si="1"/>
        <v>0.20634920634920634</v>
      </c>
      <c r="D8" s="38">
        <f t="shared" si="0"/>
        <v>3.6948416950918879</v>
      </c>
    </row>
    <row r="9" spans="1:4" x14ac:dyDescent="0.2">
      <c r="A9" s="8">
        <v>43917</v>
      </c>
      <c r="B9" s="9">
        <v>90</v>
      </c>
      <c r="C9" s="26">
        <f t="shared" si="1"/>
        <v>0.18421052631578946</v>
      </c>
      <c r="D9" s="38">
        <f t="shared" si="0"/>
        <v>4.0996109885980694</v>
      </c>
    </row>
    <row r="10" spans="1:4" x14ac:dyDescent="0.2">
      <c r="A10" s="8">
        <v>43918</v>
      </c>
      <c r="B10" s="9">
        <v>118</v>
      </c>
      <c r="C10" s="26">
        <f t="shared" si="1"/>
        <v>0.31111111111111112</v>
      </c>
      <c r="D10" s="38">
        <f t="shared" si="0"/>
        <v>2.55891942011541</v>
      </c>
    </row>
    <row r="11" spans="1:4" x14ac:dyDescent="0.2">
      <c r="A11" s="8">
        <v>43919</v>
      </c>
      <c r="B11" s="9">
        <v>160</v>
      </c>
      <c r="C11" s="26">
        <f t="shared" si="1"/>
        <v>0.3559322033898305</v>
      </c>
      <c r="D11" s="38">
        <f t="shared" si="0"/>
        <v>2.276426229815518</v>
      </c>
    </row>
    <row r="12" spans="1:4" x14ac:dyDescent="0.2">
      <c r="A12" s="8">
        <v>43920</v>
      </c>
      <c r="B12" s="9">
        <v>197</v>
      </c>
      <c r="C12" s="26">
        <f t="shared" si="1"/>
        <v>0.23125000000000001</v>
      </c>
      <c r="D12" s="38">
        <f t="shared" si="0"/>
        <v>3.3319591826205279</v>
      </c>
    </row>
    <row r="13" spans="1:4" x14ac:dyDescent="0.2">
      <c r="A13" s="8">
        <v>43921</v>
      </c>
      <c r="B13" s="9">
        <v>238</v>
      </c>
      <c r="C13" s="26">
        <f t="shared" si="1"/>
        <v>0.20812182741116753</v>
      </c>
      <c r="D13" s="38">
        <f t="shared" si="0"/>
        <v>3.6661468285944667</v>
      </c>
    </row>
    <row r="14" spans="1:4" x14ac:dyDescent="0.2">
      <c r="A14" s="8">
        <v>43922</v>
      </c>
      <c r="B14" s="9">
        <v>266</v>
      </c>
      <c r="C14" s="26">
        <f t="shared" si="1"/>
        <v>0.11764705882352941</v>
      </c>
      <c r="D14" s="38">
        <f t="shared" si="0"/>
        <v>6.2319013047040608</v>
      </c>
    </row>
    <row r="15" spans="1:4" x14ac:dyDescent="0.2">
      <c r="A15" s="8">
        <v>43923</v>
      </c>
      <c r="B15" s="9">
        <v>294</v>
      </c>
      <c r="C15" s="26">
        <f t="shared" si="1"/>
        <v>0.10526315789473684</v>
      </c>
      <c r="D15" s="38">
        <f t="shared" si="0"/>
        <v>6.9256917232261834</v>
      </c>
    </row>
    <row r="16" spans="1:4" x14ac:dyDescent="0.2">
      <c r="A16" s="8">
        <v>43924</v>
      </c>
      <c r="B16" s="9">
        <v>310</v>
      </c>
      <c r="C16" s="26">
        <f t="shared" si="1"/>
        <v>5.4421768707482991E-2</v>
      </c>
      <c r="D16" s="38">
        <f t="shared" si="0"/>
        <v>13.080092207751859</v>
      </c>
    </row>
    <row r="17" spans="1:4" x14ac:dyDescent="0.2">
      <c r="A17" s="8">
        <v>43925</v>
      </c>
      <c r="B17" s="9">
        <v>347</v>
      </c>
      <c r="C17" s="26">
        <f t="shared" si="1"/>
        <v>0.11935483870967742</v>
      </c>
      <c r="D17" s="38">
        <f t="shared" si="0"/>
        <v>6.1475114816980732</v>
      </c>
    </row>
    <row r="18" spans="1:4" x14ac:dyDescent="0.2">
      <c r="A18" s="8">
        <v>43926</v>
      </c>
      <c r="B18" s="9">
        <v>365</v>
      </c>
      <c r="C18" s="26">
        <f t="shared" si="1"/>
        <v>5.1873198847262249E-2</v>
      </c>
      <c r="D18" s="38">
        <f t="shared" si="0"/>
        <v>13.705989842517504</v>
      </c>
    </row>
    <row r="19" spans="1:4" x14ac:dyDescent="0.2">
      <c r="A19" s="8">
        <v>43927</v>
      </c>
      <c r="B19" s="9">
        <v>396</v>
      </c>
      <c r="C19" s="26">
        <f t="shared" si="1"/>
        <v>8.4931506849315067E-2</v>
      </c>
      <c r="D19" s="38">
        <f t="shared" si="0"/>
        <v>8.5031145747675918</v>
      </c>
    </row>
    <row r="20" spans="1:4" x14ac:dyDescent="0.2">
      <c r="A20" s="8">
        <v>43928</v>
      </c>
      <c r="B20" s="9">
        <v>428</v>
      </c>
      <c r="C20" s="26">
        <f t="shared" si="1"/>
        <v>8.0808080808080815E-2</v>
      </c>
      <c r="D20" s="38">
        <f t="shared" si="0"/>
        <v>8.9197817544539646</v>
      </c>
    </row>
    <row r="21" spans="1:4" x14ac:dyDescent="0.2">
      <c r="A21" s="8">
        <v>43929</v>
      </c>
      <c r="B21" s="9">
        <v>454</v>
      </c>
      <c r="C21" s="26">
        <f t="shared" si="1"/>
        <v>6.0747663551401869E-2</v>
      </c>
      <c r="D21" s="38">
        <f t="shared" si="0"/>
        <v>11.753436288055184</v>
      </c>
    </row>
    <row r="22" spans="1:4" x14ac:dyDescent="0.2">
      <c r="A22" s="8">
        <v>43930</v>
      </c>
      <c r="B22" s="9">
        <v>468</v>
      </c>
      <c r="C22" s="26">
        <f t="shared" ref="C22:C23" si="2">(B22-B21)/B21</f>
        <v>3.0837004405286344E-2</v>
      </c>
      <c r="D22" s="38">
        <f t="shared" ref="D22:D23" si="3">(LN(2)/LN(B22/B21))</f>
        <v>22.822592169144759</v>
      </c>
    </row>
    <row r="23" spans="1:4" x14ac:dyDescent="0.2">
      <c r="A23" s="8">
        <v>43931</v>
      </c>
      <c r="B23" s="9">
        <v>493</v>
      </c>
      <c r="C23" s="26">
        <f t="shared" si="2"/>
        <v>5.3418803418803416E-2</v>
      </c>
      <c r="D23" s="38">
        <f t="shared" si="3"/>
        <v>13.319282947041303</v>
      </c>
    </row>
    <row r="24" spans="1:4" x14ac:dyDescent="0.2">
      <c r="A24" s="8">
        <v>43932</v>
      </c>
      <c r="B24" s="9">
        <v>520</v>
      </c>
      <c r="C24" s="26">
        <f t="shared" ref="C24" si="4">(B24-B23)/B23</f>
        <v>5.4766734279918863E-2</v>
      </c>
      <c r="D24" s="38">
        <f t="shared" ref="D24" si="5">(LN(2)/LN(B24/B23))</f>
        <v>12.999847947836686</v>
      </c>
    </row>
    <row r="25" spans="1:4" x14ac:dyDescent="0.2">
      <c r="A25" s="8">
        <v>43933</v>
      </c>
      <c r="B25" s="9">
        <v>535</v>
      </c>
      <c r="C25" s="26">
        <f t="shared" ref="C25" si="6">(B25-B24)/B24</f>
        <v>2.8846153846153848E-2</v>
      </c>
      <c r="D25" s="38">
        <f t="shared" ref="D25" si="7">(LN(2)/LN(B25/B24))</f>
        <v>24.37403323227419</v>
      </c>
    </row>
    <row r="26" spans="1:4" x14ac:dyDescent="0.2">
      <c r="A26" s="8">
        <v>43934</v>
      </c>
      <c r="B26" s="9">
        <v>561</v>
      </c>
      <c r="C26" s="26">
        <f t="shared" ref="C26" si="8">(B26-B25)/B25</f>
        <v>4.8598130841121495E-2</v>
      </c>
      <c r="D26" s="38">
        <f t="shared" ref="D26" si="9">(LN(2)/LN(B26/B25))</f>
        <v>14.606668848830834</v>
      </c>
    </row>
    <row r="27" spans="1:4" x14ac:dyDescent="0.2">
      <c r="A27" s="8">
        <v>43935</v>
      </c>
      <c r="B27" s="9">
        <v>568</v>
      </c>
      <c r="C27" s="26">
        <f t="shared" ref="C27" si="10">(B27-B26)/B26</f>
        <v>1.2477718360071301E-2</v>
      </c>
      <c r="D27" s="38">
        <f t="shared" ref="D27" si="11">(LN(2)/LN(B27/B26))</f>
        <v>55.896652780975636</v>
      </c>
    </row>
    <row r="28" spans="1:4" x14ac:dyDescent="0.2">
      <c r="A28" s="8">
        <v>43936</v>
      </c>
      <c r="B28" s="9">
        <v>583</v>
      </c>
      <c r="C28" s="26">
        <f t="shared" ref="C28:C30" si="12">(B28-B27)/B27</f>
        <v>2.6408450704225352E-2</v>
      </c>
      <c r="D28" s="38">
        <f t="shared" ref="D28:D30" si="13">(LN(2)/LN(B28/B27))</f>
        <v>26.592241226753817</v>
      </c>
    </row>
    <row r="29" spans="1:4" x14ac:dyDescent="0.2">
      <c r="A29" s="8">
        <v>43937</v>
      </c>
      <c r="B29" s="9">
        <v>587</v>
      </c>
      <c r="C29" s="26">
        <f t="shared" si="12"/>
        <v>6.8610634648370496E-3</v>
      </c>
      <c r="D29" s="38">
        <f t="shared" si="13"/>
        <v>101.37238020000403</v>
      </c>
    </row>
    <row r="30" spans="1:4" x14ac:dyDescent="0.2">
      <c r="A30" s="8">
        <v>43938</v>
      </c>
      <c r="B30" s="9">
        <v>607</v>
      </c>
      <c r="C30" s="26">
        <f t="shared" si="12"/>
        <v>3.4071550255536626E-2</v>
      </c>
      <c r="D30" s="38">
        <f t="shared" si="13"/>
        <v>20.688508110653103</v>
      </c>
    </row>
    <row r="31" spans="1:4" x14ac:dyDescent="0.2">
      <c r="A31" s="8">
        <v>43939</v>
      </c>
      <c r="B31" s="9">
        <v>615</v>
      </c>
      <c r="C31" s="26">
        <f t="shared" ref="C31" si="14">(B31-B30)/B30</f>
        <v>1.3179571663920923E-2</v>
      </c>
      <c r="D31" s="38">
        <f t="shared" ref="D31" si="15">(LN(2)/LN(B31/B30))</f>
        <v>52.938359608552602</v>
      </c>
    </row>
    <row r="32" spans="1:4" x14ac:dyDescent="0.2">
      <c r="A32" s="8">
        <v>43940</v>
      </c>
      <c r="B32" s="9">
        <v>636</v>
      </c>
      <c r="C32" s="26">
        <f t="shared" ref="C32:C34" si="16">(B32-B31)/B31</f>
        <v>3.4146341463414637E-2</v>
      </c>
      <c r="D32" s="38">
        <f t="shared" ref="D32:D34" si="17">(LN(2)/LN(B32/B31))</f>
        <v>20.643944471665133</v>
      </c>
    </row>
    <row r="33" spans="1:4" x14ac:dyDescent="0.2">
      <c r="A33" s="8">
        <v>43941</v>
      </c>
      <c r="B33" s="9">
        <v>641</v>
      </c>
      <c r="C33" s="26">
        <f t="shared" si="16"/>
        <v>7.8616352201257862E-3</v>
      </c>
      <c r="D33" s="38">
        <f t="shared" si="17"/>
        <v>88.514442627817402</v>
      </c>
    </row>
    <row r="34" spans="1:4" x14ac:dyDescent="0.2">
      <c r="A34" s="8">
        <v>43942</v>
      </c>
      <c r="B34" s="9">
        <v>651</v>
      </c>
      <c r="C34" s="26">
        <f t="shared" si="16"/>
        <v>1.5600624024960999E-2</v>
      </c>
      <c r="D34" s="38">
        <f t="shared" si="17"/>
        <v>44.776413697177858</v>
      </c>
    </row>
  </sheetData>
  <pageMargins left="0.7" right="0.7" top="0.75" bottom="0.75" header="0.3" footer="0.3"/>
  <pageSetup orientation="portrait" horizontalDpi="0" verticalDpi="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01571-4366-9E4B-9FF7-360DFF61551C}">
  <sheetPr codeName="Sheet10"/>
  <dimension ref="A1:D27"/>
  <sheetViews>
    <sheetView workbookViewId="0">
      <selection sqref="A1:B27"/>
    </sheetView>
  </sheetViews>
  <sheetFormatPr baseColWidth="10" defaultRowHeight="16" x14ac:dyDescent="0.2"/>
  <cols>
    <col min="1" max="1" width="12.5" customWidth="1"/>
    <col min="2" max="2" width="14.5" customWidth="1"/>
    <col min="4" max="4" width="13.1640625" customWidth="1"/>
    <col min="5" max="5" width="15" customWidth="1"/>
    <col min="7" max="7" width="12.5" customWidth="1"/>
    <col min="8" max="8" width="14.5" customWidth="1"/>
    <col min="10" max="10" width="13.1640625" customWidth="1"/>
    <col min="11" max="11" width="15" customWidth="1"/>
    <col min="13" max="13" width="12.5" customWidth="1"/>
    <col min="14" max="14" width="14.5" customWidth="1"/>
    <col min="16" max="16" width="13.1640625" customWidth="1"/>
    <col min="17" max="17" width="15" customWidth="1"/>
  </cols>
  <sheetData>
    <row r="1" spans="1:4" x14ac:dyDescent="0.2">
      <c r="A1" s="1" t="s">
        <v>40</v>
      </c>
      <c r="B1" s="1" t="s">
        <v>44</v>
      </c>
      <c r="C1" s="28"/>
      <c r="D1" s="39"/>
    </row>
    <row r="2" spans="1:4" ht="17" x14ac:dyDescent="0.2">
      <c r="A2" s="1" t="s">
        <v>41</v>
      </c>
      <c r="B2" s="57">
        <v>470914</v>
      </c>
      <c r="C2" s="28"/>
      <c r="D2" s="39"/>
    </row>
    <row r="3" spans="1:4" x14ac:dyDescent="0.2">
      <c r="A3" s="1" t="s">
        <v>43</v>
      </c>
      <c r="B3" s="54" t="s">
        <v>34</v>
      </c>
      <c r="C3" s="28"/>
      <c r="D3" s="39"/>
    </row>
    <row r="4" spans="1:4" ht="35" thickBot="1" x14ac:dyDescent="0.25">
      <c r="A4" s="52" t="s">
        <v>0</v>
      </c>
      <c r="B4" s="53" t="s">
        <v>1</v>
      </c>
      <c r="C4" s="65" t="s">
        <v>31</v>
      </c>
      <c r="D4" s="65" t="s">
        <v>39</v>
      </c>
    </row>
    <row r="5" spans="1:4" x14ac:dyDescent="0.2">
      <c r="A5" s="8">
        <v>43913</v>
      </c>
      <c r="B5" s="9">
        <v>148</v>
      </c>
      <c r="C5" s="26" t="e">
        <f>(Table2[[#This Row],[cases]]-B4)/B4</f>
        <v>#VALUE!</v>
      </c>
      <c r="D5" s="38" t="e">
        <f t="shared" ref="D5:D21" si="0">(LN(2)/LN(B5/B4))</f>
        <v>#VALUE!</v>
      </c>
    </row>
    <row r="6" spans="1:4" x14ac:dyDescent="0.2">
      <c r="A6" s="8">
        <v>43914</v>
      </c>
      <c r="B6" s="9">
        <v>181</v>
      </c>
      <c r="C6" s="26">
        <f>(B6-B5)/B5</f>
        <v>0.22297297297297297</v>
      </c>
      <c r="D6" s="38">
        <f t="shared" si="0"/>
        <v>3.4436148527245245</v>
      </c>
    </row>
    <row r="7" spans="1:4" x14ac:dyDescent="0.2">
      <c r="A7" s="8">
        <v>43915</v>
      </c>
      <c r="B7" s="9">
        <v>211</v>
      </c>
      <c r="C7" s="26">
        <f t="shared" ref="C7:C21" si="1">(B7-B6)/B6</f>
        <v>0.16574585635359115</v>
      </c>
      <c r="D7" s="38">
        <f t="shared" si="0"/>
        <v>4.5197065655521875</v>
      </c>
    </row>
    <row r="8" spans="1:4" x14ac:dyDescent="0.2">
      <c r="A8" s="8">
        <v>43916</v>
      </c>
      <c r="B8" s="9">
        <v>331</v>
      </c>
      <c r="C8" s="26">
        <f t="shared" si="1"/>
        <v>0.56872037914691942</v>
      </c>
      <c r="D8" s="38">
        <f t="shared" si="0"/>
        <v>1.5394367880083781</v>
      </c>
    </row>
    <row r="9" spans="1:4" x14ac:dyDescent="0.2">
      <c r="A9" s="8">
        <v>43917</v>
      </c>
      <c r="B9" s="9">
        <v>464</v>
      </c>
      <c r="C9" s="26">
        <f t="shared" si="1"/>
        <v>0.40181268882175225</v>
      </c>
      <c r="D9" s="38">
        <f t="shared" si="0"/>
        <v>2.0521509495884938</v>
      </c>
    </row>
    <row r="10" spans="1:4" x14ac:dyDescent="0.2">
      <c r="A10" s="8">
        <v>43918</v>
      </c>
      <c r="B10" s="9">
        <v>539</v>
      </c>
      <c r="C10" s="26">
        <f t="shared" si="1"/>
        <v>0.16163793103448276</v>
      </c>
      <c r="D10" s="38">
        <f t="shared" si="0"/>
        <v>4.6261928047598939</v>
      </c>
    </row>
    <row r="11" spans="1:4" x14ac:dyDescent="0.2">
      <c r="A11" s="8">
        <v>43919</v>
      </c>
      <c r="B11" s="9">
        <v>643</v>
      </c>
      <c r="C11" s="26">
        <f t="shared" si="1"/>
        <v>0.19294990723562153</v>
      </c>
      <c r="D11" s="38">
        <f t="shared" si="0"/>
        <v>3.9287564865703821</v>
      </c>
    </row>
    <row r="12" spans="1:4" x14ac:dyDescent="0.2">
      <c r="A12" s="8">
        <v>43920</v>
      </c>
      <c r="B12" s="9">
        <v>897</v>
      </c>
      <c r="C12" s="26">
        <f t="shared" si="1"/>
        <v>0.39502332814930013</v>
      </c>
      <c r="D12" s="38">
        <f t="shared" si="0"/>
        <v>2.0820786744968252</v>
      </c>
    </row>
    <row r="13" spans="1:4" x14ac:dyDescent="0.2">
      <c r="A13" s="8">
        <v>43921</v>
      </c>
      <c r="B13" s="56">
        <v>1047</v>
      </c>
      <c r="C13" s="26">
        <f t="shared" si="1"/>
        <v>0.16722408026755853</v>
      </c>
      <c r="D13" s="38">
        <f t="shared" si="0"/>
        <v>4.4826656036005934</v>
      </c>
    </row>
    <row r="14" spans="1:4" x14ac:dyDescent="0.2">
      <c r="A14" s="8">
        <v>43922</v>
      </c>
      <c r="B14" s="56">
        <v>1223</v>
      </c>
      <c r="C14" s="26">
        <f t="shared" si="1"/>
        <v>0.16809933142311365</v>
      </c>
      <c r="D14" s="38">
        <f t="shared" si="0"/>
        <v>4.461040275688724</v>
      </c>
    </row>
    <row r="15" spans="1:4" x14ac:dyDescent="0.2">
      <c r="A15" s="8">
        <v>43923</v>
      </c>
      <c r="B15" s="56">
        <v>1391</v>
      </c>
      <c r="C15" s="26">
        <f t="shared" si="1"/>
        <v>0.1373671300081766</v>
      </c>
      <c r="D15" s="38">
        <f t="shared" si="0"/>
        <v>5.3850871509581326</v>
      </c>
    </row>
    <row r="16" spans="1:4" x14ac:dyDescent="0.2">
      <c r="A16" s="8">
        <v>43924</v>
      </c>
      <c r="B16" s="56">
        <v>1752</v>
      </c>
      <c r="C16" s="26">
        <f t="shared" si="1"/>
        <v>0.25952552120776418</v>
      </c>
      <c r="D16" s="38">
        <f t="shared" si="0"/>
        <v>3.0040823521200468</v>
      </c>
    </row>
    <row r="17" spans="1:4" x14ac:dyDescent="0.2">
      <c r="A17" s="8">
        <v>43925</v>
      </c>
      <c r="B17" s="56">
        <v>2168</v>
      </c>
      <c r="C17" s="26">
        <f t="shared" si="1"/>
        <v>0.23744292237442921</v>
      </c>
      <c r="D17" s="38">
        <f t="shared" si="0"/>
        <v>3.2534928174838318</v>
      </c>
    </row>
    <row r="18" spans="1:4" x14ac:dyDescent="0.2">
      <c r="A18" s="8">
        <v>43926</v>
      </c>
      <c r="B18" s="56">
        <v>2393</v>
      </c>
      <c r="C18" s="26">
        <f t="shared" si="1"/>
        <v>0.10378228782287822</v>
      </c>
      <c r="D18" s="38">
        <f t="shared" si="0"/>
        <v>7.0197290799014054</v>
      </c>
    </row>
    <row r="19" spans="1:4" x14ac:dyDescent="0.2">
      <c r="A19" s="8">
        <v>43927</v>
      </c>
      <c r="B19" s="56">
        <v>2676</v>
      </c>
      <c r="C19" s="26">
        <f t="shared" si="1"/>
        <v>0.1182615963226076</v>
      </c>
      <c r="D19" s="38">
        <f t="shared" si="0"/>
        <v>6.2012535310728651</v>
      </c>
    </row>
    <row r="20" spans="1:4" x14ac:dyDescent="0.2">
      <c r="A20" s="8">
        <v>43928</v>
      </c>
      <c r="B20" s="35">
        <v>3009</v>
      </c>
      <c r="C20" s="26">
        <f t="shared" si="1"/>
        <v>0.12443946188340807</v>
      </c>
      <c r="D20" s="38">
        <f t="shared" si="0"/>
        <v>5.9099562368391503</v>
      </c>
    </row>
    <row r="21" spans="1:4" x14ac:dyDescent="0.2">
      <c r="A21" s="8">
        <v>43929</v>
      </c>
      <c r="B21" s="56">
        <v>3235</v>
      </c>
      <c r="C21" s="26">
        <f t="shared" si="1"/>
        <v>7.5108009305417084E-2</v>
      </c>
      <c r="D21" s="38">
        <f t="shared" si="0"/>
        <v>9.5710627221806028</v>
      </c>
    </row>
    <row r="22" spans="1:4" x14ac:dyDescent="0.2">
      <c r="A22" s="8">
        <v>43930</v>
      </c>
      <c r="B22" s="56">
        <v>3487</v>
      </c>
      <c r="C22" s="26">
        <f t="shared" ref="C22" si="2">(B22-B21)/B21</f>
        <v>7.7897990726429681E-2</v>
      </c>
      <c r="D22" s="38">
        <f t="shared" ref="D22" si="3">(LN(2)/LN(B22/B21))</f>
        <v>9.2403804862798964</v>
      </c>
    </row>
    <row r="23" spans="1:4" x14ac:dyDescent="0.2">
      <c r="A23" s="8">
        <v>43931</v>
      </c>
      <c r="B23" s="56">
        <v>3713</v>
      </c>
      <c r="C23" s="26">
        <f>(B23-B22)/B22</f>
        <v>6.4812159449383427E-2</v>
      </c>
      <c r="D23" s="38">
        <f>(LN(2)/LN(B23/B22))</f>
        <v>11.037655382330742</v>
      </c>
    </row>
    <row r="24" spans="1:4" x14ac:dyDescent="0.2">
      <c r="A24" s="8">
        <v>43932</v>
      </c>
      <c r="B24" s="56">
        <v>3908</v>
      </c>
      <c r="C24" s="26">
        <f>(B24-B23)/B23</f>
        <v>5.2518179369781849E-2</v>
      </c>
      <c r="D24" s="38">
        <f>(LN(2)/LN(B24/B23))</f>
        <v>13.541850363596499</v>
      </c>
    </row>
    <row r="25" spans="1:4" x14ac:dyDescent="0.2">
      <c r="A25" s="8">
        <v>43933</v>
      </c>
      <c r="B25" s="56">
        <v>4144</v>
      </c>
      <c r="C25" s="26">
        <f>(B25-B24)/B24</f>
        <v>6.0388945752302969E-2</v>
      </c>
      <c r="D25" s="38">
        <f>(LN(2)/LN(B25/B24))</f>
        <v>11.821234229192092</v>
      </c>
    </row>
    <row r="26" spans="1:4" x14ac:dyDescent="0.2">
      <c r="A26" s="8">
        <v>43934</v>
      </c>
      <c r="B26" s="56">
        <v>4357</v>
      </c>
      <c r="C26" s="26">
        <f t="shared" ref="C26:C27" si="4">(B26-B25)/B25</f>
        <v>5.1399613899613901E-2</v>
      </c>
      <c r="D26" s="38">
        <f t="shared" ref="D26:D27" si="5">(LN(2)/LN(B26/B25))</f>
        <v>13.829133543081639</v>
      </c>
    </row>
    <row r="27" spans="1:4" x14ac:dyDescent="0.2">
      <c r="A27" s="8">
        <v>43935</v>
      </c>
      <c r="B27" s="56">
        <v>4546</v>
      </c>
      <c r="C27" s="26">
        <f t="shared" si="4"/>
        <v>4.3378471425292629E-2</v>
      </c>
      <c r="D27" s="38">
        <f t="shared" si="5"/>
        <v>16.323180455299035</v>
      </c>
    </row>
  </sheetData>
  <pageMargins left="0.7" right="0.7" top="0.75" bottom="0.75" header="0.3" footer="0.3"/>
  <pageSetup orientation="portrait" horizontalDpi="0" verticalDpi="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1689A6-7B2C-1A48-8139-2584415734EB}">
  <sheetPr codeName="Sheet11"/>
  <dimension ref="A1:D30"/>
  <sheetViews>
    <sheetView workbookViewId="0">
      <selection activeCell="B30" sqref="A1:B30"/>
    </sheetView>
  </sheetViews>
  <sheetFormatPr baseColWidth="10" defaultRowHeight="16" x14ac:dyDescent="0.2"/>
  <sheetData>
    <row r="1" spans="1:4" x14ac:dyDescent="0.2">
      <c r="A1" s="9" t="s">
        <v>40</v>
      </c>
      <c r="B1" s="9" t="s">
        <v>44</v>
      </c>
      <c r="C1" s="28"/>
      <c r="D1" s="39"/>
    </row>
    <row r="2" spans="1:4" ht="17" x14ac:dyDescent="0.2">
      <c r="A2" s="9" t="s">
        <v>41</v>
      </c>
      <c r="B2" s="57">
        <v>470914</v>
      </c>
      <c r="C2" s="28"/>
      <c r="D2" s="39"/>
    </row>
    <row r="3" spans="1:4" x14ac:dyDescent="0.2">
      <c r="A3" s="9" t="s">
        <v>43</v>
      </c>
      <c r="B3" s="12" t="s">
        <v>35</v>
      </c>
      <c r="C3" s="28"/>
      <c r="D3" s="39"/>
    </row>
    <row r="4" spans="1:4" ht="52" thickBot="1" x14ac:dyDescent="0.25">
      <c r="A4" s="62" t="s">
        <v>0</v>
      </c>
      <c r="B4" s="63" t="s">
        <v>1</v>
      </c>
      <c r="C4" s="65" t="s">
        <v>31</v>
      </c>
      <c r="D4" s="65" t="s">
        <v>39</v>
      </c>
    </row>
    <row r="5" spans="1:4" x14ac:dyDescent="0.2">
      <c r="A5" s="8">
        <v>43913</v>
      </c>
      <c r="B5" s="9">
        <v>152</v>
      </c>
      <c r="C5" s="26" t="e">
        <f>(Table2[[#This Row],[cases]]-B4)/B4</f>
        <v>#VALUE!</v>
      </c>
      <c r="D5" s="38" t="e">
        <f t="shared" ref="D5:D21" si="0">(LN(2)/LN(B5/B4))</f>
        <v>#VALUE!</v>
      </c>
    </row>
    <row r="6" spans="1:4" x14ac:dyDescent="0.2">
      <c r="A6" s="8">
        <v>43914</v>
      </c>
      <c r="B6" s="9">
        <v>196</v>
      </c>
      <c r="C6" s="26">
        <f>(B6-B5)/B5</f>
        <v>0.28947368421052633</v>
      </c>
      <c r="D6" s="38">
        <f t="shared" si="0"/>
        <v>2.7264126877891832</v>
      </c>
    </row>
    <row r="7" spans="1:4" x14ac:dyDescent="0.2">
      <c r="A7" s="8">
        <v>43915</v>
      </c>
      <c r="B7" s="9">
        <v>256</v>
      </c>
      <c r="C7" s="26">
        <f t="shared" ref="C7:C21" si="1">(B7-B6)/B6</f>
        <v>0.30612244897959184</v>
      </c>
      <c r="D7" s="38">
        <f t="shared" si="0"/>
        <v>2.5954465348422167</v>
      </c>
    </row>
    <row r="8" spans="1:4" x14ac:dyDescent="0.2">
      <c r="A8" s="8">
        <v>43916</v>
      </c>
      <c r="B8" s="9">
        <v>345</v>
      </c>
      <c r="C8" s="26">
        <f t="shared" si="1"/>
        <v>0.34765625</v>
      </c>
      <c r="D8" s="38">
        <f t="shared" si="0"/>
        <v>2.3231364203342348</v>
      </c>
    </row>
    <row r="9" spans="1:4" x14ac:dyDescent="0.2">
      <c r="A9" s="8">
        <v>43917</v>
      </c>
      <c r="B9" s="9">
        <v>464</v>
      </c>
      <c r="C9" s="26">
        <f t="shared" si="1"/>
        <v>0.34492753623188405</v>
      </c>
      <c r="D9" s="38">
        <f t="shared" si="0"/>
        <v>2.3390256608477276</v>
      </c>
    </row>
    <row r="10" spans="1:4" x14ac:dyDescent="0.2">
      <c r="A10" s="8">
        <v>43918</v>
      </c>
      <c r="B10" s="9">
        <v>603</v>
      </c>
      <c r="C10" s="26">
        <f t="shared" si="1"/>
        <v>0.29956896551724138</v>
      </c>
      <c r="D10" s="38">
        <f t="shared" si="0"/>
        <v>2.6452703321760542</v>
      </c>
    </row>
    <row r="11" spans="1:4" x14ac:dyDescent="0.2">
      <c r="A11" s="8">
        <v>43919</v>
      </c>
      <c r="B11" s="9">
        <v>812</v>
      </c>
      <c r="C11" s="26">
        <f t="shared" si="1"/>
        <v>0.34660033167495852</v>
      </c>
      <c r="D11" s="38">
        <f t="shared" si="0"/>
        <v>2.329255523549266</v>
      </c>
    </row>
    <row r="12" spans="1:4" x14ac:dyDescent="0.2">
      <c r="A12" s="8">
        <v>43920</v>
      </c>
      <c r="B12" s="9">
        <v>931</v>
      </c>
      <c r="C12" s="26">
        <f t="shared" si="1"/>
        <v>0.14655172413793102</v>
      </c>
      <c r="D12" s="38">
        <f t="shared" si="0"/>
        <v>5.0683867188519347</v>
      </c>
    </row>
    <row r="13" spans="1:4" x14ac:dyDescent="0.2">
      <c r="A13" s="8">
        <v>43921</v>
      </c>
      <c r="B13" s="56">
        <v>1179</v>
      </c>
      <c r="C13" s="26">
        <f t="shared" si="1"/>
        <v>0.26638023630504831</v>
      </c>
      <c r="D13" s="38">
        <f t="shared" si="0"/>
        <v>2.9350418410450274</v>
      </c>
    </row>
    <row r="14" spans="1:4" x14ac:dyDescent="0.2">
      <c r="A14" s="8">
        <v>43922</v>
      </c>
      <c r="B14" s="56">
        <v>1371</v>
      </c>
      <c r="C14" s="26">
        <f t="shared" si="1"/>
        <v>0.16284987277353691</v>
      </c>
      <c r="D14" s="38">
        <f t="shared" si="0"/>
        <v>4.594218989141579</v>
      </c>
    </row>
    <row r="15" spans="1:4" x14ac:dyDescent="0.2">
      <c r="A15" s="8">
        <v>43923</v>
      </c>
      <c r="B15" s="56">
        <v>1677</v>
      </c>
      <c r="C15" s="26">
        <f t="shared" si="1"/>
        <v>0.22319474835886213</v>
      </c>
      <c r="D15" s="38">
        <f t="shared" si="0"/>
        <v>3.4405155090192001</v>
      </c>
    </row>
    <row r="16" spans="1:4" x14ac:dyDescent="0.2">
      <c r="A16" s="8">
        <v>43924</v>
      </c>
      <c r="B16" s="56">
        <v>1959</v>
      </c>
      <c r="C16" s="26">
        <f t="shared" si="1"/>
        <v>0.16815742397137745</v>
      </c>
      <c r="D16" s="38">
        <f t="shared" si="0"/>
        <v>4.4596129019590443</v>
      </c>
    </row>
    <row r="17" spans="1:4" x14ac:dyDescent="0.2">
      <c r="A17" s="8">
        <v>43925</v>
      </c>
      <c r="B17" s="56">
        <v>2291</v>
      </c>
      <c r="C17" s="26">
        <f t="shared" si="1"/>
        <v>0.16947422154160285</v>
      </c>
      <c r="D17" s="38">
        <f t="shared" si="0"/>
        <v>4.4275202769727011</v>
      </c>
    </row>
    <row r="18" spans="1:4" x14ac:dyDescent="0.2">
      <c r="A18" s="8">
        <v>43926</v>
      </c>
      <c r="B18" s="56">
        <v>2461</v>
      </c>
      <c r="C18" s="26">
        <f t="shared" si="1"/>
        <v>7.4203404626800529E-2</v>
      </c>
      <c r="D18" s="38">
        <f t="shared" si="0"/>
        <v>9.6836169490150699</v>
      </c>
    </row>
    <row r="19" spans="1:4" x14ac:dyDescent="0.2">
      <c r="A19" s="8">
        <v>43927</v>
      </c>
      <c r="B19" s="56">
        <v>2802</v>
      </c>
      <c r="C19" s="26">
        <f t="shared" si="1"/>
        <v>0.13856156034132466</v>
      </c>
      <c r="D19" s="38">
        <f t="shared" si="0"/>
        <v>5.3415294338518668</v>
      </c>
    </row>
    <row r="20" spans="1:4" x14ac:dyDescent="0.2">
      <c r="A20" s="8">
        <v>43928</v>
      </c>
      <c r="B20" s="56">
        <v>3100</v>
      </c>
      <c r="C20" s="26">
        <f t="shared" si="1"/>
        <v>0.10635260528194147</v>
      </c>
      <c r="D20" s="38">
        <f t="shared" si="0"/>
        <v>6.8581809240681908</v>
      </c>
    </row>
    <row r="21" spans="1:4" x14ac:dyDescent="0.2">
      <c r="A21" s="8">
        <v>43929</v>
      </c>
      <c r="B21" s="56">
        <v>3317</v>
      </c>
      <c r="C21" s="26">
        <f t="shared" si="1"/>
        <v>7.0000000000000007E-2</v>
      </c>
      <c r="D21" s="38">
        <f t="shared" si="0"/>
        <v>10.244768351058712</v>
      </c>
    </row>
    <row r="22" spans="1:4" x14ac:dyDescent="0.2">
      <c r="A22" s="8">
        <v>43930</v>
      </c>
      <c r="B22" s="56">
        <v>3587</v>
      </c>
      <c r="C22" s="26">
        <f t="shared" ref="C22:C23" si="2">(B22-B21)/B21</f>
        <v>8.1398854386493816E-2</v>
      </c>
      <c r="D22" s="38">
        <f t="shared" ref="D22:D23" si="3">(LN(2)/LN(B22/B21))</f>
        <v>8.857495313952132</v>
      </c>
    </row>
    <row r="23" spans="1:4" x14ac:dyDescent="0.2">
      <c r="A23" s="8">
        <v>43931</v>
      </c>
      <c r="B23" s="56">
        <v>3816</v>
      </c>
      <c r="C23" s="26">
        <f t="shared" si="2"/>
        <v>6.3841650404237518E-2</v>
      </c>
      <c r="D23" s="38">
        <f t="shared" si="3"/>
        <v>11.20028704389693</v>
      </c>
    </row>
    <row r="24" spans="1:4" x14ac:dyDescent="0.2">
      <c r="A24" s="8">
        <v>43932</v>
      </c>
      <c r="B24" s="56">
        <v>4091</v>
      </c>
      <c r="C24" s="26">
        <f t="shared" ref="C24" si="4">(B24-B23)/B23</f>
        <v>7.20649895178197E-2</v>
      </c>
      <c r="D24" s="38">
        <f t="shared" ref="D24" si="5">(LN(2)/LN(B24/B23))</f>
        <v>9.96091676104197</v>
      </c>
    </row>
    <row r="25" spans="1:4" x14ac:dyDescent="0.2">
      <c r="A25" s="8">
        <v>43933</v>
      </c>
      <c r="B25" s="56">
        <v>4273</v>
      </c>
      <c r="C25" s="26">
        <f t="shared" ref="C25" si="6">(B25-B24)/B24</f>
        <v>4.4487900268882913E-2</v>
      </c>
      <c r="D25" s="38">
        <f t="shared" ref="D25" si="7">(LN(2)/LN(B25/B24))</f>
        <v>15.924637026490627</v>
      </c>
    </row>
    <row r="26" spans="1:4" x14ac:dyDescent="0.2">
      <c r="A26" s="8">
        <v>43934</v>
      </c>
      <c r="B26" s="56">
        <v>4487</v>
      </c>
      <c r="C26" s="26">
        <f t="shared" ref="C26" si="8">(B26-B25)/B25</f>
        <v>5.0081909665340513E-2</v>
      </c>
      <c r="D26" s="38">
        <f t="shared" ref="D26" si="9">(LN(2)/LN(B26/B25))</f>
        <v>14.184021538998522</v>
      </c>
    </row>
    <row r="27" spans="1:4" x14ac:dyDescent="0.2">
      <c r="A27" s="8">
        <v>43935</v>
      </c>
      <c r="B27" s="56">
        <v>4648</v>
      </c>
      <c r="C27" s="26">
        <f t="shared" ref="C27" si="10">(B27-B26)/B26</f>
        <v>3.5881435257410298E-2</v>
      </c>
      <c r="D27" s="38">
        <f t="shared" ref="D27" si="11">(LN(2)/LN(B27/B26))</f>
        <v>19.662247910950395</v>
      </c>
    </row>
    <row r="28" spans="1:4" x14ac:dyDescent="0.2">
      <c r="A28" s="8">
        <v>43936</v>
      </c>
      <c r="B28" s="56">
        <v>4857</v>
      </c>
      <c r="C28" s="26">
        <f t="shared" ref="C28" si="12">(B28-B27)/B27</f>
        <v>4.4965576592082619E-2</v>
      </c>
      <c r="D28" s="38">
        <f t="shared" ref="D28" si="13">(LN(2)/LN(B28/B27))</f>
        <v>15.759095716636351</v>
      </c>
    </row>
    <row r="29" spans="1:4" x14ac:dyDescent="0.2">
      <c r="A29" s="8">
        <v>43937</v>
      </c>
      <c r="B29" s="56">
        <v>5018</v>
      </c>
      <c r="C29" s="26">
        <f t="shared" ref="C29:C30" si="14">(B29-B28)/B28</f>
        <v>3.3148033765698991E-2</v>
      </c>
      <c r="D29" s="38">
        <f t="shared" ref="D29:D30" si="15">(LN(2)/LN(B29/B28))</f>
        <v>21.255347458768309</v>
      </c>
    </row>
    <row r="30" spans="1:4" x14ac:dyDescent="0.2">
      <c r="A30" s="8">
        <v>43938</v>
      </c>
      <c r="B30" s="56">
        <v>5325</v>
      </c>
      <c r="C30" s="26">
        <f t="shared" si="14"/>
        <v>6.1179752889597448E-2</v>
      </c>
      <c r="D30" s="38">
        <f t="shared" si="15"/>
        <v>11.672826375517154</v>
      </c>
    </row>
  </sheetData>
  <pageMargins left="0.7" right="0.7" top="0.75" bottom="0.75" header="0.3" footer="0.3"/>
  <pageSetup orientation="portrait" horizontalDpi="0" verticalDpi="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0869F3-7693-9442-AEB9-0CC5FC3A5CE2}">
  <sheetPr codeName="Sheet12"/>
  <dimension ref="A1:D21"/>
  <sheetViews>
    <sheetView workbookViewId="0">
      <selection activeCell="C1" sqref="C1:D21"/>
    </sheetView>
  </sheetViews>
  <sheetFormatPr baseColWidth="10" defaultRowHeight="16" x14ac:dyDescent="0.2"/>
  <cols>
    <col min="4" max="4" width="12.1640625" customWidth="1"/>
  </cols>
  <sheetData>
    <row r="1" spans="1:4" x14ac:dyDescent="0.2">
      <c r="A1" s="9" t="s">
        <v>40</v>
      </c>
      <c r="B1" s="9" t="s">
        <v>45</v>
      </c>
      <c r="C1" s="28"/>
      <c r="D1" s="39"/>
    </row>
    <row r="2" spans="1:4" ht="17" x14ac:dyDescent="0.2">
      <c r="A2" s="9" t="s">
        <v>41</v>
      </c>
      <c r="B2" s="58">
        <v>82826</v>
      </c>
      <c r="C2" s="28"/>
      <c r="D2" s="39"/>
    </row>
    <row r="3" spans="1:4" x14ac:dyDescent="0.2">
      <c r="A3" s="9" t="s">
        <v>43</v>
      </c>
      <c r="B3" s="12" t="s">
        <v>34</v>
      </c>
      <c r="C3" s="28"/>
      <c r="D3" s="39"/>
    </row>
    <row r="4" spans="1:4" ht="52" thickBot="1" x14ac:dyDescent="0.25">
      <c r="A4" s="62" t="s">
        <v>0</v>
      </c>
      <c r="B4" s="63" t="s">
        <v>1</v>
      </c>
      <c r="C4" s="65" t="s">
        <v>31</v>
      </c>
      <c r="D4" s="65" t="s">
        <v>39</v>
      </c>
    </row>
    <row r="5" spans="1:4" x14ac:dyDescent="0.2">
      <c r="A5" s="8">
        <v>43913</v>
      </c>
      <c r="B5" s="9">
        <v>3</v>
      </c>
      <c r="C5" s="26" t="e">
        <f>(Table2[[#This Row],[cases]]-B4)/B4</f>
        <v>#VALUE!</v>
      </c>
      <c r="D5" s="38" t="e">
        <f t="shared" ref="D5:D21" si="0">(LN(2)/LN(B5/B4))</f>
        <v>#VALUE!</v>
      </c>
    </row>
    <row r="6" spans="1:4" x14ac:dyDescent="0.2">
      <c r="A6" s="8">
        <v>43914</v>
      </c>
      <c r="B6" s="9">
        <v>3</v>
      </c>
      <c r="C6" s="26">
        <f>(B6-B5)/B5</f>
        <v>0</v>
      </c>
      <c r="D6" s="38" t="e">
        <f t="shared" si="0"/>
        <v>#DIV/0!</v>
      </c>
    </row>
    <row r="7" spans="1:4" x14ac:dyDescent="0.2">
      <c r="A7" s="8">
        <v>43915</v>
      </c>
      <c r="B7" s="9">
        <v>4</v>
      </c>
      <c r="C7" s="26">
        <f t="shared" ref="C7:C21" si="1">(B7-B6)/B6</f>
        <v>0.33333333333333331</v>
      </c>
      <c r="D7" s="38">
        <f t="shared" si="0"/>
        <v>2.4094208396532095</v>
      </c>
    </row>
    <row r="8" spans="1:4" x14ac:dyDescent="0.2">
      <c r="A8" s="8">
        <v>43916</v>
      </c>
      <c r="B8" s="9">
        <v>4</v>
      </c>
      <c r="C8" s="26">
        <f t="shared" si="1"/>
        <v>0</v>
      </c>
      <c r="D8" s="38" t="e">
        <f t="shared" si="0"/>
        <v>#DIV/0!</v>
      </c>
    </row>
    <row r="9" spans="1:4" x14ac:dyDescent="0.2">
      <c r="A9" s="8">
        <v>43917</v>
      </c>
      <c r="B9" s="9">
        <v>7</v>
      </c>
      <c r="C9" s="26">
        <f t="shared" si="1"/>
        <v>0.75</v>
      </c>
      <c r="D9" s="38">
        <f t="shared" si="0"/>
        <v>1.2386126258466668</v>
      </c>
    </row>
    <row r="10" spans="1:4" x14ac:dyDescent="0.2">
      <c r="A10" s="8">
        <v>43918</v>
      </c>
      <c r="B10" s="9">
        <v>10</v>
      </c>
      <c r="C10" s="26">
        <f t="shared" si="1"/>
        <v>0.42857142857142855</v>
      </c>
      <c r="D10" s="38">
        <f t="shared" si="0"/>
        <v>1.9433582098747317</v>
      </c>
    </row>
    <row r="11" spans="1:4" x14ac:dyDescent="0.2">
      <c r="A11" s="8">
        <v>43919</v>
      </c>
      <c r="B11" s="9">
        <v>11</v>
      </c>
      <c r="C11" s="26">
        <f t="shared" si="1"/>
        <v>0.1</v>
      </c>
      <c r="D11" s="38">
        <f t="shared" si="0"/>
        <v>7.2725408973417132</v>
      </c>
    </row>
    <row r="12" spans="1:4" x14ac:dyDescent="0.2">
      <c r="A12" s="8">
        <v>43920</v>
      </c>
      <c r="B12" s="9">
        <v>11</v>
      </c>
      <c r="C12" s="26">
        <f t="shared" si="1"/>
        <v>0</v>
      </c>
      <c r="D12" s="38" t="e">
        <f t="shared" si="0"/>
        <v>#DIV/0!</v>
      </c>
    </row>
    <row r="13" spans="1:4" x14ac:dyDescent="0.2">
      <c r="A13" s="8">
        <v>43921</v>
      </c>
      <c r="B13" s="9">
        <v>12</v>
      </c>
      <c r="C13" s="26">
        <f t="shared" si="1"/>
        <v>9.0909090909090912E-2</v>
      </c>
      <c r="D13" s="38">
        <f t="shared" si="0"/>
        <v>7.9661672362978102</v>
      </c>
    </row>
    <row r="14" spans="1:4" x14ac:dyDescent="0.2">
      <c r="A14" s="8">
        <v>43922</v>
      </c>
      <c r="B14" s="64">
        <v>14</v>
      </c>
      <c r="C14" s="26">
        <f t="shared" si="1"/>
        <v>0.16666666666666666</v>
      </c>
      <c r="D14" s="38">
        <f t="shared" si="0"/>
        <v>4.4965561056019201</v>
      </c>
    </row>
    <row r="15" spans="1:4" x14ac:dyDescent="0.2">
      <c r="A15" s="8">
        <v>43923</v>
      </c>
      <c r="B15" s="9">
        <v>18</v>
      </c>
      <c r="C15" s="26">
        <f t="shared" si="1"/>
        <v>0.2857142857142857</v>
      </c>
      <c r="D15" s="38">
        <f t="shared" si="0"/>
        <v>2.7580874894503928</v>
      </c>
    </row>
    <row r="16" spans="1:4" x14ac:dyDescent="0.2">
      <c r="A16" s="8">
        <v>43924</v>
      </c>
      <c r="B16" s="9">
        <v>19</v>
      </c>
      <c r="C16" s="26">
        <f t="shared" si="1"/>
        <v>5.5555555555555552E-2</v>
      </c>
      <c r="D16" s="38">
        <f t="shared" si="0"/>
        <v>12.820099947341156</v>
      </c>
    </row>
    <row r="17" spans="1:4" x14ac:dyDescent="0.2">
      <c r="A17" s="8">
        <v>43925</v>
      </c>
      <c r="B17" s="9">
        <v>24</v>
      </c>
      <c r="C17" s="26">
        <f t="shared" si="1"/>
        <v>0.26315789473684209</v>
      </c>
      <c r="D17" s="38">
        <f t="shared" si="0"/>
        <v>2.9670510117587106</v>
      </c>
    </row>
    <row r="18" spans="1:4" x14ac:dyDescent="0.2">
      <c r="A18" s="8">
        <v>43926</v>
      </c>
      <c r="B18" s="9">
        <v>27</v>
      </c>
      <c r="C18" s="26">
        <f t="shared" si="1"/>
        <v>0.125</v>
      </c>
      <c r="D18" s="38">
        <f t="shared" si="0"/>
        <v>5.8849491923617183</v>
      </c>
    </row>
    <row r="19" spans="1:4" x14ac:dyDescent="0.2">
      <c r="A19" s="8">
        <v>43927</v>
      </c>
      <c r="B19" s="9">
        <v>28</v>
      </c>
      <c r="C19" s="26">
        <f t="shared" si="1"/>
        <v>3.7037037037037035E-2</v>
      </c>
      <c r="D19" s="38">
        <f t="shared" si="0"/>
        <v>19.059446834201477</v>
      </c>
    </row>
    <row r="20" spans="1:4" x14ac:dyDescent="0.2">
      <c r="A20" s="8">
        <v>43928</v>
      </c>
      <c r="B20" s="56">
        <v>30</v>
      </c>
      <c r="C20" s="26">
        <f t="shared" si="1"/>
        <v>7.1428571428571425E-2</v>
      </c>
      <c r="D20" s="38">
        <f t="shared" si="0"/>
        <v>10.04664924971328</v>
      </c>
    </row>
    <row r="21" spans="1:4" x14ac:dyDescent="0.2">
      <c r="A21" s="8">
        <v>43929</v>
      </c>
      <c r="B21" s="56">
        <v>31</v>
      </c>
      <c r="C21" s="26">
        <f t="shared" si="1"/>
        <v>3.3333333333333333E-2</v>
      </c>
      <c r="D21" s="38">
        <f t="shared" si="0"/>
        <v>21.139095026580534</v>
      </c>
    </row>
  </sheetData>
  <pageMargins left="0.7" right="0.7" top="0.75" bottom="0.75" header="0.3" footer="0.3"/>
  <pageSetup orientation="portrait" horizontalDpi="0" verticalDpi="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4CADA0-CA00-6549-BECF-4C234BA5AF94}">
  <sheetPr codeName="Sheet13"/>
  <dimension ref="A1:H21"/>
  <sheetViews>
    <sheetView workbookViewId="0">
      <selection activeCell="C1" sqref="C1:D21"/>
    </sheetView>
  </sheetViews>
  <sheetFormatPr baseColWidth="10" defaultRowHeight="16" x14ac:dyDescent="0.2"/>
  <sheetData>
    <row r="1" spans="1:8" x14ac:dyDescent="0.2">
      <c r="A1" s="9" t="s">
        <v>40</v>
      </c>
      <c r="B1" s="9" t="s">
        <v>45</v>
      </c>
      <c r="C1" s="28"/>
      <c r="D1" s="39"/>
    </row>
    <row r="2" spans="1:8" ht="17" x14ac:dyDescent="0.2">
      <c r="A2" s="9" t="s">
        <v>41</v>
      </c>
      <c r="B2" s="58">
        <v>82826</v>
      </c>
      <c r="C2" s="28"/>
      <c r="D2" s="39"/>
    </row>
    <row r="3" spans="1:8" x14ac:dyDescent="0.2">
      <c r="A3" s="9" t="s">
        <v>43</v>
      </c>
      <c r="B3" s="12" t="s">
        <v>35</v>
      </c>
      <c r="C3" s="28"/>
      <c r="D3" s="39"/>
    </row>
    <row r="4" spans="1:8" ht="52" thickBot="1" x14ac:dyDescent="0.25">
      <c r="A4" s="62" t="s">
        <v>0</v>
      </c>
      <c r="B4" s="63" t="s">
        <v>1</v>
      </c>
      <c r="C4" s="65" t="s">
        <v>31</v>
      </c>
      <c r="D4" s="65" t="s">
        <v>39</v>
      </c>
    </row>
    <row r="5" spans="1:8" x14ac:dyDescent="0.2">
      <c r="A5" s="8">
        <v>43913</v>
      </c>
      <c r="B5" s="9">
        <v>3</v>
      </c>
      <c r="C5" s="26" t="e">
        <f>(Table2[[#This Row],[cases]]-B4)/B4</f>
        <v>#VALUE!</v>
      </c>
      <c r="D5" s="38" t="e">
        <f t="shared" ref="D5:D21" si="0">(LN(2)/LN(B5/B4))</f>
        <v>#VALUE!</v>
      </c>
    </row>
    <row r="6" spans="1:8" x14ac:dyDescent="0.2">
      <c r="A6" s="8">
        <v>43914</v>
      </c>
      <c r="B6" s="9">
        <v>3</v>
      </c>
      <c r="C6" s="26">
        <f>(B6-B5)/B5</f>
        <v>0</v>
      </c>
      <c r="D6" s="38" t="e">
        <f t="shared" si="0"/>
        <v>#DIV/0!</v>
      </c>
    </row>
    <row r="7" spans="1:8" x14ac:dyDescent="0.2">
      <c r="A7" s="8">
        <v>43915</v>
      </c>
      <c r="B7" s="9">
        <v>4</v>
      </c>
      <c r="C7" s="26">
        <f t="shared" ref="C7:C21" si="1">(B7-B6)/B6</f>
        <v>0.33333333333333331</v>
      </c>
      <c r="D7" s="38">
        <f t="shared" si="0"/>
        <v>2.4094208396532095</v>
      </c>
    </row>
    <row r="8" spans="1:8" x14ac:dyDescent="0.2">
      <c r="A8" s="8">
        <v>43916</v>
      </c>
      <c r="B8" s="9">
        <v>4</v>
      </c>
      <c r="C8" s="26">
        <f t="shared" si="1"/>
        <v>0</v>
      </c>
      <c r="D8" s="38" t="e">
        <f t="shared" si="0"/>
        <v>#DIV/0!</v>
      </c>
      <c r="E8" s="56"/>
      <c r="F8" s="60"/>
      <c r="G8" s="8"/>
      <c r="H8" s="56"/>
    </row>
    <row r="9" spans="1:8" x14ac:dyDescent="0.2">
      <c r="A9" s="8">
        <v>43917</v>
      </c>
      <c r="B9" s="9">
        <v>7</v>
      </c>
      <c r="C9" s="26">
        <f t="shared" si="1"/>
        <v>0.75</v>
      </c>
      <c r="D9" s="38">
        <f t="shared" si="0"/>
        <v>1.2386126258466668</v>
      </c>
      <c r="E9" s="56"/>
      <c r="F9" s="60"/>
      <c r="G9" s="8"/>
      <c r="H9" s="56"/>
    </row>
    <row r="10" spans="1:8" x14ac:dyDescent="0.2">
      <c r="A10" s="8">
        <v>43918</v>
      </c>
      <c r="B10" s="9">
        <v>10</v>
      </c>
      <c r="C10" s="26">
        <f t="shared" si="1"/>
        <v>0.42857142857142855</v>
      </c>
      <c r="D10" s="38">
        <f t="shared" si="0"/>
        <v>1.9433582098747317</v>
      </c>
      <c r="E10" s="56"/>
      <c r="F10" s="60"/>
      <c r="G10" s="8"/>
      <c r="H10" s="56"/>
    </row>
    <row r="11" spans="1:8" x14ac:dyDescent="0.2">
      <c r="A11" s="8">
        <v>43919</v>
      </c>
      <c r="B11" s="9">
        <v>11</v>
      </c>
      <c r="C11" s="26">
        <f t="shared" si="1"/>
        <v>0.1</v>
      </c>
      <c r="D11" s="38">
        <f t="shared" si="0"/>
        <v>7.2725408973417132</v>
      </c>
      <c r="E11" s="56"/>
      <c r="F11" s="60"/>
      <c r="G11" s="8"/>
      <c r="H11" s="56"/>
    </row>
    <row r="12" spans="1:8" x14ac:dyDescent="0.2">
      <c r="A12" s="8">
        <v>43920</v>
      </c>
      <c r="B12" s="9">
        <v>12</v>
      </c>
      <c r="C12" s="26">
        <f t="shared" si="1"/>
        <v>9.0909090909090912E-2</v>
      </c>
      <c r="D12" s="38">
        <f t="shared" si="0"/>
        <v>7.9661672362978102</v>
      </c>
      <c r="E12" s="56"/>
      <c r="F12" s="60"/>
      <c r="G12" s="8"/>
      <c r="H12" s="56"/>
    </row>
    <row r="13" spans="1:8" x14ac:dyDescent="0.2">
      <c r="A13" s="8">
        <v>43921</v>
      </c>
      <c r="B13" s="9">
        <v>13</v>
      </c>
      <c r="C13" s="26">
        <f t="shared" si="1"/>
        <v>8.3333333333333329E-2</v>
      </c>
      <c r="D13" s="38">
        <f t="shared" si="0"/>
        <v>8.6597168025228228</v>
      </c>
      <c r="E13" s="56"/>
      <c r="F13" s="60"/>
      <c r="G13" s="8"/>
      <c r="H13" s="56"/>
    </row>
    <row r="14" spans="1:8" x14ac:dyDescent="0.2">
      <c r="A14" s="8">
        <v>43922</v>
      </c>
      <c r="B14" s="9">
        <v>17</v>
      </c>
      <c r="C14" s="26">
        <f t="shared" si="1"/>
        <v>0.30769230769230771</v>
      </c>
      <c r="D14" s="38">
        <f t="shared" si="0"/>
        <v>2.5838249455646198</v>
      </c>
      <c r="E14" s="56"/>
      <c r="F14" s="60"/>
      <c r="G14" s="8"/>
      <c r="H14" s="56"/>
    </row>
    <row r="15" spans="1:8" x14ac:dyDescent="0.2">
      <c r="A15" s="8">
        <v>43923</v>
      </c>
      <c r="B15" s="9">
        <v>19</v>
      </c>
      <c r="C15" s="26">
        <f t="shared" si="1"/>
        <v>0.11764705882352941</v>
      </c>
      <c r="D15" s="38">
        <f t="shared" si="0"/>
        <v>6.2319013047040608</v>
      </c>
      <c r="E15" s="56"/>
      <c r="F15" s="60"/>
      <c r="G15" s="8"/>
      <c r="H15" s="56"/>
    </row>
    <row r="16" spans="1:8" x14ac:dyDescent="0.2">
      <c r="A16" s="8">
        <v>43924</v>
      </c>
      <c r="B16" s="9">
        <v>23</v>
      </c>
      <c r="C16" s="26">
        <f t="shared" si="1"/>
        <v>0.21052631578947367</v>
      </c>
      <c r="D16" s="38">
        <f t="shared" si="0"/>
        <v>3.6279936227073155</v>
      </c>
      <c r="E16" s="56"/>
      <c r="F16" s="60"/>
      <c r="G16" s="8"/>
      <c r="H16" s="56"/>
    </row>
    <row r="17" spans="1:8" x14ac:dyDescent="0.2">
      <c r="A17" s="8">
        <v>43925</v>
      </c>
      <c r="B17" s="9">
        <v>26</v>
      </c>
      <c r="C17" s="26">
        <f t="shared" si="1"/>
        <v>0.13043478260869565</v>
      </c>
      <c r="D17" s="38">
        <f t="shared" si="0"/>
        <v>5.6536219602589046</v>
      </c>
      <c r="E17" s="56"/>
      <c r="F17" s="60"/>
      <c r="G17" s="8"/>
      <c r="H17" s="56"/>
    </row>
    <row r="18" spans="1:8" x14ac:dyDescent="0.2">
      <c r="A18" s="8">
        <v>43926</v>
      </c>
      <c r="B18" s="9">
        <v>27</v>
      </c>
      <c r="C18" s="26">
        <f t="shared" si="1"/>
        <v>3.8461538461538464E-2</v>
      </c>
      <c r="D18" s="38">
        <f t="shared" si="0"/>
        <v>18.366220369758814</v>
      </c>
      <c r="E18" s="56"/>
      <c r="F18" s="60"/>
      <c r="G18" s="8"/>
      <c r="H18" s="56"/>
    </row>
    <row r="19" spans="1:8" x14ac:dyDescent="0.2">
      <c r="A19" s="8">
        <v>43927</v>
      </c>
      <c r="B19" s="9">
        <v>29</v>
      </c>
      <c r="C19" s="26">
        <f t="shared" si="1"/>
        <v>7.407407407407407E-2</v>
      </c>
      <c r="D19" s="38">
        <f t="shared" si="0"/>
        <v>9.6999332474668556</v>
      </c>
      <c r="E19" s="56"/>
      <c r="F19" s="60"/>
      <c r="G19" s="8"/>
      <c r="H19" s="56"/>
    </row>
    <row r="20" spans="1:8" x14ac:dyDescent="0.2">
      <c r="A20" s="8">
        <v>43928</v>
      </c>
      <c r="B20" s="9">
        <v>31</v>
      </c>
      <c r="C20" s="26">
        <f t="shared" si="1"/>
        <v>6.8965517241379309E-2</v>
      </c>
      <c r="D20" s="38">
        <f t="shared" si="0"/>
        <v>10.393355749081858</v>
      </c>
      <c r="E20" s="56"/>
      <c r="F20" s="60"/>
      <c r="G20" s="8"/>
      <c r="H20" s="56"/>
    </row>
    <row r="21" spans="1:8" x14ac:dyDescent="0.2">
      <c r="A21" s="8">
        <v>43929</v>
      </c>
      <c r="B21" s="9">
        <v>31</v>
      </c>
      <c r="C21" s="26">
        <f t="shared" si="1"/>
        <v>0</v>
      </c>
      <c r="D21" s="38" t="e">
        <f t="shared" si="0"/>
        <v>#DIV/0!</v>
      </c>
      <c r="E21" s="56"/>
      <c r="F21" s="60"/>
      <c r="G21" s="8"/>
      <c r="H21" s="56"/>
    </row>
  </sheetData>
  <pageMargins left="0.7" right="0.7" top="0.75" bottom="0.75" header="0.3" footer="0.3"/>
  <pageSetup orientation="portrait" horizontalDpi="0" verticalDpi="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7A246-D233-AA47-93AF-A6BE3F0110D3}">
  <sheetPr codeName="Sheet17"/>
  <dimension ref="A1:D22"/>
  <sheetViews>
    <sheetView workbookViewId="0">
      <selection activeCell="B5" sqref="B5:B22"/>
    </sheetView>
  </sheetViews>
  <sheetFormatPr baseColWidth="10" defaultRowHeight="16" x14ac:dyDescent="0.2"/>
  <cols>
    <col min="1" max="1" width="12.5" customWidth="1"/>
    <col min="2" max="2" width="14.5" customWidth="1"/>
    <col min="4" max="4" width="13.1640625" customWidth="1"/>
    <col min="5" max="5" width="15" customWidth="1"/>
    <col min="7" max="7" width="12.5" customWidth="1"/>
    <col min="8" max="8" width="14.5" customWidth="1"/>
    <col min="10" max="10" width="13.1640625" customWidth="1"/>
    <col min="11" max="11" width="15" customWidth="1"/>
    <col min="13" max="13" width="12.5" customWidth="1"/>
    <col min="14" max="14" width="14.5" customWidth="1"/>
    <col min="16" max="16" width="13.1640625" customWidth="1"/>
    <col min="17" max="17" width="15" customWidth="1"/>
  </cols>
  <sheetData>
    <row r="1" spans="1:4" x14ac:dyDescent="0.2">
      <c r="A1" s="1" t="s">
        <v>40</v>
      </c>
      <c r="B1" s="1" t="s">
        <v>51</v>
      </c>
      <c r="C1" s="28"/>
      <c r="D1" s="39"/>
    </row>
    <row r="2" spans="1:4" ht="17" x14ac:dyDescent="0.2">
      <c r="A2" s="1" t="s">
        <v>41</v>
      </c>
      <c r="B2" s="57">
        <v>2761581</v>
      </c>
      <c r="C2" s="28"/>
      <c r="D2" s="39"/>
    </row>
    <row r="3" spans="1:4" x14ac:dyDescent="0.2">
      <c r="A3" s="1" t="s">
        <v>43</v>
      </c>
      <c r="B3" s="54" t="s">
        <v>34</v>
      </c>
      <c r="C3" s="28"/>
      <c r="D3" s="39"/>
    </row>
    <row r="4" spans="1:4" ht="35" thickBot="1" x14ac:dyDescent="0.25">
      <c r="A4" s="52" t="s">
        <v>0</v>
      </c>
      <c r="B4" s="53" t="s">
        <v>1</v>
      </c>
      <c r="C4" s="65" t="s">
        <v>31</v>
      </c>
      <c r="D4" s="65" t="s">
        <v>39</v>
      </c>
    </row>
    <row r="5" spans="1:4" x14ac:dyDescent="0.2">
      <c r="A5" s="8">
        <v>43913</v>
      </c>
      <c r="B5" s="9"/>
      <c r="C5" s="26" t="e">
        <f>(Table2[[#This Row],[cases]]-B4)/B4</f>
        <v>#VALUE!</v>
      </c>
      <c r="D5" s="38" t="e">
        <f t="shared" ref="D5:D22" si="0">(LN(2)/LN(B5/B4))</f>
        <v>#VALUE!</v>
      </c>
    </row>
    <row r="6" spans="1:4" x14ac:dyDescent="0.2">
      <c r="A6" s="8">
        <v>43914</v>
      </c>
      <c r="B6" s="9"/>
      <c r="C6" s="26" t="e">
        <f>(B6-B5)/B5</f>
        <v>#DIV/0!</v>
      </c>
      <c r="D6" s="38" t="e">
        <f t="shared" si="0"/>
        <v>#DIV/0!</v>
      </c>
    </row>
    <row r="7" spans="1:4" x14ac:dyDescent="0.2">
      <c r="A7" s="8">
        <v>43915</v>
      </c>
      <c r="B7" s="9"/>
      <c r="C7" s="26" t="e">
        <f t="shared" ref="C7:C22" si="1">(B7-B6)/B6</f>
        <v>#DIV/0!</v>
      </c>
      <c r="D7" s="38" t="e">
        <f t="shared" si="0"/>
        <v>#DIV/0!</v>
      </c>
    </row>
    <row r="8" spans="1:4" x14ac:dyDescent="0.2">
      <c r="A8" s="8">
        <v>43916</v>
      </c>
      <c r="B8" s="9"/>
      <c r="C8" s="26" t="e">
        <f t="shared" si="1"/>
        <v>#DIV/0!</v>
      </c>
      <c r="D8" s="38" t="e">
        <f t="shared" si="0"/>
        <v>#DIV/0!</v>
      </c>
    </row>
    <row r="9" spans="1:4" x14ac:dyDescent="0.2">
      <c r="A9" s="8">
        <v>43917</v>
      </c>
      <c r="B9" s="9"/>
      <c r="C9" s="26" t="e">
        <f t="shared" si="1"/>
        <v>#DIV/0!</v>
      </c>
      <c r="D9" s="38" t="e">
        <f t="shared" si="0"/>
        <v>#DIV/0!</v>
      </c>
    </row>
    <row r="10" spans="1:4" x14ac:dyDescent="0.2">
      <c r="A10" s="8">
        <v>43918</v>
      </c>
      <c r="B10" s="9"/>
      <c r="C10" s="26" t="e">
        <f t="shared" si="1"/>
        <v>#DIV/0!</v>
      </c>
      <c r="D10" s="38" t="e">
        <f t="shared" si="0"/>
        <v>#DIV/0!</v>
      </c>
    </row>
    <row r="11" spans="1:4" x14ac:dyDescent="0.2">
      <c r="A11" s="8">
        <v>43919</v>
      </c>
      <c r="B11" s="9"/>
      <c r="C11" s="26" t="e">
        <f t="shared" si="1"/>
        <v>#DIV/0!</v>
      </c>
      <c r="D11" s="38" t="e">
        <f t="shared" si="0"/>
        <v>#DIV/0!</v>
      </c>
    </row>
    <row r="12" spans="1:4" x14ac:dyDescent="0.2">
      <c r="A12" s="8">
        <v>43920</v>
      </c>
      <c r="B12" s="9"/>
      <c r="C12" s="26" t="e">
        <f t="shared" si="1"/>
        <v>#DIV/0!</v>
      </c>
      <c r="D12" s="38" t="e">
        <f t="shared" si="0"/>
        <v>#DIV/0!</v>
      </c>
    </row>
    <row r="13" spans="1:4" x14ac:dyDescent="0.2">
      <c r="A13" s="8">
        <v>43921</v>
      </c>
      <c r="B13" s="56"/>
      <c r="C13" s="26" t="e">
        <f t="shared" si="1"/>
        <v>#DIV/0!</v>
      </c>
      <c r="D13" s="38" t="e">
        <f t="shared" si="0"/>
        <v>#DIV/0!</v>
      </c>
    </row>
    <row r="14" spans="1:4" x14ac:dyDescent="0.2">
      <c r="A14" s="8">
        <v>43922</v>
      </c>
      <c r="B14" s="56"/>
      <c r="C14" s="26" t="e">
        <f t="shared" si="1"/>
        <v>#DIV/0!</v>
      </c>
      <c r="D14" s="38" t="e">
        <f t="shared" si="0"/>
        <v>#DIV/0!</v>
      </c>
    </row>
    <row r="15" spans="1:4" x14ac:dyDescent="0.2">
      <c r="A15" s="8">
        <v>43923</v>
      </c>
      <c r="B15" s="56"/>
      <c r="C15" s="26" t="e">
        <f t="shared" si="1"/>
        <v>#DIV/0!</v>
      </c>
      <c r="D15" s="38" t="e">
        <f t="shared" si="0"/>
        <v>#DIV/0!</v>
      </c>
    </row>
    <row r="16" spans="1:4" x14ac:dyDescent="0.2">
      <c r="A16" s="8">
        <v>43924</v>
      </c>
      <c r="B16" s="56"/>
      <c r="C16" s="26" t="e">
        <f t="shared" si="1"/>
        <v>#DIV/0!</v>
      </c>
      <c r="D16" s="38" t="e">
        <f t="shared" si="0"/>
        <v>#DIV/0!</v>
      </c>
    </row>
    <row r="17" spans="1:4" x14ac:dyDescent="0.2">
      <c r="A17" s="8">
        <v>43925</v>
      </c>
      <c r="B17" s="56"/>
      <c r="C17" s="26" t="e">
        <f t="shared" si="1"/>
        <v>#DIV/0!</v>
      </c>
      <c r="D17" s="38" t="e">
        <f t="shared" si="0"/>
        <v>#DIV/0!</v>
      </c>
    </row>
    <row r="18" spans="1:4" x14ac:dyDescent="0.2">
      <c r="A18" s="8">
        <v>43926</v>
      </c>
      <c r="B18" s="56"/>
      <c r="C18" s="26" t="e">
        <f t="shared" si="1"/>
        <v>#DIV/0!</v>
      </c>
      <c r="D18" s="38" t="e">
        <f t="shared" si="0"/>
        <v>#DIV/0!</v>
      </c>
    </row>
    <row r="19" spans="1:4" x14ac:dyDescent="0.2">
      <c r="A19" s="8">
        <v>43927</v>
      </c>
      <c r="B19" s="56"/>
      <c r="C19" s="26" t="e">
        <f t="shared" si="1"/>
        <v>#DIV/0!</v>
      </c>
      <c r="D19" s="38" t="e">
        <f t="shared" si="0"/>
        <v>#DIV/0!</v>
      </c>
    </row>
    <row r="20" spans="1:4" x14ac:dyDescent="0.2">
      <c r="A20" s="8">
        <v>43928</v>
      </c>
      <c r="B20" s="35"/>
      <c r="C20" s="26" t="e">
        <f t="shared" si="1"/>
        <v>#DIV/0!</v>
      </c>
      <c r="D20" s="38" t="e">
        <f t="shared" si="0"/>
        <v>#DIV/0!</v>
      </c>
    </row>
    <row r="21" spans="1:4" x14ac:dyDescent="0.2">
      <c r="A21" s="8">
        <v>43929</v>
      </c>
      <c r="B21" s="56"/>
      <c r="C21" s="26" t="e">
        <f t="shared" si="1"/>
        <v>#DIV/0!</v>
      </c>
      <c r="D21" s="38" t="e">
        <f t="shared" si="0"/>
        <v>#DIV/0!</v>
      </c>
    </row>
    <row r="22" spans="1:4" x14ac:dyDescent="0.2">
      <c r="A22" s="8">
        <v>43930</v>
      </c>
      <c r="B22" s="56"/>
      <c r="C22" s="26" t="e">
        <f t="shared" si="1"/>
        <v>#DIV/0!</v>
      </c>
      <c r="D22" s="38" t="e">
        <f t="shared" si="0"/>
        <v>#DIV/0!</v>
      </c>
    </row>
  </sheetData>
  <pageMargins left="0.7" right="0.7" top="0.75" bottom="0.75" header="0.3" footer="0.3"/>
  <pageSetup orientation="portrait" horizontalDpi="0" verticalDpi="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7C29E-96C8-B54A-8C3E-33B09A199057}">
  <sheetPr codeName="Sheet18"/>
  <dimension ref="A1:D22"/>
  <sheetViews>
    <sheetView workbookViewId="0">
      <selection activeCell="B4" sqref="B4"/>
    </sheetView>
  </sheetViews>
  <sheetFormatPr baseColWidth="10" defaultRowHeight="16" x14ac:dyDescent="0.2"/>
  <cols>
    <col min="1" max="1" width="12.5" customWidth="1"/>
    <col min="2" max="2" width="14.5" customWidth="1"/>
    <col min="4" max="4" width="13.1640625" customWidth="1"/>
    <col min="5" max="5" width="15" customWidth="1"/>
    <col min="7" max="7" width="12.5" customWidth="1"/>
    <col min="8" max="8" width="14.5" customWidth="1"/>
    <col min="10" max="10" width="13.1640625" customWidth="1"/>
    <col min="11" max="11" width="15" customWidth="1"/>
    <col min="13" max="13" width="12.5" customWidth="1"/>
    <col min="14" max="14" width="14.5" customWidth="1"/>
    <col min="16" max="16" width="13.1640625" customWidth="1"/>
    <col min="17" max="17" width="15" customWidth="1"/>
  </cols>
  <sheetData>
    <row r="1" spans="1:4" x14ac:dyDescent="0.2">
      <c r="A1" s="1" t="s">
        <v>40</v>
      </c>
      <c r="B1" s="1" t="s">
        <v>51</v>
      </c>
      <c r="C1" s="28"/>
      <c r="D1" s="39"/>
    </row>
    <row r="2" spans="1:4" ht="17" x14ac:dyDescent="0.2">
      <c r="A2" s="1" t="s">
        <v>41</v>
      </c>
      <c r="B2" s="57">
        <v>2761581</v>
      </c>
      <c r="C2" s="28"/>
      <c r="D2" s="39"/>
    </row>
    <row r="3" spans="1:4" x14ac:dyDescent="0.2">
      <c r="A3" s="1" t="s">
        <v>43</v>
      </c>
      <c r="B3" s="54" t="s">
        <v>35</v>
      </c>
      <c r="C3" s="28"/>
      <c r="D3" s="39"/>
    </row>
    <row r="4" spans="1:4" ht="35" thickBot="1" x14ac:dyDescent="0.25">
      <c r="A4" s="52" t="s">
        <v>0</v>
      </c>
      <c r="B4" s="53" t="s">
        <v>1</v>
      </c>
      <c r="C4" s="65" t="s">
        <v>31</v>
      </c>
      <c r="D4" s="65" t="s">
        <v>39</v>
      </c>
    </row>
    <row r="5" spans="1:4" x14ac:dyDescent="0.2">
      <c r="A5" s="8">
        <v>43913</v>
      </c>
      <c r="B5" s="9"/>
      <c r="C5" s="26" t="e">
        <f>(Table2[[#This Row],[cases]]-B4)/B4</f>
        <v>#VALUE!</v>
      </c>
      <c r="D5" s="38" t="e">
        <f t="shared" ref="D5:D22" si="0">(LN(2)/LN(B5/B4))</f>
        <v>#VALUE!</v>
      </c>
    </row>
    <row r="6" spans="1:4" x14ac:dyDescent="0.2">
      <c r="A6" s="8">
        <v>43914</v>
      </c>
      <c r="B6" s="9"/>
      <c r="C6" s="26" t="e">
        <f>(B6-B5)/B5</f>
        <v>#DIV/0!</v>
      </c>
      <c r="D6" s="38" t="e">
        <f t="shared" si="0"/>
        <v>#DIV/0!</v>
      </c>
    </row>
    <row r="7" spans="1:4" x14ac:dyDescent="0.2">
      <c r="A7" s="8">
        <v>43915</v>
      </c>
      <c r="B7" s="9"/>
      <c r="C7" s="26" t="e">
        <f t="shared" ref="C7:C22" si="1">(B7-B6)/B6</f>
        <v>#DIV/0!</v>
      </c>
      <c r="D7" s="38" t="e">
        <f t="shared" si="0"/>
        <v>#DIV/0!</v>
      </c>
    </row>
    <row r="8" spans="1:4" x14ac:dyDescent="0.2">
      <c r="A8" s="8">
        <v>43916</v>
      </c>
      <c r="B8" s="9"/>
      <c r="C8" s="26" t="e">
        <f t="shared" si="1"/>
        <v>#DIV/0!</v>
      </c>
      <c r="D8" s="38" t="e">
        <f t="shared" si="0"/>
        <v>#DIV/0!</v>
      </c>
    </row>
    <row r="9" spans="1:4" x14ac:dyDescent="0.2">
      <c r="A9" s="8">
        <v>43917</v>
      </c>
      <c r="B9" s="9"/>
      <c r="C9" s="26" t="e">
        <f t="shared" si="1"/>
        <v>#DIV/0!</v>
      </c>
      <c r="D9" s="38" t="e">
        <f t="shared" si="0"/>
        <v>#DIV/0!</v>
      </c>
    </row>
    <row r="10" spans="1:4" x14ac:dyDescent="0.2">
      <c r="A10" s="8">
        <v>43918</v>
      </c>
      <c r="B10" s="9"/>
      <c r="C10" s="26" t="e">
        <f t="shared" si="1"/>
        <v>#DIV/0!</v>
      </c>
      <c r="D10" s="38" t="e">
        <f t="shared" si="0"/>
        <v>#DIV/0!</v>
      </c>
    </row>
    <row r="11" spans="1:4" x14ac:dyDescent="0.2">
      <c r="A11" s="8">
        <v>43919</v>
      </c>
      <c r="B11" s="9"/>
      <c r="C11" s="26" t="e">
        <f t="shared" si="1"/>
        <v>#DIV/0!</v>
      </c>
      <c r="D11" s="38" t="e">
        <f t="shared" si="0"/>
        <v>#DIV/0!</v>
      </c>
    </row>
    <row r="12" spans="1:4" x14ac:dyDescent="0.2">
      <c r="A12" s="8">
        <v>43920</v>
      </c>
      <c r="B12" s="9"/>
      <c r="C12" s="26" t="e">
        <f t="shared" si="1"/>
        <v>#DIV/0!</v>
      </c>
      <c r="D12" s="38" t="e">
        <f t="shared" si="0"/>
        <v>#DIV/0!</v>
      </c>
    </row>
    <row r="13" spans="1:4" x14ac:dyDescent="0.2">
      <c r="A13" s="8">
        <v>43921</v>
      </c>
      <c r="B13" s="56"/>
      <c r="C13" s="26" t="e">
        <f t="shared" si="1"/>
        <v>#DIV/0!</v>
      </c>
      <c r="D13" s="38" t="e">
        <f t="shared" si="0"/>
        <v>#DIV/0!</v>
      </c>
    </row>
    <row r="14" spans="1:4" x14ac:dyDescent="0.2">
      <c r="A14" s="8">
        <v>43922</v>
      </c>
      <c r="B14" s="56"/>
      <c r="C14" s="26" t="e">
        <f t="shared" si="1"/>
        <v>#DIV/0!</v>
      </c>
      <c r="D14" s="38" t="e">
        <f t="shared" si="0"/>
        <v>#DIV/0!</v>
      </c>
    </row>
    <row r="15" spans="1:4" x14ac:dyDescent="0.2">
      <c r="A15" s="8">
        <v>43923</v>
      </c>
      <c r="B15" s="56"/>
      <c r="C15" s="26" t="e">
        <f t="shared" si="1"/>
        <v>#DIV/0!</v>
      </c>
      <c r="D15" s="38" t="e">
        <f t="shared" si="0"/>
        <v>#DIV/0!</v>
      </c>
    </row>
    <row r="16" spans="1:4" x14ac:dyDescent="0.2">
      <c r="A16" s="8">
        <v>43924</v>
      </c>
      <c r="B16" s="56"/>
      <c r="C16" s="26" t="e">
        <f t="shared" si="1"/>
        <v>#DIV/0!</v>
      </c>
      <c r="D16" s="38" t="e">
        <f t="shared" si="0"/>
        <v>#DIV/0!</v>
      </c>
    </row>
    <row r="17" spans="1:4" x14ac:dyDescent="0.2">
      <c r="A17" s="8">
        <v>43925</v>
      </c>
      <c r="B17" s="56"/>
      <c r="C17" s="26" t="e">
        <f t="shared" si="1"/>
        <v>#DIV/0!</v>
      </c>
      <c r="D17" s="38" t="e">
        <f t="shared" si="0"/>
        <v>#DIV/0!</v>
      </c>
    </row>
    <row r="18" spans="1:4" x14ac:dyDescent="0.2">
      <c r="A18" s="8">
        <v>43926</v>
      </c>
      <c r="B18" s="56"/>
      <c r="C18" s="26" t="e">
        <f t="shared" si="1"/>
        <v>#DIV/0!</v>
      </c>
      <c r="D18" s="38" t="e">
        <f t="shared" si="0"/>
        <v>#DIV/0!</v>
      </c>
    </row>
    <row r="19" spans="1:4" x14ac:dyDescent="0.2">
      <c r="A19" s="8">
        <v>43927</v>
      </c>
      <c r="B19" s="56"/>
      <c r="C19" s="26" t="e">
        <f t="shared" si="1"/>
        <v>#DIV/0!</v>
      </c>
      <c r="D19" s="38" t="e">
        <f t="shared" si="0"/>
        <v>#DIV/0!</v>
      </c>
    </row>
    <row r="20" spans="1:4" x14ac:dyDescent="0.2">
      <c r="A20" s="8">
        <v>43928</v>
      </c>
      <c r="B20" s="35"/>
      <c r="C20" s="26" t="e">
        <f t="shared" si="1"/>
        <v>#DIV/0!</v>
      </c>
      <c r="D20" s="38" t="e">
        <f t="shared" si="0"/>
        <v>#DIV/0!</v>
      </c>
    </row>
    <row r="21" spans="1:4" x14ac:dyDescent="0.2">
      <c r="A21" s="8">
        <v>43929</v>
      </c>
      <c r="B21" s="56"/>
      <c r="C21" s="26" t="e">
        <f t="shared" si="1"/>
        <v>#DIV/0!</v>
      </c>
      <c r="D21" s="38" t="e">
        <f t="shared" si="0"/>
        <v>#DIV/0!</v>
      </c>
    </row>
    <row r="22" spans="1:4" x14ac:dyDescent="0.2">
      <c r="A22" s="8">
        <v>43930</v>
      </c>
      <c r="B22" s="56"/>
      <c r="C22" s="26" t="e">
        <f t="shared" si="1"/>
        <v>#DIV/0!</v>
      </c>
      <c r="D22" s="38" t="e">
        <f t="shared" si="0"/>
        <v>#DIV/0!</v>
      </c>
    </row>
  </sheetData>
  <pageMargins left="0.7" right="0.7" top="0.75" bottom="0.75" header="0.3" footer="0.3"/>
  <pageSetup orientation="portrait" horizontalDpi="0" verticalDpi="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59FAC-592F-E244-B5B8-FA8641EBDA50}">
  <sheetPr codeName="Sheet14"/>
  <dimension ref="A1:D27"/>
  <sheetViews>
    <sheetView workbookViewId="0">
      <selection sqref="A1:B27"/>
    </sheetView>
  </sheetViews>
  <sheetFormatPr baseColWidth="10" defaultRowHeight="16" x14ac:dyDescent="0.2"/>
  <sheetData>
    <row r="1" spans="1:4" x14ac:dyDescent="0.2">
      <c r="A1" s="9" t="s">
        <v>40</v>
      </c>
      <c r="B1" s="9" t="s">
        <v>47</v>
      </c>
      <c r="C1" s="28"/>
      <c r="D1" s="39"/>
    </row>
    <row r="2" spans="1:4" x14ac:dyDescent="0.2">
      <c r="A2" s="9" t="s">
        <v>41</v>
      </c>
      <c r="B2" s="61">
        <v>21477737</v>
      </c>
      <c r="C2" s="28"/>
      <c r="D2" s="39"/>
    </row>
    <row r="3" spans="1:4" x14ac:dyDescent="0.2">
      <c r="A3" s="9" t="s">
        <v>43</v>
      </c>
      <c r="B3" s="12" t="s">
        <v>34</v>
      </c>
      <c r="C3" s="28"/>
      <c r="D3" s="39"/>
    </row>
    <row r="4" spans="1:4" ht="52" thickBot="1" x14ac:dyDescent="0.25">
      <c r="A4" s="62" t="s">
        <v>0</v>
      </c>
      <c r="B4" s="63" t="s">
        <v>1</v>
      </c>
      <c r="C4" s="65" t="s">
        <v>31</v>
      </c>
      <c r="D4" s="65" t="s">
        <v>39</v>
      </c>
    </row>
    <row r="5" spans="1:4" x14ac:dyDescent="0.2">
      <c r="A5" s="8">
        <v>43913</v>
      </c>
      <c r="B5" s="56">
        <v>1096</v>
      </c>
      <c r="C5" s="26" t="e">
        <f>(Table2[[#This Row],[cases]]-B4)/B4</f>
        <v>#VALUE!</v>
      </c>
      <c r="D5" s="38" t="e">
        <f t="shared" ref="D5:D21" si="0">(LN(2)/LN(B5/B4))</f>
        <v>#VALUE!</v>
      </c>
    </row>
    <row r="6" spans="1:4" x14ac:dyDescent="0.2">
      <c r="A6" s="8">
        <v>43914</v>
      </c>
      <c r="B6" s="56">
        <v>1330</v>
      </c>
      <c r="C6" s="26">
        <f>(B6-B5)/B5</f>
        <v>0.21350364963503649</v>
      </c>
      <c r="D6" s="38">
        <f t="shared" si="0"/>
        <v>3.5819383953620183</v>
      </c>
    </row>
    <row r="7" spans="1:4" x14ac:dyDescent="0.2">
      <c r="A7" s="8">
        <v>43915</v>
      </c>
      <c r="B7" s="56">
        <v>1583</v>
      </c>
      <c r="C7" s="26">
        <f t="shared" ref="C7:C21" si="1">(B7-B6)/B6</f>
        <v>0.19022556390977444</v>
      </c>
      <c r="D7" s="38">
        <f t="shared" si="0"/>
        <v>3.9803369801069528</v>
      </c>
    </row>
    <row r="8" spans="1:4" x14ac:dyDescent="0.2">
      <c r="A8" s="8">
        <v>43916</v>
      </c>
      <c r="B8" s="56">
        <v>2235</v>
      </c>
      <c r="C8" s="26">
        <f t="shared" si="1"/>
        <v>0.41187618445988627</v>
      </c>
      <c r="D8" s="38">
        <f t="shared" si="0"/>
        <v>2.0095914749191643</v>
      </c>
    </row>
    <row r="9" spans="1:4" x14ac:dyDescent="0.2">
      <c r="A9" s="8">
        <v>43917</v>
      </c>
      <c r="B9" s="56">
        <v>3198</v>
      </c>
      <c r="C9" s="26">
        <f t="shared" si="1"/>
        <v>0.43087248322147653</v>
      </c>
      <c r="D9" s="38">
        <f t="shared" si="0"/>
        <v>1.9346284878016375</v>
      </c>
    </row>
    <row r="10" spans="1:4" x14ac:dyDescent="0.2">
      <c r="A10" s="8">
        <v>43918</v>
      </c>
      <c r="B10" s="56">
        <v>3763</v>
      </c>
      <c r="C10" s="26">
        <f t="shared" si="1"/>
        <v>0.1766729205753596</v>
      </c>
      <c r="D10" s="38">
        <f t="shared" si="0"/>
        <v>4.260516061386098</v>
      </c>
    </row>
    <row r="11" spans="1:4" x14ac:dyDescent="0.2">
      <c r="A11" s="8">
        <v>43919</v>
      </c>
      <c r="B11" s="56">
        <v>4246</v>
      </c>
      <c r="C11" s="26">
        <f t="shared" si="1"/>
        <v>0.12835503587563116</v>
      </c>
      <c r="D11" s="38">
        <f t="shared" si="0"/>
        <v>5.7398334888813487</v>
      </c>
    </row>
    <row r="12" spans="1:4" x14ac:dyDescent="0.2">
      <c r="A12" s="8">
        <v>43920</v>
      </c>
      <c r="B12" s="56">
        <v>5473</v>
      </c>
      <c r="C12" s="26">
        <f t="shared" si="1"/>
        <v>0.28897786151672161</v>
      </c>
      <c r="D12" s="38">
        <f t="shared" si="0"/>
        <v>2.7305432828862481</v>
      </c>
    </row>
    <row r="13" spans="1:4" x14ac:dyDescent="0.2">
      <c r="A13" s="8">
        <v>43921</v>
      </c>
      <c r="B13" s="56">
        <v>6338</v>
      </c>
      <c r="C13" s="26">
        <f t="shared" si="1"/>
        <v>0.15804860222912478</v>
      </c>
      <c r="D13" s="38">
        <f t="shared" si="0"/>
        <v>4.7237592101650918</v>
      </c>
    </row>
    <row r="14" spans="1:4" x14ac:dyDescent="0.2">
      <c r="A14" s="8">
        <v>43922</v>
      </c>
      <c r="B14" s="56">
        <v>6954</v>
      </c>
      <c r="C14" s="26">
        <f t="shared" si="1"/>
        <v>9.7191543073524775E-2</v>
      </c>
      <c r="D14" s="38">
        <f t="shared" si="0"/>
        <v>7.4729810254126727</v>
      </c>
    </row>
    <row r="15" spans="1:4" x14ac:dyDescent="0.2">
      <c r="A15" s="8">
        <v>43923</v>
      </c>
      <c r="B15" s="56">
        <v>8010</v>
      </c>
      <c r="C15" s="26">
        <f t="shared" si="1"/>
        <v>0.15185504745470232</v>
      </c>
      <c r="D15" s="38">
        <f t="shared" si="0"/>
        <v>4.9029419598944255</v>
      </c>
    </row>
    <row r="16" spans="1:4" x14ac:dyDescent="0.2">
      <c r="A16" s="8">
        <v>43924</v>
      </c>
      <c r="B16" s="56">
        <v>9585</v>
      </c>
      <c r="C16" s="26">
        <f t="shared" si="1"/>
        <v>0.19662921348314608</v>
      </c>
      <c r="D16" s="38">
        <f t="shared" si="0"/>
        <v>3.8613588487017529</v>
      </c>
    </row>
    <row r="17" spans="1:4" x14ac:dyDescent="0.2">
      <c r="A17" s="8">
        <v>43925</v>
      </c>
      <c r="B17" s="56">
        <v>11111</v>
      </c>
      <c r="C17" s="26">
        <f t="shared" si="1"/>
        <v>0.15920709441836203</v>
      </c>
      <c r="D17" s="38">
        <f t="shared" si="0"/>
        <v>4.6917886742282757</v>
      </c>
    </row>
    <row r="18" spans="1:4" x14ac:dyDescent="0.2">
      <c r="A18" s="8">
        <v>43926</v>
      </c>
      <c r="B18" s="56">
        <v>12151</v>
      </c>
      <c r="C18" s="26">
        <f t="shared" si="1"/>
        <v>9.3600936009360092E-2</v>
      </c>
      <c r="D18" s="38">
        <f t="shared" si="0"/>
        <v>7.7467504928348845</v>
      </c>
    </row>
    <row r="19" spans="1:4" x14ac:dyDescent="0.2">
      <c r="A19" s="8">
        <v>43927</v>
      </c>
      <c r="B19" s="56">
        <v>13324</v>
      </c>
      <c r="C19" s="26">
        <f t="shared" si="1"/>
        <v>9.6535264587276765E-2</v>
      </c>
      <c r="D19" s="38">
        <f t="shared" si="0"/>
        <v>7.5214996512474244</v>
      </c>
    </row>
    <row r="20" spans="1:4" x14ac:dyDescent="0.2">
      <c r="A20" s="8">
        <v>43928</v>
      </c>
      <c r="B20" s="56">
        <v>14504</v>
      </c>
      <c r="C20" s="26">
        <f t="shared" si="1"/>
        <v>8.8561993395376765E-2</v>
      </c>
      <c r="D20" s="38">
        <f t="shared" si="0"/>
        <v>8.1683616256365585</v>
      </c>
    </row>
    <row r="21" spans="1:4" x14ac:dyDescent="0.2">
      <c r="A21" s="8">
        <v>43929</v>
      </c>
      <c r="B21" s="56">
        <v>15456</v>
      </c>
      <c r="C21" s="26">
        <f t="shared" si="1"/>
        <v>6.5637065637065631E-2</v>
      </c>
      <c r="D21" s="38">
        <f t="shared" si="0"/>
        <v>10.903202891096551</v>
      </c>
    </row>
    <row r="22" spans="1:4" x14ac:dyDescent="0.2">
      <c r="A22" s="8">
        <v>43930</v>
      </c>
      <c r="B22" s="56">
        <v>16364</v>
      </c>
      <c r="C22" s="26">
        <f t="shared" ref="C22" si="2">(B22-B21)/B21</f>
        <v>5.8747412008281576E-2</v>
      </c>
      <c r="D22" s="38">
        <f t="shared" ref="D22" si="3">(LN(2)/LN(B22/B21))</f>
        <v>12.142045951078709</v>
      </c>
    </row>
    <row r="23" spans="1:4" x14ac:dyDescent="0.2">
      <c r="A23" s="8">
        <v>43931</v>
      </c>
      <c r="B23" s="56">
        <v>17531</v>
      </c>
      <c r="C23" s="26">
        <f t="shared" ref="C23" si="4">(B23-B22)/B22</f>
        <v>7.1315081887069171E-2</v>
      </c>
      <c r="D23" s="38">
        <f t="shared" ref="D23" si="5">(LN(2)/LN(B23/B22))</f>
        <v>10.06209823474501</v>
      </c>
    </row>
    <row r="24" spans="1:4" x14ac:dyDescent="0.2">
      <c r="A24" s="8">
        <v>43932</v>
      </c>
      <c r="B24" s="56">
        <v>18494</v>
      </c>
      <c r="C24" s="26">
        <f t="shared" ref="C24" si="6">(B24-B23)/B23</f>
        <v>5.4931264616964237E-2</v>
      </c>
      <c r="D24" s="38">
        <f t="shared" ref="D24" si="7">(LN(2)/LN(B24/B23))</f>
        <v>12.961930578775871</v>
      </c>
    </row>
    <row r="25" spans="1:4" x14ac:dyDescent="0.2">
      <c r="A25" s="8">
        <v>43933</v>
      </c>
      <c r="B25" s="56">
        <v>19347</v>
      </c>
      <c r="C25" s="26">
        <f t="shared" ref="C25" si="8">(B25-B24)/B24</f>
        <v>4.6123066940629391E-2</v>
      </c>
      <c r="D25" s="38">
        <f t="shared" ref="D25" si="9">(LN(2)/LN(B25/B24))</f>
        <v>15.372180089302603</v>
      </c>
    </row>
    <row r="26" spans="1:4" x14ac:dyDescent="0.2">
      <c r="A26" s="8">
        <v>43934</v>
      </c>
      <c r="B26" s="56">
        <v>20601</v>
      </c>
      <c r="C26" s="26">
        <f t="shared" ref="C26" si="10">(B26-B25)/B25</f>
        <v>6.4816250581485504E-2</v>
      </c>
      <c r="D26" s="38">
        <f t="shared" ref="D26" si="11">(LN(2)/LN(B26/B25))</f>
        <v>11.036980121907526</v>
      </c>
    </row>
    <row r="27" spans="1:4" x14ac:dyDescent="0.2">
      <c r="A27" s="8">
        <v>43935</v>
      </c>
      <c r="B27" s="56">
        <v>21367</v>
      </c>
      <c r="C27" s="26">
        <f t="shared" ref="C27" si="12">(B27-B26)/B26</f>
        <v>3.7182661035872047E-2</v>
      </c>
      <c r="D27" s="38">
        <f t="shared" ref="D27" si="13">(LN(2)/LN(B27/B26))</f>
        <v>18.986142481819783</v>
      </c>
    </row>
  </sheetData>
  <pageMargins left="0.7" right="0.7" top="0.75" bottom="0.75" header="0.3" footer="0.3"/>
  <pageSetup orientation="portrait" horizontalDpi="0" verticalDpi="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72A28-84D5-374C-B324-F27ED9452B8E}">
  <sheetPr codeName="Sheet15"/>
  <dimension ref="A1:D30"/>
  <sheetViews>
    <sheetView workbookViewId="0">
      <selection sqref="A1:B30"/>
    </sheetView>
  </sheetViews>
  <sheetFormatPr baseColWidth="10" defaultRowHeight="16" x14ac:dyDescent="0.2"/>
  <sheetData>
    <row r="1" spans="1:4" x14ac:dyDescent="0.2">
      <c r="A1" s="9" t="s">
        <v>40</v>
      </c>
      <c r="B1" s="9" t="s">
        <v>47</v>
      </c>
      <c r="C1" s="28"/>
      <c r="D1" s="39"/>
    </row>
    <row r="2" spans="1:4" x14ac:dyDescent="0.2">
      <c r="A2" s="9" t="s">
        <v>41</v>
      </c>
      <c r="B2" s="61">
        <v>21477737</v>
      </c>
      <c r="C2" s="28"/>
      <c r="D2" s="39"/>
    </row>
    <row r="3" spans="1:4" x14ac:dyDescent="0.2">
      <c r="A3" s="9" t="s">
        <v>43</v>
      </c>
      <c r="B3" s="12" t="s">
        <v>35</v>
      </c>
      <c r="C3" s="28"/>
      <c r="D3" s="39"/>
    </row>
    <row r="4" spans="1:4" ht="52" thickBot="1" x14ac:dyDescent="0.25">
      <c r="A4" s="62" t="s">
        <v>0</v>
      </c>
      <c r="B4" s="63" t="s">
        <v>1</v>
      </c>
      <c r="C4" s="65" t="s">
        <v>31</v>
      </c>
      <c r="D4" s="65" t="s">
        <v>39</v>
      </c>
    </row>
    <row r="5" spans="1:4" x14ac:dyDescent="0.2">
      <c r="A5" s="8">
        <v>43913</v>
      </c>
      <c r="B5" s="56">
        <v>1147</v>
      </c>
      <c r="C5" s="26" t="e">
        <f>(Table2[[#This Row],[cases]]-B4)/B4</f>
        <v>#VALUE!</v>
      </c>
      <c r="D5" s="38" t="e">
        <f t="shared" ref="D5:D21" si="0">(LN(2)/LN(B5/B4))</f>
        <v>#VALUE!</v>
      </c>
    </row>
    <row r="6" spans="1:4" x14ac:dyDescent="0.2">
      <c r="A6" s="8">
        <v>43914</v>
      </c>
      <c r="B6" s="56">
        <v>1379</v>
      </c>
      <c r="C6" s="26">
        <f>(B6-B5)/B5</f>
        <v>0.20226678291194419</v>
      </c>
      <c r="D6" s="38">
        <f t="shared" si="0"/>
        <v>3.7628350468331795</v>
      </c>
    </row>
    <row r="7" spans="1:4" x14ac:dyDescent="0.2">
      <c r="A7" s="8">
        <v>43915</v>
      </c>
      <c r="B7" s="56">
        <v>1867</v>
      </c>
      <c r="C7" s="26">
        <f t="shared" ref="C7:C21" si="1">(B7-B6)/B6</f>
        <v>0.3538796229151559</v>
      </c>
      <c r="D7" s="38">
        <f t="shared" si="0"/>
        <v>2.2878087643770719</v>
      </c>
    </row>
    <row r="8" spans="1:4" x14ac:dyDescent="0.2">
      <c r="A8" s="8">
        <v>43916</v>
      </c>
      <c r="B8" s="56">
        <v>2484</v>
      </c>
      <c r="C8" s="26">
        <f t="shared" si="1"/>
        <v>0.33047670058918049</v>
      </c>
      <c r="D8" s="38">
        <f t="shared" si="0"/>
        <v>2.4275188626684923</v>
      </c>
    </row>
    <row r="9" spans="1:4" x14ac:dyDescent="0.2">
      <c r="A9" s="8">
        <v>43917</v>
      </c>
      <c r="B9" s="56">
        <v>3198</v>
      </c>
      <c r="C9" s="26">
        <f t="shared" si="1"/>
        <v>0.28743961352657005</v>
      </c>
      <c r="D9" s="38">
        <f t="shared" si="0"/>
        <v>2.7434483587261567</v>
      </c>
    </row>
    <row r="10" spans="1:4" x14ac:dyDescent="0.2">
      <c r="A10" s="8">
        <v>43918</v>
      </c>
      <c r="B10" s="56">
        <v>4038</v>
      </c>
      <c r="C10" s="26">
        <f t="shared" si="1"/>
        <v>0.26266416510318952</v>
      </c>
      <c r="D10" s="38">
        <f t="shared" si="0"/>
        <v>2.9720245835721353</v>
      </c>
    </row>
    <row r="11" spans="1:4" x14ac:dyDescent="0.2">
      <c r="A11" s="8">
        <v>43919</v>
      </c>
      <c r="B11" s="56">
        <v>4950</v>
      </c>
      <c r="C11" s="26">
        <f t="shared" si="1"/>
        <v>0.22585438335809807</v>
      </c>
      <c r="D11" s="38">
        <f t="shared" si="0"/>
        <v>3.4038194619745781</v>
      </c>
    </row>
    <row r="12" spans="1:4" x14ac:dyDescent="0.2">
      <c r="A12" s="8">
        <v>43920</v>
      </c>
      <c r="B12" s="56">
        <v>5704</v>
      </c>
      <c r="C12" s="26">
        <f t="shared" si="1"/>
        <v>0.15232323232323233</v>
      </c>
      <c r="D12" s="38">
        <f t="shared" si="0"/>
        <v>4.8888888400323909</v>
      </c>
    </row>
    <row r="13" spans="1:4" x14ac:dyDescent="0.2">
      <c r="A13" s="8">
        <v>43921</v>
      </c>
      <c r="B13" s="56">
        <v>6741</v>
      </c>
      <c r="C13" s="26">
        <f t="shared" si="1"/>
        <v>0.1818022440392707</v>
      </c>
      <c r="D13" s="38">
        <f t="shared" si="0"/>
        <v>4.149573131970862</v>
      </c>
    </row>
    <row r="14" spans="1:4" x14ac:dyDescent="0.2">
      <c r="A14" s="8">
        <v>43922</v>
      </c>
      <c r="B14" s="56">
        <v>7773</v>
      </c>
      <c r="C14" s="26">
        <f t="shared" si="1"/>
        <v>0.15309301290609703</v>
      </c>
      <c r="D14" s="38">
        <f t="shared" si="0"/>
        <v>4.8659695214796796</v>
      </c>
    </row>
    <row r="15" spans="1:4" x14ac:dyDescent="0.2">
      <c r="A15" s="8">
        <v>43923</v>
      </c>
      <c r="B15" s="56">
        <v>9008</v>
      </c>
      <c r="C15" s="26">
        <f t="shared" si="1"/>
        <v>0.15888331403576483</v>
      </c>
      <c r="D15" s="38">
        <f t="shared" si="0"/>
        <v>4.7006770735803105</v>
      </c>
    </row>
    <row r="16" spans="1:4" x14ac:dyDescent="0.2">
      <c r="A16" s="8">
        <v>43924</v>
      </c>
      <c r="B16" s="56">
        <v>10268</v>
      </c>
      <c r="C16" s="26">
        <f t="shared" si="1"/>
        <v>0.13987566607460036</v>
      </c>
      <c r="D16" s="38">
        <f t="shared" si="0"/>
        <v>5.2944657847913597</v>
      </c>
    </row>
    <row r="17" spans="1:4" x14ac:dyDescent="0.2">
      <c r="A17" s="8">
        <v>43925</v>
      </c>
      <c r="B17" s="56">
        <v>11545</v>
      </c>
      <c r="C17" s="26">
        <f t="shared" si="1"/>
        <v>0.12436696532917803</v>
      </c>
      <c r="D17" s="38">
        <f t="shared" si="0"/>
        <v>5.9132069389160344</v>
      </c>
    </row>
    <row r="18" spans="1:4" x14ac:dyDescent="0.2">
      <c r="A18" s="8">
        <v>43926</v>
      </c>
      <c r="B18" s="56">
        <v>12350</v>
      </c>
      <c r="C18" s="26">
        <f t="shared" si="1"/>
        <v>6.9727154612386308E-2</v>
      </c>
      <c r="D18" s="38">
        <f t="shared" si="0"/>
        <v>10.283530436626666</v>
      </c>
    </row>
    <row r="19" spans="1:4" x14ac:dyDescent="0.2">
      <c r="A19" s="8">
        <v>43927</v>
      </c>
      <c r="B19" s="56">
        <v>13629</v>
      </c>
      <c r="C19" s="26">
        <f t="shared" si="1"/>
        <v>0.10356275303643725</v>
      </c>
      <c r="D19" s="38">
        <f t="shared" si="0"/>
        <v>7.0338985663313718</v>
      </c>
    </row>
    <row r="20" spans="1:4" x14ac:dyDescent="0.2">
      <c r="A20" s="8">
        <v>43928</v>
      </c>
      <c r="B20" s="56">
        <v>14747</v>
      </c>
      <c r="C20" s="26">
        <f t="shared" si="1"/>
        <v>8.2030963386895583E-2</v>
      </c>
      <c r="D20" s="38">
        <f t="shared" si="0"/>
        <v>8.7918438211140977</v>
      </c>
    </row>
    <row r="21" spans="1:4" x14ac:dyDescent="0.2">
      <c r="A21" s="8">
        <v>43929</v>
      </c>
      <c r="B21" s="56">
        <v>15698</v>
      </c>
      <c r="C21" s="26">
        <f t="shared" si="1"/>
        <v>6.4487692412016004E-2</v>
      </c>
      <c r="D21" s="38">
        <f t="shared" si="0"/>
        <v>11.091482948530885</v>
      </c>
    </row>
    <row r="22" spans="1:4" x14ac:dyDescent="0.2">
      <c r="A22" s="8">
        <v>43930</v>
      </c>
      <c r="B22" s="56">
        <v>16826</v>
      </c>
      <c r="C22" s="26">
        <f t="shared" ref="C22:C23" si="2">(B22-B21)/B21</f>
        <v>7.1856287425149698E-2</v>
      </c>
      <c r="D22" s="38">
        <f t="shared" ref="D22:D23" si="3">(LN(2)/LN(B22/B21))</f>
        <v>9.988863935997184</v>
      </c>
    </row>
    <row r="23" spans="1:4" x14ac:dyDescent="0.2">
      <c r="A23" s="8">
        <v>43931</v>
      </c>
      <c r="B23" s="56">
        <v>17968</v>
      </c>
      <c r="C23" s="26">
        <f t="shared" si="2"/>
        <v>6.7871151788898132E-2</v>
      </c>
      <c r="D23" s="38">
        <f t="shared" si="3"/>
        <v>10.555472954784234</v>
      </c>
    </row>
    <row r="24" spans="1:4" x14ac:dyDescent="0.2">
      <c r="A24" s="8">
        <v>43932</v>
      </c>
      <c r="B24" s="56">
        <v>18986</v>
      </c>
      <c r="C24" s="26">
        <f t="shared" ref="C24" si="4">(B24-B23)/B23</f>
        <v>5.6656277827248441E-2</v>
      </c>
      <c r="D24" s="38">
        <f t="shared" ref="D24" si="5">(LN(2)/LN(B24/B23))</f>
        <v>12.577642507955398</v>
      </c>
    </row>
    <row r="25" spans="1:4" x14ac:dyDescent="0.2">
      <c r="A25" s="8">
        <v>43933</v>
      </c>
      <c r="B25" s="56">
        <v>19895</v>
      </c>
      <c r="C25" s="26">
        <f t="shared" ref="C25" si="6">(B25-B24)/B24</f>
        <v>4.7877383335089015E-2</v>
      </c>
      <c r="D25" s="38">
        <f t="shared" ref="D25" si="7">(LN(2)/LN(B25/B24))</f>
        <v>14.821421707304372</v>
      </c>
    </row>
    <row r="26" spans="1:4" x14ac:dyDescent="0.2">
      <c r="A26" s="8">
        <v>43934</v>
      </c>
      <c r="B26" s="56">
        <v>21019</v>
      </c>
      <c r="C26" s="26">
        <f>(B26-B25)/B25</f>
        <v>5.6496607187735609E-2</v>
      </c>
      <c r="D26" s="38">
        <f>(LN(2)/LN(B26/B25))</f>
        <v>12.612227663194551</v>
      </c>
    </row>
    <row r="27" spans="1:4" x14ac:dyDescent="0.2">
      <c r="A27" s="8">
        <v>43935</v>
      </c>
      <c r="B27" s="56">
        <v>21628</v>
      </c>
      <c r="C27" s="26">
        <f>(B27-B26)/B26</f>
        <v>2.8973785622531993E-2</v>
      </c>
      <c r="D27" s="38">
        <f>(LN(2)/LN(B27/B26))</f>
        <v>24.268176005353027</v>
      </c>
    </row>
    <row r="28" spans="1:4" x14ac:dyDescent="0.2">
      <c r="A28" s="8">
        <v>43936</v>
      </c>
      <c r="B28" s="56">
        <v>22519</v>
      </c>
      <c r="C28" s="26">
        <f>(B28-B27)/B27</f>
        <v>4.1196597003883853E-2</v>
      </c>
      <c r="D28" s="38">
        <f>(LN(2)/LN(B28/B27))</f>
        <v>17.169592171387023</v>
      </c>
    </row>
    <row r="29" spans="1:4" x14ac:dyDescent="0.2">
      <c r="A29" s="8">
        <v>43937</v>
      </c>
      <c r="B29" s="56">
        <v>23340</v>
      </c>
      <c r="C29" s="26">
        <f t="shared" ref="C29:C30" si="8">(B29-B28)/B28</f>
        <v>3.6458102047160178E-2</v>
      </c>
      <c r="D29" s="38">
        <f t="shared" ref="D29:D30" si="9">(LN(2)/LN(B29/B28))</f>
        <v>19.356662775040331</v>
      </c>
    </row>
    <row r="30" spans="1:4" x14ac:dyDescent="0.2">
      <c r="A30" s="8">
        <v>43938</v>
      </c>
      <c r="B30" s="56">
        <v>24753</v>
      </c>
      <c r="C30" s="26">
        <f t="shared" si="8"/>
        <v>6.0539845758354756E-2</v>
      </c>
      <c r="D30" s="38">
        <f t="shared" si="9"/>
        <v>11.79261613626988</v>
      </c>
    </row>
  </sheetData>
  <pageMargins left="0.7" right="0.7" top="0.75" bottom="0.75" header="0.3" footer="0.3"/>
  <pageSetup orientation="portrait" horizontalDpi="0" verticalDpi="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F91F46-3E6F-5144-BAAA-E50B1EEBF2EA}">
  <sheetPr codeName="Sheet19"/>
  <dimension ref="A1:D31"/>
  <sheetViews>
    <sheetView workbookViewId="0">
      <selection activeCell="F30" sqref="F30"/>
    </sheetView>
  </sheetViews>
  <sheetFormatPr baseColWidth="10" defaultRowHeight="16" x14ac:dyDescent="0.2"/>
  <cols>
    <col min="1" max="1" width="12.5" customWidth="1"/>
    <col min="2" max="2" width="14.5" customWidth="1"/>
    <col min="4" max="4" width="13.1640625" customWidth="1"/>
    <col min="5" max="5" width="15" customWidth="1"/>
    <col min="7" max="7" width="12.5" customWidth="1"/>
    <col min="8" max="8" width="14.5" customWidth="1"/>
    <col min="10" max="10" width="13.1640625" customWidth="1"/>
    <col min="11" max="11" width="15" customWidth="1"/>
    <col min="13" max="13" width="12.5" customWidth="1"/>
    <col min="14" max="14" width="14.5" customWidth="1"/>
    <col min="16" max="16" width="13.1640625" customWidth="1"/>
    <col min="17" max="17" width="15" customWidth="1"/>
  </cols>
  <sheetData>
    <row r="1" spans="1:4" x14ac:dyDescent="0.2">
      <c r="A1" s="1" t="s">
        <v>40</v>
      </c>
      <c r="B1" s="67" t="s">
        <v>49</v>
      </c>
      <c r="C1" s="28"/>
      <c r="D1" s="39"/>
    </row>
    <row r="2" spans="1:4" x14ac:dyDescent="0.2">
      <c r="A2" s="1" t="s">
        <v>41</v>
      </c>
      <c r="B2" s="69">
        <v>2231647</v>
      </c>
      <c r="C2" s="28"/>
      <c r="D2" s="39"/>
    </row>
    <row r="3" spans="1:4" x14ac:dyDescent="0.2">
      <c r="A3" s="1" t="s">
        <v>43</v>
      </c>
      <c r="B3" s="68" t="s">
        <v>50</v>
      </c>
      <c r="C3" s="28"/>
      <c r="D3" s="39"/>
    </row>
    <row r="4" spans="1:4" ht="35" thickBot="1" x14ac:dyDescent="0.25">
      <c r="A4" s="52" t="s">
        <v>0</v>
      </c>
      <c r="B4" s="53" t="s">
        <v>1</v>
      </c>
      <c r="C4" s="65" t="s">
        <v>31</v>
      </c>
      <c r="D4" s="65" t="s">
        <v>39</v>
      </c>
    </row>
    <row r="5" spans="1:4" x14ac:dyDescent="0.2">
      <c r="A5" s="8">
        <v>43919</v>
      </c>
      <c r="B5" s="9">
        <v>753</v>
      </c>
      <c r="C5" s="26" t="e">
        <f>(B5-#REF!)/#REF!</f>
        <v>#REF!</v>
      </c>
      <c r="D5" s="38" t="e">
        <f>(LN(2)/LN(B5/#REF!))</f>
        <v>#REF!</v>
      </c>
    </row>
    <row r="6" spans="1:4" x14ac:dyDescent="0.2">
      <c r="A6" s="8">
        <v>43920</v>
      </c>
      <c r="B6" s="9">
        <v>869</v>
      </c>
      <c r="C6" s="26">
        <f t="shared" ref="C6:C15" si="0">(B6-B5)/B5</f>
        <v>0.15405046480743692</v>
      </c>
      <c r="D6" s="38">
        <f t="shared" ref="D6:D15" si="1">(LN(2)/LN(B6/B5))</f>
        <v>4.8377816315098832</v>
      </c>
    </row>
    <row r="7" spans="1:4" x14ac:dyDescent="0.2">
      <c r="A7" s="8">
        <v>43921</v>
      </c>
      <c r="B7" s="56">
        <v>961</v>
      </c>
      <c r="C7" s="26">
        <f t="shared" si="0"/>
        <v>0.10586881472957423</v>
      </c>
      <c r="D7" s="38">
        <f t="shared" si="1"/>
        <v>6.8879890531118244</v>
      </c>
    </row>
    <row r="8" spans="1:4" x14ac:dyDescent="0.2">
      <c r="A8" s="8">
        <v>43922</v>
      </c>
      <c r="B8" s="56">
        <v>1125</v>
      </c>
      <c r="C8" s="26">
        <f t="shared" si="0"/>
        <v>0.17065556711758584</v>
      </c>
      <c r="D8" s="38">
        <f t="shared" si="1"/>
        <v>4.3991495236190712</v>
      </c>
    </row>
    <row r="9" spans="1:4" x14ac:dyDescent="0.2">
      <c r="A9" s="8">
        <v>43923</v>
      </c>
      <c r="B9" s="56">
        <v>1279</v>
      </c>
      <c r="C9" s="26">
        <f t="shared" si="0"/>
        <v>0.13688888888888889</v>
      </c>
      <c r="D9" s="38">
        <f t="shared" si="1"/>
        <v>5.4027401671764901</v>
      </c>
    </row>
    <row r="10" spans="1:4" x14ac:dyDescent="0.2">
      <c r="A10" s="8">
        <v>43924</v>
      </c>
      <c r="B10" s="56">
        <v>1418</v>
      </c>
      <c r="C10" s="26">
        <f t="shared" si="0"/>
        <v>0.10867865519937452</v>
      </c>
      <c r="D10" s="38">
        <f t="shared" si="1"/>
        <v>6.7185667727284111</v>
      </c>
    </row>
    <row r="11" spans="1:4" x14ac:dyDescent="0.2">
      <c r="A11" s="8">
        <v>43925</v>
      </c>
      <c r="B11" s="56">
        <v>1519</v>
      </c>
      <c r="C11" s="26">
        <f t="shared" si="0"/>
        <v>7.1227080394922426E-2</v>
      </c>
      <c r="D11" s="38">
        <f t="shared" si="1"/>
        <v>10.074111484317552</v>
      </c>
    </row>
    <row r="12" spans="1:4" x14ac:dyDescent="0.2">
      <c r="A12" s="8">
        <v>43926</v>
      </c>
      <c r="B12" s="56">
        <v>1608</v>
      </c>
      <c r="C12" s="26">
        <f t="shared" si="0"/>
        <v>5.8591178406846613E-2</v>
      </c>
      <c r="D12" s="38">
        <f t="shared" si="1"/>
        <v>12.173515938351329</v>
      </c>
    </row>
    <row r="13" spans="1:4" x14ac:dyDescent="0.2">
      <c r="A13" s="8">
        <v>43927</v>
      </c>
      <c r="B13" s="56">
        <v>1734</v>
      </c>
      <c r="C13" s="26">
        <f t="shared" si="0"/>
        <v>7.8358208955223885E-2</v>
      </c>
      <c r="D13" s="38">
        <f t="shared" si="1"/>
        <v>9.1880947394534846</v>
      </c>
    </row>
    <row r="14" spans="1:4" x14ac:dyDescent="0.2">
      <c r="A14" s="8">
        <v>43928</v>
      </c>
      <c r="B14" s="35">
        <v>1878</v>
      </c>
      <c r="C14" s="26">
        <f t="shared" si="0"/>
        <v>8.3044982698961933E-2</v>
      </c>
      <c r="D14" s="38">
        <f t="shared" si="1"/>
        <v>8.6886133067559541</v>
      </c>
    </row>
    <row r="15" spans="1:4" x14ac:dyDescent="0.2">
      <c r="A15" s="8">
        <v>43929</v>
      </c>
      <c r="B15" s="9">
        <v>2009</v>
      </c>
      <c r="C15" s="26">
        <f t="shared" si="0"/>
        <v>6.9755058572949946E-2</v>
      </c>
      <c r="D15" s="38">
        <f t="shared" si="1"/>
        <v>10.27955231421552</v>
      </c>
    </row>
    <row r="16" spans="1:4" x14ac:dyDescent="0.2">
      <c r="B16" s="9"/>
    </row>
    <row r="17" spans="2:2" x14ac:dyDescent="0.2">
      <c r="B17" s="9"/>
    </row>
    <row r="18" spans="2:2" x14ac:dyDescent="0.2">
      <c r="B18" s="9"/>
    </row>
    <row r="19" spans="2:2" x14ac:dyDescent="0.2">
      <c r="B19" s="9"/>
    </row>
    <row r="20" spans="2:2" x14ac:dyDescent="0.2">
      <c r="B20" s="9"/>
    </row>
    <row r="21" spans="2:2" x14ac:dyDescent="0.2">
      <c r="B21" s="9"/>
    </row>
    <row r="22" spans="2:2" x14ac:dyDescent="0.2">
      <c r="B22" s="56"/>
    </row>
    <row r="23" spans="2:2" x14ac:dyDescent="0.2">
      <c r="B23" s="56"/>
    </row>
    <row r="24" spans="2:2" x14ac:dyDescent="0.2">
      <c r="B24" s="56"/>
    </row>
    <row r="25" spans="2:2" x14ac:dyDescent="0.2">
      <c r="B25" s="56"/>
    </row>
    <row r="26" spans="2:2" x14ac:dyDescent="0.2">
      <c r="B26" s="56"/>
    </row>
    <row r="27" spans="2:2" x14ac:dyDescent="0.2">
      <c r="B27" s="56"/>
    </row>
    <row r="28" spans="2:2" x14ac:dyDescent="0.2">
      <c r="B28" s="56"/>
    </row>
    <row r="29" spans="2:2" x14ac:dyDescent="0.2">
      <c r="B29" s="35"/>
    </row>
    <row r="30" spans="2:2" x14ac:dyDescent="0.2">
      <c r="B30" s="56"/>
    </row>
    <row r="31" spans="2:2" x14ac:dyDescent="0.2">
      <c r="B31" s="56"/>
    </row>
  </sheetData>
  <pageMargins left="0.7" right="0.7" top="0.75" bottom="0.75" header="0.3" footer="0.3"/>
  <pageSetup orientation="portrait" horizontalDpi="0" verticalDpi="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21</vt:i4>
      </vt:variant>
    </vt:vector>
  </HeadingPairs>
  <TitlesOfParts>
    <vt:vector size="21" baseType="lpstr">
      <vt:lpstr>Cases</vt:lpstr>
      <vt:lpstr>% Increase</vt:lpstr>
      <vt:lpstr>Doubling Time</vt:lpstr>
      <vt:lpstr>Number of Infections</vt:lpstr>
      <vt:lpstr>Case Percentage</vt:lpstr>
      <vt:lpstr>Infection Percentage</vt:lpstr>
      <vt:lpstr>Infection Projection</vt:lpstr>
      <vt:lpstr>Infection Odds</vt:lpstr>
      <vt:lpstr>dashboard</vt:lpstr>
      <vt:lpstr>compute</vt:lpstr>
      <vt:lpstr>Miami Beach morning</vt:lpstr>
      <vt:lpstr>Miami Beach evening</vt:lpstr>
      <vt:lpstr>Miami morning</vt:lpstr>
      <vt:lpstr>Miami evening</vt:lpstr>
      <vt:lpstr>Melbourne morning</vt:lpstr>
      <vt:lpstr>Melbourne evening</vt:lpstr>
      <vt:lpstr>Dade morning</vt:lpstr>
      <vt:lpstr>Dade evening</vt:lpstr>
      <vt:lpstr>Florida morning</vt:lpstr>
      <vt:lpstr>Florida evening</vt:lpstr>
      <vt:lpstr>Clark (NV) daily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Ryan Porter</dc:creator>
  <cp:lastModifiedBy>Ryan Porter</cp:lastModifiedBy>
  <dcterms:created xsi:type="dcterms:W3CDTF">2020-04-06T13:55:13Z</dcterms:created>
  <dcterms:modified xsi:type="dcterms:W3CDTF">2020-04-21T23:55:55Z</dcterms:modified>
</cp:coreProperties>
</file>