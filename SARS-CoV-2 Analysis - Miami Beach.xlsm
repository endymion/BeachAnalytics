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5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SARS-CoV-2 Analysis/"/>
    </mc:Choice>
  </mc:AlternateContent>
  <xr:revisionPtr revIDLastSave="0" documentId="8_{7A21A328-B46A-C248-B0EA-700141CE12D4}" xr6:coauthVersionLast="45" xr6:coauthVersionMax="45" xr10:uidLastSave="{00000000-0000-0000-0000-000000000000}"/>
  <bookViews>
    <workbookView xWindow="12140" yWindow="0" windowWidth="16660" windowHeight="18000" firstSheet="12" activeTab="18" xr2:uid="{5746141D-E7E8-714E-A98D-1CE69C8603B7}"/>
  </bookViews>
  <sheets>
    <sheet name="Cases" sheetId="5" r:id="rId1"/>
    <sheet name="% Increase" sheetId="17" r:id="rId2"/>
    <sheet name="Doubling Time" sheetId="8" r:id="rId3"/>
    <sheet name="Number of Infections" sheetId="3" r:id="rId4"/>
    <sheet name="Infection Percentage" sheetId="4" r:id="rId5"/>
    <sheet name="Infection Odds" sheetId="2" r:id="rId6"/>
    <sheet name="dashboard" sheetId="6" r:id="rId7"/>
    <sheet name="compute" sheetId="1" r:id="rId8"/>
    <sheet name="Miami Beach morning" sheetId="9" r:id="rId9"/>
    <sheet name="Miami Beach evening" sheetId="10" r:id="rId10"/>
    <sheet name="Miami morning" sheetId="11" r:id="rId11"/>
    <sheet name="Miami evening" sheetId="12" r:id="rId12"/>
    <sheet name="Melbourne morning" sheetId="13" r:id="rId13"/>
    <sheet name="Melbourne evening" sheetId="14" r:id="rId14"/>
    <sheet name="Dade morning" sheetId="18" r:id="rId15"/>
    <sheet name="Dade evening" sheetId="19" r:id="rId16"/>
    <sheet name="Florida morning" sheetId="15" r:id="rId17"/>
    <sheet name="Florida evening" sheetId="16" r:id="rId18"/>
    <sheet name="Clark (NV) daily" sheetId="20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1" i="20" l="1"/>
  <c r="C21" i="20"/>
  <c r="D20" i="20"/>
  <c r="C20" i="20"/>
  <c r="D19" i="20"/>
  <c r="C19" i="20"/>
  <c r="D18" i="20"/>
  <c r="C18" i="20"/>
  <c r="D17" i="20"/>
  <c r="C17" i="20"/>
  <c r="D16" i="20"/>
  <c r="C16" i="20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C22" i="1"/>
  <c r="D22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R6" i="1"/>
  <c r="S24" i="1" s="1"/>
  <c r="R9" i="1"/>
  <c r="C6" i="6" s="1"/>
  <c r="U6" i="1"/>
  <c r="Q9" i="1"/>
  <c r="Q6" i="1"/>
  <c r="I22" i="1" s="1"/>
  <c r="G22" i="1" l="1"/>
  <c r="H22" i="1"/>
  <c r="N22" i="1"/>
  <c r="J22" i="1"/>
  <c r="K22" i="1" s="1"/>
  <c r="M22" i="1"/>
  <c r="S28" i="1"/>
  <c r="D21" i="1"/>
  <c r="C21" i="1"/>
  <c r="G21" i="1"/>
  <c r="M21" i="1"/>
  <c r="N21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O22" i="1" l="1"/>
  <c r="P22" i="1"/>
  <c r="L22" i="1"/>
  <c r="R21" i="1"/>
  <c r="S36" i="1" s="1"/>
  <c r="C8" i="6" s="1"/>
  <c r="H21" i="1"/>
  <c r="O21" i="1"/>
  <c r="J21" i="1"/>
  <c r="I21" i="1"/>
  <c r="R26" i="1"/>
  <c r="S38" i="1" s="1"/>
  <c r="P21" i="1"/>
  <c r="N20" i="1"/>
  <c r="M20" i="1"/>
  <c r="N19" i="1"/>
  <c r="M19" i="1"/>
  <c r="N18" i="1"/>
  <c r="M18" i="1"/>
  <c r="N17" i="1"/>
  <c r="M17" i="1"/>
  <c r="N16" i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6" i="1"/>
  <c r="M6" i="1"/>
  <c r="N5" i="1"/>
  <c r="M5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I5" i="1"/>
  <c r="I6" i="1"/>
  <c r="I7" i="1"/>
  <c r="I8" i="1"/>
  <c r="L8" i="1" s="1"/>
  <c r="I9" i="1"/>
  <c r="I10" i="1"/>
  <c r="H11" i="1"/>
  <c r="I12" i="1"/>
  <c r="L12" i="1" s="1"/>
  <c r="I13" i="1"/>
  <c r="I14" i="1"/>
  <c r="H15" i="1"/>
  <c r="I16" i="1"/>
  <c r="L16" i="1" s="1"/>
  <c r="I17" i="1"/>
  <c r="I18" i="1"/>
  <c r="I20" i="1"/>
  <c r="L7" i="1" l="1"/>
  <c r="G8" i="6"/>
  <c r="S40" i="1"/>
  <c r="K21" i="1"/>
  <c r="L21" i="1"/>
  <c r="L9" i="1"/>
  <c r="O10" i="1"/>
  <c r="P12" i="1"/>
  <c r="O9" i="1"/>
  <c r="P11" i="1"/>
  <c r="P16" i="1"/>
  <c r="O5" i="1"/>
  <c r="P7" i="1"/>
  <c r="P9" i="1"/>
  <c r="O11" i="1"/>
  <c r="P13" i="1"/>
  <c r="P15" i="1"/>
  <c r="O17" i="1"/>
  <c r="O15" i="1"/>
  <c r="P5" i="1"/>
  <c r="O7" i="1"/>
  <c r="O13" i="1"/>
  <c r="P17" i="1"/>
  <c r="P10" i="1"/>
  <c r="O12" i="1"/>
  <c r="O16" i="1"/>
  <c r="P18" i="1"/>
  <c r="O20" i="1"/>
  <c r="P14" i="1"/>
  <c r="L5" i="1"/>
  <c r="O14" i="1"/>
  <c r="P20" i="1"/>
  <c r="O18" i="1"/>
  <c r="H19" i="1"/>
  <c r="O19" i="1"/>
  <c r="P19" i="1"/>
  <c r="K13" i="1"/>
  <c r="L13" i="1"/>
  <c r="K20" i="1"/>
  <c r="L20" i="1"/>
  <c r="K9" i="1"/>
  <c r="K16" i="1"/>
  <c r="K12" i="1"/>
  <c r="K8" i="1"/>
  <c r="K17" i="1"/>
  <c r="L17" i="1"/>
  <c r="L18" i="1"/>
  <c r="L14" i="1"/>
  <c r="L10" i="1"/>
  <c r="L6" i="1"/>
  <c r="K7" i="1"/>
  <c r="I19" i="1"/>
  <c r="L19" i="1" s="1"/>
  <c r="I15" i="1"/>
  <c r="L15" i="1" s="1"/>
  <c r="I11" i="1"/>
  <c r="L11" i="1" s="1"/>
  <c r="K18" i="1"/>
  <c r="K14" i="1"/>
  <c r="K10" i="1"/>
  <c r="K6" i="1"/>
  <c r="K5" i="1"/>
  <c r="P6" i="1"/>
  <c r="G20" i="1"/>
  <c r="G16" i="1"/>
  <c r="H18" i="1"/>
  <c r="H14" i="1"/>
  <c r="H10" i="1"/>
  <c r="H6" i="1"/>
  <c r="G17" i="1"/>
  <c r="G13" i="1"/>
  <c r="G9" i="1"/>
  <c r="H5" i="1"/>
  <c r="O6" i="1"/>
  <c r="P8" i="1"/>
  <c r="O8" i="1"/>
  <c r="G12" i="1"/>
  <c r="G8" i="1"/>
  <c r="G19" i="1"/>
  <c r="G15" i="1"/>
  <c r="G11" i="1"/>
  <c r="G7" i="1"/>
  <c r="G18" i="1"/>
  <c r="G14" i="1"/>
  <c r="G10" i="1"/>
  <c r="G6" i="1"/>
  <c r="G5" i="1"/>
  <c r="H13" i="1"/>
  <c r="H9" i="1"/>
  <c r="H7" i="1"/>
  <c r="H20" i="1"/>
  <c r="H16" i="1"/>
  <c r="H12" i="1"/>
  <c r="H8" i="1"/>
  <c r="H17" i="1"/>
  <c r="R12" i="1" l="1"/>
  <c r="S30" i="1" s="1"/>
  <c r="R15" i="1"/>
  <c r="S32" i="1" s="1"/>
  <c r="R18" i="1"/>
  <c r="S34" i="1" s="1"/>
  <c r="K19" i="1"/>
  <c r="K11" i="1"/>
  <c r="K15" i="1"/>
  <c r="C14" i="6" l="1"/>
  <c r="G6" i="6"/>
  <c r="G14" i="6"/>
</calcChain>
</file>

<file path=xl/sharedStrings.xml><?xml version="1.0" encoding="utf-8"?>
<sst xmlns="http://schemas.openxmlformats.org/spreadsheetml/2006/main" count="151" uniqueCount="56">
  <si>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</si>
  <si>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</si>
  <si>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</si>
  <si>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</si>
  <si>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</si>
  <si>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</si>
  <si>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</si>
  <si>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</si>
  <si>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percentage, estimating 7x cases infected</t>
  </si>
  <si>
    <t>infection percentage, estimating 5x cases infected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</si>
  <si>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</si>
  <si>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</si>
  <si>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</si>
  <si>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</si>
  <si>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</si>
  <si>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</si>
  <si>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</si>
  <si>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</si>
  <si>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</si>
  <si>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</si>
  <si>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</si>
  <si>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</si>
  <si>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</si>
  <si>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</si>
  <si>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</si>
  <si>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</si>
  <si>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</si>
  <si>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</si>
  <si>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</si>
  <si>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</si>
  <si>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</si>
  <si>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</si>
  <si>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</si>
  <si>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</si>
  <si>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</si>
  <si>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</si>
  <si>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</si>
  <si>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</si>
  <si>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</si>
  <si>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</si>
  <si>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</si>
  <si>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</si>
  <si>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</si>
  <si>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</si>
  <si>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</si>
  <si>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</si>
  <si>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</si>
  <si>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</si>
  <si>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</si>
  <si>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</si>
  <si>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infection count estimating 15% of infections confirmed</t>
  </si>
  <si>
    <t>infection count estimating 19% of infections confirmed</t>
  </si>
  <si>
    <t>info: https://endymion.github.io/BeachCov2/</t>
  </si>
  <si>
    <t>Clark County</t>
  </si>
  <si>
    <t>daily</t>
  </si>
  <si>
    <t>Dade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</si>
</sst>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18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8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8" fillId="3" borderId="0" xfId="0" applyNumberFormat="1" applyFont="1" applyFill="1" applyAlignment="1">
      <alignment horizontal="center" vertical="center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</cellXfs>
  <cellStyles count="2">
    <cellStyle name="Heading 3" xfId="1" builtinId="1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09902575737355"/>
          <c:y val="0.15932203389830507"/>
          <c:w val="0.86388709462164692"/>
          <c:h val="0.73090404377418938"/>
        </c:manualLayout>
      </c:layout>
      <c:lineChart>
        <c:grouping val="standard"/>
        <c:varyColors val="0"/>
        <c:ser>
          <c:idx val="3"/>
          <c:order val="0"/>
          <c:tx>
            <c:strRef>
              <c:f>compute!$B$4</c:f>
              <c:strCache>
                <c:ptCount val="1"/>
                <c:pt idx="0">
                  <c:v>cases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BB1-2147-99CA-ED8FAC8546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BB1-2147-99CA-ED8FAC8546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BB1-2147-99CA-ED8FAC85464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B1-2147-99CA-ED8FAC85464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B1-2147-99CA-ED8FAC85464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B1-2147-99CA-ED8FAC85464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B1-2147-99CA-ED8FAC85464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B1-2147-99CA-ED8FAC85464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B1-2147-99CA-ED8FAC85464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B1-2147-99CA-ED8FAC85464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B1-2147-99CA-ED8FAC85464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B1-2147-99CA-ED8FAC85464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B1-2147-99CA-ED8FAC85464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B1-2147-99CA-ED8FAC85464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B1-2147-99CA-ED8FAC854646}"/>
                </c:ext>
              </c:extLst>
            </c:dLbl>
            <c:dLbl>
              <c:idx val="15"/>
              <c:layout>
                <c:manualLayout>
                  <c:x val="-0.11017624810670208"/>
                  <c:y val="1.4423392466565142E-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B1-2147-99CA-ED8FAC854646}"/>
                </c:ext>
              </c:extLst>
            </c:dLbl>
            <c:dLbl>
              <c:idx val="16"/>
              <c:layout>
                <c:manualLayout>
                  <c:x val="-0.10849913496253742"/>
                  <c:y val="1.4445734059976258E-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BB1-2147-99CA-ED8FAC854646}"/>
                </c:ext>
              </c:extLst>
            </c:dLbl>
            <c:dLbl>
              <c:idx val="17"/>
              <c:layout>
                <c:manualLayout>
                  <c:x val="-8.1408949918177501E-2"/>
                  <c:y val="-2.20078225745606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65-4F45-8804-2792797754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compute!$B$5:$B$10005</c:f>
              <c:numCache>
                <c:formatCode>General</c:formatCode>
                <c:ptCount val="10001"/>
                <c:pt idx="0">
                  <c:v>33</c:v>
                </c:pt>
                <c:pt idx="1">
                  <c:v>45</c:v>
                </c:pt>
                <c:pt idx="2">
                  <c:v>50</c:v>
                </c:pt>
                <c:pt idx="3">
                  <c:v>74</c:v>
                </c:pt>
                <c:pt idx="4">
                  <c:v>90</c:v>
                </c:pt>
                <c:pt idx="5">
                  <c:v>115</c:v>
                </c:pt>
                <c:pt idx="6">
                  <c:v>123</c:v>
                </c:pt>
                <c:pt idx="7">
                  <c:v>194</c:v>
                </c:pt>
                <c:pt idx="8">
                  <c:v>236</c:v>
                </c:pt>
                <c:pt idx="9">
                  <c:v>252</c:v>
                </c:pt>
                <c:pt idx="10">
                  <c:v>268</c:v>
                </c:pt>
                <c:pt idx="11">
                  <c:v>302</c:v>
                </c:pt>
                <c:pt idx="12">
                  <c:v>341</c:v>
                </c:pt>
                <c:pt idx="13">
                  <c:v>361</c:v>
                </c:pt>
                <c:pt idx="14">
                  <c:v>383</c:v>
                </c:pt>
                <c:pt idx="15">
                  <c:v>426</c:v>
                </c:pt>
                <c:pt idx="16">
                  <c:v>453</c:v>
                </c:pt>
                <c:pt idx="17">
                  <c:v>464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463365808087549E-2"/>
          <c:y val="0.14237288135593221"/>
          <c:w val="0.89100573868944344"/>
          <c:h val="0.75142372881355934"/>
        </c:manualLayout>
      </c:layout>
      <c:lineChart>
        <c:grouping val="standard"/>
        <c:varyColors val="0"/>
        <c:ser>
          <c:idx val="3"/>
          <c:order val="0"/>
          <c:tx>
            <c:strRef>
              <c:f>compute!$C$4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cat>
            <c:numRef>
              <c:f>compute!$A$6:$A$10005</c:f>
              <c:numCache>
                <c:formatCode>d\-mmm</c:formatCode>
                <c:ptCount val="10000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</c:numCache>
            </c:numRef>
          </c:cat>
          <c:val>
            <c:numRef>
              <c:f>compute!$C$6:$C$10005</c:f>
              <c:numCache>
                <c:formatCode>0.0%</c:formatCode>
                <c:ptCount val="10000"/>
                <c:pt idx="0">
                  <c:v>0.36363636363636365</c:v>
                </c:pt>
                <c:pt idx="1">
                  <c:v>0.1111111111111111</c:v>
                </c:pt>
                <c:pt idx="2">
                  <c:v>0.48</c:v>
                </c:pt>
                <c:pt idx="3">
                  <c:v>0.21621621621621623</c:v>
                </c:pt>
                <c:pt idx="4">
                  <c:v>0.27777777777777779</c:v>
                </c:pt>
                <c:pt idx="5">
                  <c:v>6.9565217391304349E-2</c:v>
                </c:pt>
                <c:pt idx="6">
                  <c:v>0.57723577235772361</c:v>
                </c:pt>
                <c:pt idx="7">
                  <c:v>0.21649484536082475</c:v>
                </c:pt>
                <c:pt idx="8">
                  <c:v>6.7796610169491525E-2</c:v>
                </c:pt>
                <c:pt idx="9">
                  <c:v>6.3492063492063489E-2</c:v>
                </c:pt>
                <c:pt idx="10">
                  <c:v>0.12686567164179105</c:v>
                </c:pt>
                <c:pt idx="11">
                  <c:v>0.12913907284768211</c:v>
                </c:pt>
                <c:pt idx="12">
                  <c:v>5.865102639296188E-2</c:v>
                </c:pt>
                <c:pt idx="13">
                  <c:v>6.0941828254847646E-2</c:v>
                </c:pt>
                <c:pt idx="14">
                  <c:v>0.1122715404699739</c:v>
                </c:pt>
                <c:pt idx="15">
                  <c:v>6.3380281690140844E-2</c:v>
                </c:pt>
                <c:pt idx="16">
                  <c:v>2.4282560706401765E-2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463365808087549E-2"/>
          <c:y val="0.14237288135593221"/>
          <c:w val="0.89100573868944344"/>
          <c:h val="0.75142372881355934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cat>
            <c:numRef>
              <c:f>compute!$A$6:$A$10005</c:f>
              <c:numCache>
                <c:formatCode>d\-mmm</c:formatCode>
                <c:ptCount val="10000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</c:numCache>
            </c:numRef>
          </c:cat>
          <c:val>
            <c:numRef>
              <c:f>compute!$D$6:$D$10005</c:f>
              <c:numCache>
                <c:formatCode>0.0</c:formatCode>
                <c:ptCount val="10000"/>
                <c:pt idx="0">
                  <c:v>2.2348417429656711</c:v>
                </c:pt>
                <c:pt idx="1">
                  <c:v>6.5788134789605808</c:v>
                </c:pt>
                <c:pt idx="2">
                  <c:v>1.768042774417488</c:v>
                </c:pt>
                <c:pt idx="3">
                  <c:v>3.5410798640589243</c:v>
                </c:pt>
                <c:pt idx="4">
                  <c:v>2.8277587705434639</c:v>
                </c:pt>
                <c:pt idx="5">
                  <c:v>10.30667996266442</c:v>
                </c:pt>
                <c:pt idx="6">
                  <c:v>1.5211477485550517</c:v>
                </c:pt>
                <c:pt idx="7">
                  <c:v>3.5369407817893648</c:v>
                </c:pt>
                <c:pt idx="8">
                  <c:v>10.566705727632121</c:v>
                </c:pt>
                <c:pt idx="9">
                  <c:v>11.26008618531381</c:v>
                </c:pt>
                <c:pt idx="10">
                  <c:v>5.803306820384857</c:v>
                </c:pt>
                <c:pt idx="11">
                  <c:v>5.7070071702111713</c:v>
                </c:pt>
                <c:pt idx="12">
                  <c:v>12.161441008974148</c:v>
                </c:pt>
                <c:pt idx="13">
                  <c:v>11.717071844658532</c:v>
                </c:pt>
                <c:pt idx="14">
                  <c:v>6.5142744106049149</c:v>
                </c:pt>
                <c:pt idx="15">
                  <c:v>11.27934634412482</c:v>
                </c:pt>
                <c:pt idx="16">
                  <c:v>28.890248909722647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26010943547312"/>
          <c:y val="0.15593220338983052"/>
          <c:w val="0.84710743360469776"/>
          <c:h val="0.74281355932203386"/>
        </c:manualLayout>
      </c:layout>
      <c:areaChart>
        <c:grouping val="stacke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infection count estimating 19% of infections confirmed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compute!$E$5:$E$10005</c:f>
              <c:numCache>
                <c:formatCode>0</c:formatCode>
                <c:ptCount val="10001"/>
                <c:pt idx="0">
                  <c:v>173.68421052631578</c:v>
                </c:pt>
                <c:pt idx="1">
                  <c:v>236.84210526315789</c:v>
                </c:pt>
                <c:pt idx="2">
                  <c:v>263.15789473684208</c:v>
                </c:pt>
                <c:pt idx="3">
                  <c:v>389.4736842105263</c:v>
                </c:pt>
                <c:pt idx="4">
                  <c:v>473.68421052631578</c:v>
                </c:pt>
                <c:pt idx="5">
                  <c:v>605.26315789473688</c:v>
                </c:pt>
                <c:pt idx="6">
                  <c:v>647.36842105263156</c:v>
                </c:pt>
                <c:pt idx="7">
                  <c:v>1021.0526315789474</c:v>
                </c:pt>
                <c:pt idx="8">
                  <c:v>1242.1052631578948</c:v>
                </c:pt>
                <c:pt idx="9">
                  <c:v>1326.3157894736842</c:v>
                </c:pt>
                <c:pt idx="10">
                  <c:v>1410.5263157894738</c:v>
                </c:pt>
                <c:pt idx="11">
                  <c:v>1589.4736842105262</c:v>
                </c:pt>
                <c:pt idx="12">
                  <c:v>1794.7368421052631</c:v>
                </c:pt>
                <c:pt idx="13">
                  <c:v>1900</c:v>
                </c:pt>
                <c:pt idx="14">
                  <c:v>2015.7894736842106</c:v>
                </c:pt>
                <c:pt idx="15">
                  <c:v>2242.1052631578946</c:v>
                </c:pt>
                <c:pt idx="16">
                  <c:v>2384.2105263157896</c:v>
                </c:pt>
                <c:pt idx="17">
                  <c:v>2442.1052631578946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compute!$G$4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compute!$G$5:$G$10005</c:f>
              <c:numCache>
                <c:formatCode>0</c:formatCode>
                <c:ptCount val="10001"/>
                <c:pt idx="0">
                  <c:v>46.31578947368422</c:v>
                </c:pt>
                <c:pt idx="1">
                  <c:v>63.15789473684211</c:v>
                </c:pt>
                <c:pt idx="2">
                  <c:v>70.175438596491233</c:v>
                </c:pt>
                <c:pt idx="3">
                  <c:v>103.85964912280701</c:v>
                </c:pt>
                <c:pt idx="4">
                  <c:v>126.31578947368422</c:v>
                </c:pt>
                <c:pt idx="5">
                  <c:v>161.40350877192975</c:v>
                </c:pt>
                <c:pt idx="6">
                  <c:v>172.63157894736844</c:v>
                </c:pt>
                <c:pt idx="7">
                  <c:v>272.28070175438586</c:v>
                </c:pt>
                <c:pt idx="8">
                  <c:v>331.22807017543846</c:v>
                </c:pt>
                <c:pt idx="9">
                  <c:v>353.68421052631584</c:v>
                </c:pt>
                <c:pt idx="10">
                  <c:v>376.14035087719299</c:v>
                </c:pt>
                <c:pt idx="11">
                  <c:v>423.85964912280701</c:v>
                </c:pt>
                <c:pt idx="12">
                  <c:v>478.59649122807036</c:v>
                </c:pt>
                <c:pt idx="13">
                  <c:v>506.66666666666652</c:v>
                </c:pt>
                <c:pt idx="14">
                  <c:v>537.54385964912285</c:v>
                </c:pt>
                <c:pt idx="15">
                  <c:v>597.89473684210543</c:v>
                </c:pt>
                <c:pt idx="16">
                  <c:v>635.78947368421041</c:v>
                </c:pt>
                <c:pt idx="17">
                  <c:v>651.22807017543892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compute!$H$4</c:f>
              <c:strCache>
                <c:ptCount val="1"/>
                <c:pt idx="0">
                  <c:v>average infection count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0B-374E-B153-14719DA14F1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0B-374E-B153-14719DA14F1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0B-374E-B153-14719DA14F1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0B-374E-B153-14719DA14F1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0B-374E-B153-14719DA14F1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0B-374E-B153-14719DA14F1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0B-374E-B153-14719DA14F1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0B-374E-B153-14719DA14F1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8D-CB43-A627-A86316C7767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8D-CB43-A627-A86316C7767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8D-CB43-A627-A86316C7767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8D-CB43-A627-A86316C7767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8D-CB43-A627-A86316C7767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8D-CB43-A627-A86316C7767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0F-4244-96A2-807873A8045E}"/>
                </c:ext>
              </c:extLst>
            </c:dLbl>
            <c:dLbl>
              <c:idx val="15"/>
              <c:layout>
                <c:manualLayout>
                  <c:x val="-0.10334795410793525"/>
                  <c:y val="1.4762255221615584E-5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0B-374E-B153-14719DA14F1B}"/>
                </c:ext>
              </c:extLst>
            </c:dLbl>
            <c:dLbl>
              <c:idx val="16"/>
              <c:layout>
                <c:manualLayout>
                  <c:x val="-0.11850366688805977"/>
                  <c:y val="-6.2030607237515491E-1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1" i="0" u="none" strike="noStrike" kern="1200" baseline="0">
                        <a:solidFill>
                          <a:schemeClr val="accent4"/>
                        </a:solidFill>
                        <a:latin typeface="Helvetica" pitchFamily="2" charset="0"/>
                        <a:ea typeface="+mn-ea"/>
                        <a:cs typeface="+mn-cs"/>
                      </a:defRPr>
                    </a:pPr>
                    <a:fld id="{94B94E3D-E8D3-A542-8FA4-0805D52CBB84}" type="VALUE">
                      <a:rPr lang="en-US" sz="1800">
                        <a:solidFill>
                          <a:schemeClr val="accent4"/>
                        </a:solidFill>
                      </a:rPr>
                      <a:pPr>
                        <a:defRPr sz="1800" b="1">
                          <a:solidFill>
                            <a:schemeClr val="accent4"/>
                          </a:solidFill>
                          <a:latin typeface="Helvetica" pitchFamily="2" charset="0"/>
                        </a:defRPr>
                      </a:pPr>
                      <a:t>[VALUE]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3F0B-374E-B153-14719DA14F1B}"/>
                </c:ext>
              </c:extLst>
            </c:dLbl>
            <c:dLbl>
              <c:idx val="17"/>
              <c:layout>
                <c:manualLayout>
                  <c:x val="-6.9624983317763373E-2"/>
                  <c:y val="-2.8813559322033899E-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76-3645-AB5A-C5F6E92640B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compute!$H$5:$H$10005</c:f>
              <c:numCache>
                <c:formatCode>0</c:formatCode>
                <c:ptCount val="10001"/>
                <c:pt idx="0">
                  <c:v>196.84210526315789</c:v>
                </c:pt>
                <c:pt idx="1">
                  <c:v>268.42105263157896</c:v>
                </c:pt>
                <c:pt idx="2">
                  <c:v>298.24561403508767</c:v>
                </c:pt>
                <c:pt idx="3">
                  <c:v>441.40350877192981</c:v>
                </c:pt>
                <c:pt idx="4">
                  <c:v>536.84210526315792</c:v>
                </c:pt>
                <c:pt idx="5">
                  <c:v>685.96491228070181</c:v>
                </c:pt>
                <c:pt idx="6">
                  <c:v>733.68421052631584</c:v>
                </c:pt>
                <c:pt idx="7">
                  <c:v>1157.1929824561403</c:v>
                </c:pt>
                <c:pt idx="8">
                  <c:v>1407.719298245614</c:v>
                </c:pt>
                <c:pt idx="9">
                  <c:v>1503.1578947368421</c:v>
                </c:pt>
                <c:pt idx="10">
                  <c:v>1598.5964912280701</c:v>
                </c:pt>
                <c:pt idx="11">
                  <c:v>1801.4035087719299</c:v>
                </c:pt>
                <c:pt idx="12">
                  <c:v>2034.0350877192982</c:v>
                </c:pt>
                <c:pt idx="13">
                  <c:v>2153.333333333333</c:v>
                </c:pt>
                <c:pt idx="14">
                  <c:v>2284.5614035087719</c:v>
                </c:pt>
                <c:pt idx="15">
                  <c:v>2541.0526315789475</c:v>
                </c:pt>
                <c:pt idx="16">
                  <c:v>2702.105263157895</c:v>
                </c:pt>
                <c:pt idx="17">
                  <c:v>2767.719298245614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4749713065527821"/>
          <c:h val="0.75142372881355934"/>
        </c:manualLayout>
      </c:layout>
      <c:areaChart>
        <c:grouping val="stacked"/>
        <c:varyColors val="0"/>
        <c:ser>
          <c:idx val="3"/>
          <c:order val="0"/>
          <c:tx>
            <c:strRef>
              <c:f>compute!$I$4</c:f>
              <c:strCache>
                <c:ptCount val="1"/>
                <c:pt idx="0">
                  <c:v>infection percentage, estimating 5x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compute!$I$5:$I$10005</c:f>
              <c:numCache>
                <c:formatCode>0.0%</c:formatCode>
                <c:ptCount val="10001"/>
                <c:pt idx="0">
                  <c:v>1.8936763833305979E-3</c:v>
                </c:pt>
                <c:pt idx="1">
                  <c:v>2.5822859772689972E-3</c:v>
                </c:pt>
                <c:pt idx="2">
                  <c:v>2.8692066414099967E-3</c:v>
                </c:pt>
                <c:pt idx="3">
                  <c:v>4.2464258292867953E-3</c:v>
                </c:pt>
                <c:pt idx="4">
                  <c:v>5.1645719545379944E-3</c:v>
                </c:pt>
                <c:pt idx="5">
                  <c:v>6.5991752752429939E-3</c:v>
                </c:pt>
                <c:pt idx="6">
                  <c:v>7.0582483378685921E-3</c:v>
                </c:pt>
                <c:pt idx="7">
                  <c:v>1.1132521768670788E-2</c:v>
                </c:pt>
                <c:pt idx="8">
                  <c:v>1.3542655347455187E-2</c:v>
                </c:pt>
                <c:pt idx="9">
                  <c:v>1.4460801472706385E-2</c:v>
                </c:pt>
                <c:pt idx="10">
                  <c:v>1.5378947597957585E-2</c:v>
                </c:pt>
                <c:pt idx="11">
                  <c:v>1.733000811411638E-2</c:v>
                </c:pt>
                <c:pt idx="12">
                  <c:v>1.956798929441618E-2</c:v>
                </c:pt>
                <c:pt idx="13">
                  <c:v>2.0715671950980178E-2</c:v>
                </c:pt>
                <c:pt idx="14">
                  <c:v>2.1978122873200577E-2</c:v>
                </c:pt>
                <c:pt idx="15">
                  <c:v>2.4445640584813171E-2</c:v>
                </c:pt>
                <c:pt idx="16">
                  <c:v>2.5995012171174576E-2</c:v>
                </c:pt>
                <c:pt idx="17">
                  <c:v>2.662623763228477E-2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E6-984F-B4E4-5660F27577B3}"/>
            </c:ext>
          </c:extLst>
        </c:ser>
        <c:ser>
          <c:idx val="1"/>
          <c:order val="1"/>
          <c:tx>
            <c:strRef>
              <c:f>compute!$K$4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compute!$K$5:$K$10005</c:f>
              <c:numCache>
                <c:formatCode>0.00%</c:formatCode>
                <c:ptCount val="10001"/>
                <c:pt idx="0">
                  <c:v>5.0498036888815974E-4</c:v>
                </c:pt>
                <c:pt idx="1">
                  <c:v>6.8860959393839951E-4</c:v>
                </c:pt>
                <c:pt idx="2">
                  <c:v>7.6512177104266603E-4</c:v>
                </c:pt>
                <c:pt idx="3">
                  <c:v>1.1323802211431451E-3</c:v>
                </c:pt>
                <c:pt idx="4">
                  <c:v>1.377219187876799E-3</c:v>
                </c:pt>
                <c:pt idx="5">
                  <c:v>1.7597800733981303E-3</c:v>
                </c:pt>
                <c:pt idx="6">
                  <c:v>1.8821995567649581E-3</c:v>
                </c:pt>
                <c:pt idx="7">
                  <c:v>2.9686724716455424E-3</c:v>
                </c:pt>
                <c:pt idx="8">
                  <c:v>3.6113747593213806E-3</c:v>
                </c:pt>
                <c:pt idx="9">
                  <c:v>3.8562137260550345E-3</c:v>
                </c:pt>
                <c:pt idx="10">
                  <c:v>4.1010526927886901E-3</c:v>
                </c:pt>
                <c:pt idx="11">
                  <c:v>4.621335497097704E-3</c:v>
                </c:pt>
                <c:pt idx="12">
                  <c:v>5.2181304785109822E-3</c:v>
                </c:pt>
                <c:pt idx="13">
                  <c:v>5.5241791869280465E-3</c:v>
                </c:pt>
                <c:pt idx="14">
                  <c:v>5.8608327661868222E-3</c:v>
                </c:pt>
                <c:pt idx="15">
                  <c:v>6.518837489283516E-3</c:v>
                </c:pt>
                <c:pt idx="16">
                  <c:v>6.9320032456465473E-3</c:v>
                </c:pt>
                <c:pt idx="17">
                  <c:v>7.1003300352759438E-3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compute!$L$4</c:f>
              <c:strCache>
                <c:ptCount val="1"/>
                <c:pt idx="0">
                  <c:v>average infection percentage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72-1848-8D14-2279B6F7C74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72-1848-8D14-2279B6F7C74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72-1848-8D14-2279B6F7C74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8-8A45-B605-B9194C49FAB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72-1848-8D14-2279B6F7C74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98-8A45-B605-B9194C49FAB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E6-984F-B4E4-5660F27577B3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E6-984F-B4E4-5660F27577B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E6-984F-B4E4-5660F27577B3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E6-984F-B4E4-5660F27577B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E6-984F-B4E4-5660F27577B3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8-8A45-B605-B9194C49FAB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E6-984F-B4E4-5660F27577B3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E6-984F-B4E4-5660F27577B3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72-1848-8D14-2279B6F7C74F}"/>
                </c:ext>
              </c:extLst>
            </c:dLbl>
            <c:dLbl>
              <c:idx val="15"/>
              <c:layout>
                <c:manualLayout>
                  <c:x val="-0.1101694915254237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8-8A45-B605-B9194C49FAB8}"/>
                </c:ext>
              </c:extLst>
            </c:dLbl>
            <c:dLbl>
              <c:idx val="16"/>
              <c:layout>
                <c:manualLayout>
                  <c:x val="-0.1152542372881355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7A-5E43-94E1-C998BAEA1176}"/>
                </c:ext>
              </c:extLst>
            </c:dLbl>
            <c:dLbl>
              <c:idx val="17"/>
              <c:layout>
                <c:manualLayout>
                  <c:x val="-7.1186440677966104E-2"/>
                  <c:y val="-2.881355932203389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87-6A46-90CD-4BF42EF8077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87-6A46-90CD-4BF42EF807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compute!$L$5:$L$10005</c:f>
              <c:numCache>
                <c:formatCode>0.0%</c:formatCode>
                <c:ptCount val="10001"/>
                <c:pt idx="0">
                  <c:v>2.1461665677746777E-3</c:v>
                </c:pt>
                <c:pt idx="1">
                  <c:v>2.9265907742381967E-3</c:v>
                </c:pt>
                <c:pt idx="2">
                  <c:v>3.2517675269313298E-3</c:v>
                </c:pt>
                <c:pt idx="3">
                  <c:v>4.8126159398583675E-3</c:v>
                </c:pt>
                <c:pt idx="4">
                  <c:v>5.8531815484763935E-3</c:v>
                </c:pt>
                <c:pt idx="5">
                  <c:v>7.479065311942059E-3</c:v>
                </c:pt>
                <c:pt idx="6">
                  <c:v>7.9993481162510711E-3</c:v>
                </c:pt>
                <c:pt idx="7">
                  <c:v>1.261685800449356E-2</c:v>
                </c:pt>
                <c:pt idx="8">
                  <c:v>1.5348342727115877E-2</c:v>
                </c:pt>
                <c:pt idx="9">
                  <c:v>1.6388908335733903E-2</c:v>
                </c:pt>
                <c:pt idx="10">
                  <c:v>1.7429473944351931E-2</c:v>
                </c:pt>
                <c:pt idx="11">
                  <c:v>1.9640675862665234E-2</c:v>
                </c:pt>
                <c:pt idx="12">
                  <c:v>2.2177054533671671E-2</c:v>
                </c:pt>
                <c:pt idx="13">
                  <c:v>2.3477761544444201E-2</c:v>
                </c:pt>
                <c:pt idx="14">
                  <c:v>2.4908539256293986E-2</c:v>
                </c:pt>
                <c:pt idx="15">
                  <c:v>2.7705059329454929E-2</c:v>
                </c:pt>
                <c:pt idx="16">
                  <c:v>2.9461013793997848E-2</c:v>
                </c:pt>
                <c:pt idx="17">
                  <c:v>3.0176402649922742E-2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7575150140130786"/>
          <c:h val="0.75989830508474576"/>
        </c:manualLayout>
      </c:layout>
      <c:areaChart>
        <c:grouping val="stacked"/>
        <c:varyColors val="0"/>
        <c:ser>
          <c:idx val="3"/>
          <c:order val="0"/>
          <c:tx>
            <c:strRef>
              <c:f>compute!$N$4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compute!$N$5:$N$10005</c:f>
              <c:numCache>
                <c:formatCode>0</c:formatCode>
                <c:ptCount val="10001"/>
                <c:pt idx="0">
                  <c:v>397.04761904761904</c:v>
                </c:pt>
                <c:pt idx="1">
                  <c:v>291.16825396825396</c:v>
                </c:pt>
                <c:pt idx="2">
                  <c:v>262.05142857142857</c:v>
                </c:pt>
                <c:pt idx="3">
                  <c:v>177.06177606177607</c:v>
                </c:pt>
                <c:pt idx="4">
                  <c:v>145.58412698412698</c:v>
                </c:pt>
                <c:pt idx="5">
                  <c:v>113.93540372670807</c:v>
                </c:pt>
                <c:pt idx="6">
                  <c:v>106.52497096399536</c:v>
                </c:pt>
                <c:pt idx="7">
                  <c:v>67.539027982326957</c:v>
                </c:pt>
                <c:pt idx="8">
                  <c:v>55.519370460048428</c:v>
                </c:pt>
                <c:pt idx="9">
                  <c:v>51.994331065759638</c:v>
                </c:pt>
                <c:pt idx="10">
                  <c:v>48.890191897654582</c:v>
                </c:pt>
                <c:pt idx="11">
                  <c:v>43.385998107852416</c:v>
                </c:pt>
                <c:pt idx="12">
                  <c:v>38.423963133640555</c:v>
                </c:pt>
                <c:pt idx="13">
                  <c:v>36.295211713494261</c:v>
                </c:pt>
                <c:pt idx="14">
                  <c:v>34.210369265199553</c:v>
                </c:pt>
                <c:pt idx="15">
                  <c:v>30.757209926224011</c:v>
                </c:pt>
                <c:pt idx="16">
                  <c:v>28.923998738568276</c:v>
                </c:pt>
                <c:pt idx="17">
                  <c:v>28.238300492610836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compute!$O$4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compute!$O$5:$O$10005</c:f>
              <c:numCache>
                <c:formatCode>0</c:formatCode>
                <c:ptCount val="10001"/>
                <c:pt idx="0">
                  <c:v>158.81904761904764</c:v>
                </c:pt>
                <c:pt idx="1">
                  <c:v>116.46730158730162</c:v>
                </c:pt>
                <c:pt idx="2">
                  <c:v>104.82057142857144</c:v>
                </c:pt>
                <c:pt idx="3">
                  <c:v>70.824710424710418</c:v>
                </c:pt>
                <c:pt idx="4">
                  <c:v>58.23365079365081</c:v>
                </c:pt>
                <c:pt idx="5">
                  <c:v>45.574161490683224</c:v>
                </c:pt>
                <c:pt idx="6">
                  <c:v>42.609988385598129</c:v>
                </c:pt>
                <c:pt idx="7">
                  <c:v>27.015611192930777</c:v>
                </c:pt>
                <c:pt idx="8">
                  <c:v>22.207748184019373</c:v>
                </c:pt>
                <c:pt idx="9">
                  <c:v>20.797732426303853</c:v>
                </c:pt>
                <c:pt idx="10">
                  <c:v>19.556076759061831</c:v>
                </c:pt>
                <c:pt idx="11">
                  <c:v>17.354399243140961</c:v>
                </c:pt>
                <c:pt idx="12">
                  <c:v>15.369585253456222</c:v>
                </c:pt>
                <c:pt idx="13">
                  <c:v>14.518084685397703</c:v>
                </c:pt>
                <c:pt idx="14">
                  <c:v>13.68414770607982</c:v>
                </c:pt>
                <c:pt idx="15">
                  <c:v>12.302883970489606</c:v>
                </c:pt>
                <c:pt idx="16">
                  <c:v>11.569599495427308</c:v>
                </c:pt>
                <c:pt idx="17">
                  <c:v>11.295320197044337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compute!$P$4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layout>
                <c:manualLayout>
                  <c:x val="-3.7288135593220341E-2"/>
                  <c:y val="-5.7627118644067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compute!$A$5:$A$10005</c:f>
              <c:numCache>
                <c:formatCode>d\-mmm</c:formatCode>
                <c:ptCount val="10001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</c:numCache>
            </c:numRef>
          </c:cat>
          <c:val>
            <c:numRef>
              <c:f>compute!$P$5:$P$10005</c:f>
              <c:numCache>
                <c:formatCode>0</c:formatCode>
                <c:ptCount val="10001"/>
                <c:pt idx="0">
                  <c:v>476.45714285714286</c:v>
                </c:pt>
                <c:pt idx="1">
                  <c:v>349.4019047619048</c:v>
                </c:pt>
                <c:pt idx="2">
                  <c:v>314.46171428571427</c:v>
                </c:pt>
                <c:pt idx="3">
                  <c:v>212.47413127413128</c:v>
                </c:pt>
                <c:pt idx="4">
                  <c:v>174.7009523809524</c:v>
                </c:pt>
                <c:pt idx="5">
                  <c:v>136.7224844720497</c:v>
                </c:pt>
                <c:pt idx="6">
                  <c:v>127.82996515679443</c:v>
                </c:pt>
                <c:pt idx="7">
                  <c:v>81.046833578792345</c:v>
                </c:pt>
                <c:pt idx="8">
                  <c:v>66.623244552058111</c:v>
                </c:pt>
                <c:pt idx="9">
                  <c:v>62.393197278911565</c:v>
                </c:pt>
                <c:pt idx="10">
                  <c:v>58.668230277185501</c:v>
                </c:pt>
                <c:pt idx="11">
                  <c:v>52.063197729422896</c:v>
                </c:pt>
                <c:pt idx="12">
                  <c:v>46.108755760368666</c:v>
                </c:pt>
                <c:pt idx="13">
                  <c:v>43.554254056193116</c:v>
                </c:pt>
                <c:pt idx="14">
                  <c:v>41.052443118239466</c:v>
                </c:pt>
                <c:pt idx="15">
                  <c:v>36.908651911468816</c:v>
                </c:pt>
                <c:pt idx="16">
                  <c:v>34.708798486281928</c:v>
                </c:pt>
                <c:pt idx="17">
                  <c:v>33.885960591133006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0.18915</cdr:x>
      <cdr:y>0.24818</cdr:y>
    </cdr:from>
    <cdr:to>
      <cdr:x>0.53999</cdr:x>
      <cdr:y>0.43463</cdr:y>
    </cdr:to>
    <cdr:sp macro="" textlink="compute!$S$28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392376A0-31A3-B644-97AA-7A0FEBDB7298}"/>
            </a:ext>
          </a:extLst>
        </cdr:cNvPr>
        <cdr:cNvSpPr txBox="1"/>
      </cdr:nvSpPr>
      <cdr:spPr>
        <a:xfrm xmlns:a="http://schemas.openxmlformats.org/drawingml/2006/main">
          <a:off x="1427150" y="1900870"/>
          <a:ext cx="2647072" cy="1428068"/>
        </a:xfrm>
        <a:prstGeom xmlns:a="http://schemas.openxmlformats.org/drawingml/2006/main" prst="roundRect">
          <a:avLst>
            <a:gd name="adj" fmla="val 8294"/>
          </a:avLst>
        </a:prstGeom>
        <a:solidFill xmlns:a="http://schemas.openxmlformats.org/drawingml/2006/main">
          <a:schemeClr val="accent3"/>
        </a:solidFill>
        <a:effectLst xmlns:a="http://schemas.openxmlformats.org/drawingml/2006/main"/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E65A84A-3AC8-A84B-9A0A-45C27F639C53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/>
            <a:t>There have been 464 confirmed cases of COVID-19 disease in Miami Beach since the start of the outbreak.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S$24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9,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0.90756</cdr:x>
      <cdr:y>0.95975</cdr:y>
    </cdr:from>
    <cdr:to>
      <cdr:x>0.93772</cdr:x>
      <cdr:y>0.98948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C8519714-BD67-0549-9186-9E476B39E5B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00320" y="7191386"/>
          <a:ext cx="226016" cy="22279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0.94022</cdr:x>
      <cdr:y>0.95543</cdr:y>
    </cdr:from>
    <cdr:to>
      <cdr:x>0.97839</cdr:x>
      <cdr:y>0.99341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5CB78546-61B2-F147-BE9A-6488295B672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45036" y="7159013"/>
          <a:ext cx="286030" cy="284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0.63019</cdr:x>
      <cdr:y>0.95764</cdr:y>
    </cdr:from>
    <cdr:to>
      <cdr:x>0.89661</cdr:x>
      <cdr:y>1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970D30E2-4478-7040-8565-2332431848C5}"/>
            </a:ext>
          </a:extLst>
        </cdr:cNvPr>
        <cdr:cNvSpPr txBox="1"/>
      </cdr:nvSpPr>
      <cdr:spPr>
        <a:xfrm xmlns:a="http://schemas.openxmlformats.org/drawingml/2006/main">
          <a:off x="4722049" y="7175626"/>
          <a:ext cx="1996268" cy="31737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accent1"/>
              </a:solidFill>
              <a:latin typeface="Helvetica" pitchFamily="2" charset="0"/>
            </a:rPr>
            <a:t>daily updates @BeachCov2</a:t>
          </a:r>
          <a:endParaRPr lang="en-US" sz="12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0.00678</cdr:x>
      <cdr:y>0.95938</cdr:y>
    </cdr:from>
    <cdr:to>
      <cdr:x>0.60874</cdr:x>
      <cdr:y>1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FD0A8590-7A21-364E-8612-513F25D09B8F}"/>
            </a:ext>
          </a:extLst>
        </cdr:cNvPr>
        <cdr:cNvSpPr txBox="1"/>
      </cdr:nvSpPr>
      <cdr:spPr>
        <a:xfrm xmlns:a="http://schemas.openxmlformats.org/drawingml/2006/main">
          <a:off x="50800" y="7188615"/>
          <a:ext cx="4510500" cy="3043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F875932-9179-7B4C-80C7-4184EAFC8953}" type="TxLink">
            <a:rPr lang="en-US" sz="1200" b="0" i="0" u="none" strike="noStrike">
              <a:solidFill>
                <a:schemeClr val="accent1"/>
              </a:solidFill>
              <a:latin typeface="Helvetica"/>
            </a:rPr>
            <a:pPr algn="l"/>
            <a:t>info: https://endymion.github.io/BeachCov2/</a:t>
          </a:fld>
          <a:endParaRPr lang="en-US" sz="11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0.60811</cdr:x>
      <cdr:y>0.64727</cdr:y>
    </cdr:from>
    <cdr:to>
      <cdr:x>0.85845</cdr:x>
      <cdr:y>0.76575</cdr:y>
    </cdr:to>
    <cdr:sp macro="" textlink="compute!$S$40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59DFE33B-52CF-8644-BEB8-81C1AF636D31}"/>
            </a:ext>
          </a:extLst>
        </cdr:cNvPr>
        <cdr:cNvSpPr txBox="1"/>
      </cdr:nvSpPr>
      <cdr:spPr>
        <a:xfrm xmlns:a="http://schemas.openxmlformats.org/drawingml/2006/main">
          <a:off x="4588163" y="4957617"/>
          <a:ext cx="1888837" cy="907473"/>
        </a:xfrm>
        <a:prstGeom xmlns:a="http://schemas.openxmlformats.org/drawingml/2006/main" prst="roundRect">
          <a:avLst>
            <a:gd name="adj" fmla="val 8294"/>
          </a:avLst>
        </a:prstGeom>
        <a:solidFill xmlns:a="http://schemas.openxmlformats.org/drawingml/2006/main">
          <a:schemeClr val="accent3"/>
        </a:solidFill>
        <a:effectLst xmlns:a="http://schemas.openxmlformats.org/drawingml/2006/main"/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4F59F8F-A3C1-304D-8DF1-5739B1A89DDB}" type="TxLink">
            <a:rPr lang="en-US" sz="1800" b="0" i="0" u="none" strike="noStrike">
              <a:solidFill>
                <a:schemeClr val="bg1"/>
              </a:solidFill>
              <a:latin typeface="Helvetica" pitchFamily="2" charset="0"/>
              <a:cs typeface="Calibri"/>
            </a:rPr>
            <a:t>The current rate of increase is +2.4% per day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0.61017</cdr:x>
      <cdr:y>0.38814</cdr:y>
    </cdr:from>
    <cdr:to>
      <cdr:x>0.88475</cdr:x>
      <cdr:y>0.54407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141F9311-692A-F840-B5D7-D3C585DA9D2E}"/>
            </a:ext>
          </a:extLst>
        </cdr:cNvPr>
        <cdr:cNvSpPr txBox="1"/>
      </cdr:nvSpPr>
      <cdr:spPr>
        <a:xfrm xmlns:a="http://schemas.openxmlformats.org/drawingml/2006/main">
          <a:off x="4571986" y="2908304"/>
          <a:ext cx="2057414" cy="1168396"/>
        </a:xfrm>
        <a:prstGeom xmlns:a="http://schemas.openxmlformats.org/drawingml/2006/main" prst="roundRect">
          <a:avLst>
            <a:gd name="adj" fmla="val 765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The percentage</a:t>
          </a:r>
          <a:r>
            <a:rPr lang="en-US" sz="1800" b="0" i="0" u="none" strike="noStrike" baseline="0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 of increase in new cases is steadily dropping.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S$24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9,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0.90756</cdr:x>
      <cdr:y>0.95975</cdr:y>
    </cdr:from>
    <cdr:to>
      <cdr:x>0.93772</cdr:x>
      <cdr:y>0.98948</cdr:y>
    </cdr:to>
    <cdr:pic>
      <cdr:nvPicPr>
        <cdr:cNvPr id="27" name="Picture 26">
          <a:extLst xmlns:a="http://schemas.openxmlformats.org/drawingml/2006/main">
            <a:ext uri="{FF2B5EF4-FFF2-40B4-BE49-F238E27FC236}">
              <a16:creationId xmlns:a16="http://schemas.microsoft.com/office/drawing/2014/main" id="{C8519714-BD67-0549-9186-9E476B39E5B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00320" y="7191386"/>
          <a:ext cx="226016" cy="22279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0.94022</cdr:x>
      <cdr:y>0.95543</cdr:y>
    </cdr:from>
    <cdr:to>
      <cdr:x>0.97839</cdr:x>
      <cdr:y>0.99341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5CB78546-61B2-F147-BE9A-6488295B672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45036" y="7159013"/>
          <a:ext cx="286030" cy="284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0.63019</cdr:x>
      <cdr:y>0.95764</cdr:y>
    </cdr:from>
    <cdr:to>
      <cdr:x>0.89661</cdr:x>
      <cdr:y>1</cdr:y>
    </cdr:to>
    <cdr:sp macro="" textlink="">
      <cdr:nvSpPr>
        <cdr:cNvPr id="29" name="TextBox 3">
          <a:extLst xmlns:a="http://schemas.openxmlformats.org/drawingml/2006/main">
            <a:ext uri="{FF2B5EF4-FFF2-40B4-BE49-F238E27FC236}">
              <a16:creationId xmlns:a16="http://schemas.microsoft.com/office/drawing/2014/main" id="{970D30E2-4478-7040-8565-2332431848C5}"/>
            </a:ext>
          </a:extLst>
        </cdr:cNvPr>
        <cdr:cNvSpPr txBox="1"/>
      </cdr:nvSpPr>
      <cdr:spPr>
        <a:xfrm xmlns:a="http://schemas.openxmlformats.org/drawingml/2006/main">
          <a:off x="4722049" y="7175626"/>
          <a:ext cx="1996268" cy="31737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accent1"/>
              </a:solidFill>
              <a:latin typeface="Helvetica" pitchFamily="2" charset="0"/>
            </a:rPr>
            <a:t>daily updates @BeachCov2</a:t>
          </a:r>
          <a:endParaRPr lang="en-US" sz="12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0.00678</cdr:x>
      <cdr:y>0.95938</cdr:y>
    </cdr:from>
    <cdr:to>
      <cdr:x>0.60874</cdr:x>
      <cdr:y>1</cdr:y>
    </cdr:to>
    <cdr:sp macro="" textlink="">
      <cdr:nvSpPr>
        <cdr:cNvPr id="30" name="TextBox 1">
          <a:extLst xmlns:a="http://schemas.openxmlformats.org/drawingml/2006/main">
            <a:ext uri="{FF2B5EF4-FFF2-40B4-BE49-F238E27FC236}">
              <a16:creationId xmlns:a16="http://schemas.microsoft.com/office/drawing/2014/main" id="{FD0A8590-7A21-364E-8612-513F25D09B8F}"/>
            </a:ext>
          </a:extLst>
        </cdr:cNvPr>
        <cdr:cNvSpPr txBox="1"/>
      </cdr:nvSpPr>
      <cdr:spPr>
        <a:xfrm xmlns:a="http://schemas.openxmlformats.org/drawingml/2006/main">
          <a:off x="50800" y="7188615"/>
          <a:ext cx="4510500" cy="3043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F875932-9179-7B4C-80C7-4184EAFC8953}" type="TxLink">
            <a:rPr lang="en-US" sz="1200" b="0" i="0" u="none" strike="noStrike">
              <a:solidFill>
                <a:schemeClr val="accent1"/>
              </a:solidFill>
              <a:latin typeface="Helvetica"/>
            </a:rPr>
            <a:pPr algn="l"/>
            <a:t>info: https://endymion.github.io/BeachCov2/</a:t>
          </a:fld>
          <a:endParaRPr lang="en-US" sz="1100">
            <a:solidFill>
              <a:schemeClr val="accent1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0.16271</cdr:x>
      <cdr:y>0.21017</cdr:y>
    </cdr:from>
    <cdr:to>
      <cdr:x>0.60508</cdr:x>
      <cdr:y>0.39322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141F9311-692A-F840-B5D7-D3C585DA9D2E}"/>
            </a:ext>
          </a:extLst>
        </cdr:cNvPr>
        <cdr:cNvSpPr txBox="1"/>
      </cdr:nvSpPr>
      <cdr:spPr>
        <a:xfrm xmlns:a="http://schemas.openxmlformats.org/drawingml/2006/main">
          <a:off x="1219220" y="1574829"/>
          <a:ext cx="3314680" cy="1371572"/>
        </a:xfrm>
        <a:prstGeom xmlns:a="http://schemas.openxmlformats.org/drawingml/2006/main" prst="roundRect">
          <a:avLst>
            <a:gd name="adj" fmla="val 765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The elevated doubling time of the infection continues to indicate that Miami Beach has slowed the spread through social distancing.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S$24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9,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0.90756</cdr:x>
      <cdr:y>0.95975</cdr:y>
    </cdr:from>
    <cdr:to>
      <cdr:x>0.93772</cdr:x>
      <cdr:y>0.98948</cdr:y>
    </cdr:to>
    <cdr:pic>
      <cdr:nvPicPr>
        <cdr:cNvPr id="27" name="Picture 26">
          <a:extLst xmlns:a="http://schemas.openxmlformats.org/drawingml/2006/main">
            <a:ext uri="{FF2B5EF4-FFF2-40B4-BE49-F238E27FC236}">
              <a16:creationId xmlns:a16="http://schemas.microsoft.com/office/drawing/2014/main" id="{C8519714-BD67-0549-9186-9E476B39E5B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00320" y="7191386"/>
          <a:ext cx="226016" cy="22279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0.94022</cdr:x>
      <cdr:y>0.95543</cdr:y>
    </cdr:from>
    <cdr:to>
      <cdr:x>0.97839</cdr:x>
      <cdr:y>0.99341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5CB78546-61B2-F147-BE9A-6488295B672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45036" y="7159013"/>
          <a:ext cx="286030" cy="284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0.63019</cdr:x>
      <cdr:y>0.95764</cdr:y>
    </cdr:from>
    <cdr:to>
      <cdr:x>0.89661</cdr:x>
      <cdr:y>1</cdr:y>
    </cdr:to>
    <cdr:sp macro="" textlink="">
      <cdr:nvSpPr>
        <cdr:cNvPr id="29" name="TextBox 3">
          <a:extLst xmlns:a="http://schemas.openxmlformats.org/drawingml/2006/main">
            <a:ext uri="{FF2B5EF4-FFF2-40B4-BE49-F238E27FC236}">
              <a16:creationId xmlns:a16="http://schemas.microsoft.com/office/drawing/2014/main" id="{970D30E2-4478-7040-8565-2332431848C5}"/>
            </a:ext>
          </a:extLst>
        </cdr:cNvPr>
        <cdr:cNvSpPr txBox="1"/>
      </cdr:nvSpPr>
      <cdr:spPr>
        <a:xfrm xmlns:a="http://schemas.openxmlformats.org/drawingml/2006/main">
          <a:off x="4722049" y="7175626"/>
          <a:ext cx="1996268" cy="31737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accent1"/>
              </a:solidFill>
              <a:latin typeface="Helvetica" pitchFamily="2" charset="0"/>
            </a:rPr>
            <a:t>daily updates @BeachCov2</a:t>
          </a:r>
          <a:endParaRPr lang="en-US" sz="12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0.00678</cdr:x>
      <cdr:y>0.95938</cdr:y>
    </cdr:from>
    <cdr:to>
      <cdr:x>0.60874</cdr:x>
      <cdr:y>1</cdr:y>
    </cdr:to>
    <cdr:sp macro="" textlink="">
      <cdr:nvSpPr>
        <cdr:cNvPr id="30" name="TextBox 1">
          <a:extLst xmlns:a="http://schemas.openxmlformats.org/drawingml/2006/main">
            <a:ext uri="{FF2B5EF4-FFF2-40B4-BE49-F238E27FC236}">
              <a16:creationId xmlns:a16="http://schemas.microsoft.com/office/drawing/2014/main" id="{FD0A8590-7A21-364E-8612-513F25D09B8F}"/>
            </a:ext>
          </a:extLst>
        </cdr:cNvPr>
        <cdr:cNvSpPr txBox="1"/>
      </cdr:nvSpPr>
      <cdr:spPr>
        <a:xfrm xmlns:a="http://schemas.openxmlformats.org/drawingml/2006/main">
          <a:off x="50800" y="7188615"/>
          <a:ext cx="4510500" cy="3043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F875932-9179-7B4C-80C7-4184EAFC8953}" type="TxLink">
            <a:rPr lang="en-US" sz="1200" b="0" i="0" u="none" strike="noStrike">
              <a:solidFill>
                <a:schemeClr val="accent1"/>
              </a:solidFill>
              <a:latin typeface="Helvetica"/>
            </a:rPr>
            <a:pPr algn="l"/>
            <a:t>info: https://endymion.github.io/BeachCov2/</a:t>
          </a:fld>
          <a:endParaRPr lang="en-US" sz="1100">
            <a:solidFill>
              <a:schemeClr val="accent1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0.21356</cdr:x>
      <cdr:y>0.19661</cdr:y>
    </cdr:from>
    <cdr:to>
      <cdr:x>0.60333</cdr:x>
      <cdr:y>0.41778</cdr:y>
    </cdr:to>
    <cdr:sp macro="" textlink="compute!$S$30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DF3BFB61-C5E4-624F-9591-5EF8EC0509E9}"/>
            </a:ext>
          </a:extLst>
        </cdr:cNvPr>
        <cdr:cNvSpPr txBox="1"/>
      </cdr:nvSpPr>
      <cdr:spPr>
        <a:xfrm xmlns:a="http://schemas.openxmlformats.org/drawingml/2006/main">
          <a:off x="1597413" y="1475949"/>
          <a:ext cx="2915450" cy="1660272"/>
        </a:xfrm>
        <a:prstGeom xmlns:a="http://schemas.openxmlformats.org/drawingml/2006/main" prst="roundRect">
          <a:avLst>
            <a:gd name="adj" fmla="val 717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7E67BFC-B66B-6E47-A8B5-B0078C99A391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Around 2,768 people in Miami Beach may have already been infected with the SARS-CoV-2 virus, based on an estimated population of 91,718</a:t>
          </a:fld>
          <a:endParaRPr lang="en-US" sz="18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S$24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9,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0.90756</cdr:x>
      <cdr:y>0.95975</cdr:y>
    </cdr:from>
    <cdr:to>
      <cdr:x>0.93772</cdr:x>
      <cdr:y>0.98948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C8519714-BD67-0549-9186-9E476B39E5B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00320" y="7191386"/>
          <a:ext cx="226016" cy="22279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0.94022</cdr:x>
      <cdr:y>0.95543</cdr:y>
    </cdr:from>
    <cdr:to>
      <cdr:x>0.97839</cdr:x>
      <cdr:y>0.99341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5CB78546-61B2-F147-BE9A-6488295B672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45036" y="7159013"/>
          <a:ext cx="286030" cy="284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0.63019</cdr:x>
      <cdr:y>0.95764</cdr:y>
    </cdr:from>
    <cdr:to>
      <cdr:x>0.89661</cdr:x>
      <cdr:y>1</cdr:y>
    </cdr:to>
    <cdr:sp macro="" textlink="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970D30E2-4478-7040-8565-2332431848C5}"/>
            </a:ext>
          </a:extLst>
        </cdr:cNvPr>
        <cdr:cNvSpPr txBox="1"/>
      </cdr:nvSpPr>
      <cdr:spPr>
        <a:xfrm xmlns:a="http://schemas.openxmlformats.org/drawingml/2006/main">
          <a:off x="4722049" y="7175626"/>
          <a:ext cx="1996268" cy="31737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accent1"/>
              </a:solidFill>
              <a:latin typeface="Helvetica" pitchFamily="2" charset="0"/>
            </a:rPr>
            <a:t>daily updates @BeachCov2</a:t>
          </a:r>
          <a:endParaRPr lang="en-US" sz="12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0.00678</cdr:x>
      <cdr:y>0.95938</cdr:y>
    </cdr:from>
    <cdr:to>
      <cdr:x>0.60874</cdr:x>
      <cdr:y>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FD0A8590-7A21-364E-8612-513F25D09B8F}"/>
            </a:ext>
          </a:extLst>
        </cdr:cNvPr>
        <cdr:cNvSpPr txBox="1"/>
      </cdr:nvSpPr>
      <cdr:spPr>
        <a:xfrm xmlns:a="http://schemas.openxmlformats.org/drawingml/2006/main">
          <a:off x="50800" y="7188615"/>
          <a:ext cx="4510500" cy="3043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F875932-9179-7B4C-80C7-4184EAFC8953}" type="TxLink">
            <a:rPr lang="en-US" sz="1200" b="0" i="0" u="none" strike="noStrike">
              <a:solidFill>
                <a:schemeClr val="accent1"/>
              </a:solidFill>
              <a:latin typeface="Helvetica"/>
            </a:rPr>
            <a:pPr algn="l"/>
            <a:t>info: https://endymion.github.io/BeachCov2/</a:t>
          </a:fld>
          <a:endParaRPr lang="en-US" sz="11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0.62203</cdr:x>
      <cdr:y>0.71695</cdr:y>
    </cdr:from>
    <cdr:to>
      <cdr:x>0.87411</cdr:x>
      <cdr:y>0.83806</cdr:y>
    </cdr:to>
    <cdr:sp macro="" textlink="compute!$S$40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F7D77AC-748A-5C4E-A934-6638A1C4A67C}"/>
            </a:ext>
          </a:extLst>
        </cdr:cNvPr>
        <cdr:cNvSpPr txBox="1"/>
      </cdr:nvSpPr>
      <cdr:spPr>
        <a:xfrm xmlns:a="http://schemas.openxmlformats.org/drawingml/2006/main">
          <a:off x="4660900" y="5372100"/>
          <a:ext cx="1888837" cy="907473"/>
        </a:xfrm>
        <a:prstGeom xmlns:a="http://schemas.openxmlformats.org/drawingml/2006/main" prst="roundRect">
          <a:avLst>
            <a:gd name="adj" fmla="val 8294"/>
          </a:avLst>
        </a:prstGeom>
        <a:solidFill xmlns:a="http://schemas.openxmlformats.org/drawingml/2006/main">
          <a:schemeClr val="accent3"/>
        </a:solidFill>
        <a:effectLst xmlns:a="http://schemas.openxmlformats.org/drawingml/2006/main"/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437CC6F-7AC4-D045-9A1A-C35FC76990B4}" type="TxLink">
            <a:rPr lang="en-US" sz="1800" b="0" i="0" u="none" strike="noStrike">
              <a:solidFill>
                <a:schemeClr val="bg1"/>
              </a:solidFill>
              <a:latin typeface="Helvetica" pitchFamily="2" charset="0"/>
              <a:cs typeface="Calibri"/>
            </a:rPr>
            <a:t>The current rate of increase is +2.4% per day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0.18644</cdr:x>
      <cdr:y>0.19153</cdr:y>
    </cdr:from>
    <cdr:to>
      <cdr:x>0.63051</cdr:x>
      <cdr:y>0.39661</cdr:y>
    </cdr:to>
    <cdr:sp macro="" textlink="compute!$S$32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B85ABA93-089B-4B4C-BFA6-8C7675044928}"/>
            </a:ext>
          </a:extLst>
        </cdr:cNvPr>
        <cdr:cNvSpPr txBox="1"/>
      </cdr:nvSpPr>
      <cdr:spPr>
        <a:xfrm xmlns:a="http://schemas.openxmlformats.org/drawingml/2006/main">
          <a:off x="1396995" y="1435134"/>
          <a:ext cx="3327405" cy="1536666"/>
        </a:xfrm>
        <a:prstGeom xmlns:a="http://schemas.openxmlformats.org/drawingml/2006/main" prst="roundRect">
          <a:avLst>
            <a:gd name="adj" fmla="val 8700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BBCAA78-C3A5-544E-AC7C-9911593E2973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Around 3.0% of the total population of Miami Beach may have already been infected with the SARS-CoV-2 virus, based on an estimated population of 91,718.</a:t>
          </a:fld>
          <a:endParaRPr lang="en-US" sz="18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S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9,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0.90756</cdr:x>
      <cdr:y>0.95975</cdr:y>
    </cdr:from>
    <cdr:to>
      <cdr:x>0.93772</cdr:x>
      <cdr:y>0.98948</cdr:y>
    </cdr:to>
    <cdr:pic>
      <cdr:nvPicPr>
        <cdr:cNvPr id="11" name="Picture 10">
          <a:extLst xmlns:a="http://schemas.openxmlformats.org/drawingml/2006/main">
            <a:ext uri="{FF2B5EF4-FFF2-40B4-BE49-F238E27FC236}">
              <a16:creationId xmlns:a16="http://schemas.microsoft.com/office/drawing/2014/main" id="{C8519714-BD67-0549-9186-9E476B39E5B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00320" y="7191386"/>
          <a:ext cx="226016" cy="22279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0.94022</cdr:x>
      <cdr:y>0.95543</cdr:y>
    </cdr:from>
    <cdr:to>
      <cdr:x>0.97839</cdr:x>
      <cdr:y>0.99341</cdr:y>
    </cdr:to>
    <cdr:pic>
      <cdr:nvPicPr>
        <cdr:cNvPr id="12" name="Picture 11">
          <a:extLst xmlns:a="http://schemas.openxmlformats.org/drawingml/2006/main">
            <a:ext uri="{FF2B5EF4-FFF2-40B4-BE49-F238E27FC236}">
              <a16:creationId xmlns:a16="http://schemas.microsoft.com/office/drawing/2014/main" id="{5CB78546-61B2-F147-BE9A-6488295B672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45036" y="7159013"/>
          <a:ext cx="286030" cy="284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0.63019</cdr:x>
      <cdr:y>0.95764</cdr:y>
    </cdr:from>
    <cdr:to>
      <cdr:x>0.89661</cdr:x>
      <cdr:y>1</cdr:y>
    </cdr:to>
    <cdr:sp macro="" textlink="">
      <cdr:nvSpPr>
        <cdr:cNvPr id="14" name="TextBox 3">
          <a:extLst xmlns:a="http://schemas.openxmlformats.org/drawingml/2006/main">
            <a:ext uri="{FF2B5EF4-FFF2-40B4-BE49-F238E27FC236}">
              <a16:creationId xmlns:a16="http://schemas.microsoft.com/office/drawing/2014/main" id="{970D30E2-4478-7040-8565-2332431848C5}"/>
            </a:ext>
          </a:extLst>
        </cdr:cNvPr>
        <cdr:cNvSpPr txBox="1"/>
      </cdr:nvSpPr>
      <cdr:spPr>
        <a:xfrm xmlns:a="http://schemas.openxmlformats.org/drawingml/2006/main">
          <a:off x="4722049" y="7175626"/>
          <a:ext cx="1996268" cy="31737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accent1"/>
              </a:solidFill>
              <a:latin typeface="Helvetica" pitchFamily="2" charset="0"/>
            </a:rPr>
            <a:t>daily updates @BeachCov2</a:t>
          </a:r>
          <a:endParaRPr lang="en-US" sz="12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0.00678</cdr:x>
      <cdr:y>0.95938</cdr:y>
    </cdr:from>
    <cdr:to>
      <cdr:x>0.60874</cdr:x>
      <cdr:y>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FD0A8590-7A21-364E-8612-513F25D09B8F}"/>
            </a:ext>
          </a:extLst>
        </cdr:cNvPr>
        <cdr:cNvSpPr txBox="1"/>
      </cdr:nvSpPr>
      <cdr:spPr>
        <a:xfrm xmlns:a="http://schemas.openxmlformats.org/drawingml/2006/main">
          <a:off x="50800" y="7188615"/>
          <a:ext cx="4510500" cy="3043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F875932-9179-7B4C-80C7-4184EAFC8953}" type="TxLink">
            <a:rPr lang="en-US" sz="1200" b="0" i="0" u="none" strike="noStrike">
              <a:solidFill>
                <a:schemeClr val="accent1"/>
              </a:solidFill>
              <a:latin typeface="Helvetica"/>
            </a:rPr>
            <a:pPr algn="l"/>
            <a:t>info: https://endymion.github.io/BeachCov2/</a:t>
          </a:fld>
          <a:endParaRPr lang="en-US" sz="11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0.62373</cdr:x>
      <cdr:y>0.69661</cdr:y>
    </cdr:from>
    <cdr:to>
      <cdr:x>0.87581</cdr:x>
      <cdr:y>0.81772</cdr:y>
    </cdr:to>
    <cdr:sp macro="" textlink="compute!$S$40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8F7D77AC-748A-5C4E-A934-6638A1C4A67C}"/>
            </a:ext>
          </a:extLst>
        </cdr:cNvPr>
        <cdr:cNvSpPr txBox="1"/>
      </cdr:nvSpPr>
      <cdr:spPr>
        <a:xfrm xmlns:a="http://schemas.openxmlformats.org/drawingml/2006/main">
          <a:off x="4673600" y="5219700"/>
          <a:ext cx="1888837" cy="907473"/>
        </a:xfrm>
        <a:prstGeom xmlns:a="http://schemas.openxmlformats.org/drawingml/2006/main" prst="roundRect">
          <a:avLst>
            <a:gd name="adj" fmla="val 8294"/>
          </a:avLst>
        </a:prstGeom>
        <a:solidFill xmlns:a="http://schemas.openxmlformats.org/drawingml/2006/main">
          <a:schemeClr val="accent3"/>
        </a:solidFill>
        <a:effectLst xmlns:a="http://schemas.openxmlformats.org/drawingml/2006/main"/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B7BBBB8-BB30-D049-B2AA-0000ED08E7AE}" type="TxLink">
            <a:rPr lang="en-US" sz="1800" b="0" i="0" u="none" strike="noStrike">
              <a:solidFill>
                <a:schemeClr val="bg1"/>
              </a:solidFill>
              <a:latin typeface="Helvetica" pitchFamily="2" charset="0"/>
              <a:cs typeface="Calibri"/>
            </a:rPr>
            <a:t>The current rate of increase is +2.4% per day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0.32203</cdr:x>
      <cdr:y>0.27094</cdr:y>
    </cdr:from>
    <cdr:to>
      <cdr:x>0.74746</cdr:x>
      <cdr:y>0.44576</cdr:y>
    </cdr:to>
    <cdr:sp macro="" textlink="compute!$S$34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412977" y="2030136"/>
          <a:ext cx="3187723" cy="1309964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Beach having been infected with SARS-CoV-2 is currently estimated to be around one in 34.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0.78357</cdr:x>
      <cdr:y>0.7935</cdr:y>
    </cdr:from>
    <cdr:to>
      <cdr:x>0.93273</cdr:x>
      <cdr:y>0.82564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868227" y="5940741"/>
          <a:ext cx="1117075" cy="240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S$24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9,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0.90756</cdr:x>
      <cdr:y>0.95975</cdr:y>
    </cdr:from>
    <cdr:to>
      <cdr:x>0.93772</cdr:x>
      <cdr:y>0.98948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C8519714-BD67-0549-9186-9E476B39E5B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00320" y="7191386"/>
          <a:ext cx="226016" cy="22279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0.94022</cdr:x>
      <cdr:y>0.95543</cdr:y>
    </cdr:from>
    <cdr:to>
      <cdr:x>0.97839</cdr:x>
      <cdr:y>0.99341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5CB78546-61B2-F147-BE9A-6488295B672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45036" y="7159013"/>
          <a:ext cx="286030" cy="284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0.63019</cdr:x>
      <cdr:y>0.95764</cdr:y>
    </cdr:from>
    <cdr:to>
      <cdr:x>0.89661</cdr:x>
      <cdr:y>1</cdr:y>
    </cdr:to>
    <cdr:sp macro="" textlink="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970D30E2-4478-7040-8565-2332431848C5}"/>
            </a:ext>
          </a:extLst>
        </cdr:cNvPr>
        <cdr:cNvSpPr txBox="1"/>
      </cdr:nvSpPr>
      <cdr:spPr>
        <a:xfrm xmlns:a="http://schemas.openxmlformats.org/drawingml/2006/main">
          <a:off x="4722049" y="7175626"/>
          <a:ext cx="1996268" cy="31737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accent1"/>
              </a:solidFill>
              <a:latin typeface="Helvetica" pitchFamily="2" charset="0"/>
            </a:rPr>
            <a:t>daily updates @BeachCov2</a:t>
          </a:r>
          <a:endParaRPr lang="en-US" sz="12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0.00678</cdr:x>
      <cdr:y>0.95938</cdr:y>
    </cdr:from>
    <cdr:to>
      <cdr:x>0.60874</cdr:x>
      <cdr:y>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FD0A8590-7A21-364E-8612-513F25D09B8F}"/>
            </a:ext>
          </a:extLst>
        </cdr:cNvPr>
        <cdr:cNvSpPr txBox="1"/>
      </cdr:nvSpPr>
      <cdr:spPr>
        <a:xfrm xmlns:a="http://schemas.openxmlformats.org/drawingml/2006/main">
          <a:off x="50800" y="7188615"/>
          <a:ext cx="4510500" cy="3043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F875932-9179-7B4C-80C7-4184EAFC8953}" type="TxLink">
            <a:rPr lang="en-US" sz="1200" b="0" i="0" u="none" strike="noStrike">
              <a:solidFill>
                <a:schemeClr val="accent1"/>
              </a:solidFill>
              <a:latin typeface="Helvetica"/>
            </a:rPr>
            <a:pPr algn="l"/>
            <a:t>info: https://endymion.github.io/BeachCov2/</a:t>
          </a:fld>
          <a:endParaRPr lang="en-US" sz="1100">
            <a:solidFill>
              <a:schemeClr val="accent1"/>
            </a:solidFill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S24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t>updated April 9,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 editAs="oneCell">
    <xdr:from>
      <xdr:col>6</xdr:col>
      <xdr:colOff>2761720</xdr:colOff>
      <xdr:row>18</xdr:row>
      <xdr:rowOff>6973</xdr:rowOff>
    </xdr:from>
    <xdr:to>
      <xdr:col>6</xdr:col>
      <xdr:colOff>2987736</xdr:colOff>
      <xdr:row>18</xdr:row>
      <xdr:rowOff>229763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8519714-BD67-0549-9186-9E476B39E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320" y="7182473"/>
          <a:ext cx="226016" cy="222790"/>
        </a:xfrm>
        <a:prstGeom prst="rect">
          <a:avLst/>
        </a:prstGeom>
      </xdr:spPr>
    </xdr:pic>
    <xdr:clientData/>
  </xdr:twoCellAnchor>
  <xdr:twoCellAnchor editAs="oneCell">
    <xdr:from>
      <xdr:col>6</xdr:col>
      <xdr:colOff>3006436</xdr:colOff>
      <xdr:row>17</xdr:row>
      <xdr:rowOff>177800</xdr:rowOff>
    </xdr:from>
    <xdr:to>
      <xdr:col>8</xdr:col>
      <xdr:colOff>41266</xdr:colOff>
      <xdr:row>18</xdr:row>
      <xdr:rowOff>259203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CB78546-61B2-F147-BE9A-6488295B6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5036" y="7150100"/>
          <a:ext cx="286030" cy="284603"/>
        </a:xfrm>
        <a:prstGeom prst="rect">
          <a:avLst/>
        </a:prstGeom>
      </xdr:spPr>
    </xdr:pic>
    <xdr:clientData/>
  </xdr:twoCellAnchor>
  <xdr:twoCellAnchor>
    <xdr:from>
      <xdr:col>6</xdr:col>
      <xdr:colOff>683449</xdr:colOff>
      <xdr:row>17</xdr:row>
      <xdr:rowOff>194413</xdr:rowOff>
    </xdr:from>
    <xdr:to>
      <xdr:col>6</xdr:col>
      <xdr:colOff>2679717</xdr:colOff>
      <xdr:row>18</xdr:row>
      <xdr:rowOff>308587</xdr:rowOff>
    </xdr:to>
    <xdr:sp macro="" textlink="">
      <xdr:nvSpPr>
        <xdr:cNvPr id="13" name="TextBox 3">
          <a:extLst>
            <a:ext uri="{FF2B5EF4-FFF2-40B4-BE49-F238E27FC236}">
              <a16:creationId xmlns:a16="http://schemas.microsoft.com/office/drawing/2014/main" id="{970D30E2-4478-7040-8565-2332431848C5}"/>
            </a:ext>
          </a:extLst>
        </xdr:cNvPr>
        <xdr:cNvSpPr txBox="1"/>
      </xdr:nvSpPr>
      <xdr:spPr>
        <a:xfrm>
          <a:off x="4722049" y="7166713"/>
          <a:ext cx="1996268" cy="31737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accent1"/>
              </a:solidFill>
              <a:latin typeface="Helvetica" pitchFamily="2" charset="0"/>
            </a:rPr>
            <a:t>daily updates @BeachCov2</a:t>
          </a:r>
          <a:endParaRPr lang="en-US" sz="1200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50800</xdr:colOff>
      <xdr:row>18</xdr:row>
      <xdr:rowOff>4202</xdr:rowOff>
    </xdr:from>
    <xdr:to>
      <xdr:col>6</xdr:col>
      <xdr:colOff>522700</xdr:colOff>
      <xdr:row>18</xdr:row>
      <xdr:rowOff>308587</xdr:rowOff>
    </xdr:to>
    <xdr:sp macro="" textlink="">
      <xdr:nvSpPr>
        <xdr:cNvPr id="14" name="TextBox 1">
          <a:extLst>
            <a:ext uri="{FF2B5EF4-FFF2-40B4-BE49-F238E27FC236}">
              <a16:creationId xmlns:a16="http://schemas.microsoft.com/office/drawing/2014/main" id="{FD0A8590-7A21-364E-8612-513F25D09B8F}"/>
            </a:ext>
          </a:extLst>
        </xdr:cNvPr>
        <xdr:cNvSpPr txBox="1"/>
      </xdr:nvSpPr>
      <xdr:spPr>
        <a:xfrm>
          <a:off x="50800" y="7179702"/>
          <a:ext cx="4510500" cy="304385"/>
        </a:xfrm>
        <a:prstGeom prst="rect">
          <a:avLst/>
        </a:prstGeom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200" b="0" i="0" u="none" strike="noStrike">
              <a:solidFill>
                <a:schemeClr val="accent1"/>
              </a:solidFill>
              <a:latin typeface="Helvetica"/>
            </a:rPr>
            <a:t>info: https://endymion.github.io/BeachCov2/</a:t>
          </a:r>
          <a:endParaRPr lang="en-US" sz="1100">
            <a:solidFill>
              <a:schemeClr val="accent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S23" totalsRowShown="0" headerRowDxfId="20" dataDxfId="19" headerRowCellStyle="Heading 3">
  <autoFilter ref="A4:S23" xr:uid="{550F0C45-D7F8-B94B-924D-6E337BF889A7}"/>
  <tableColumns count="19">
    <tableColumn id="1" xr3:uid="{5A8F4760-7ADB-5643-B32D-8C30EC7E1E18}" name="date" dataDxfId="18"/>
    <tableColumn id="2" xr3:uid="{1A056131-5760-2749-834E-BF55DAB2649A}" name="cases" dataDxfId="17"/>
    <tableColumn id="20" xr3:uid="{583731BA-1864-EF40-AEF7-A80834F00231}" name="% increase" dataDxfId="16">
      <calculatedColumnFormula>(Table2[[#This Row],[cases]]-B4)/B4</calculatedColumnFormula>
    </tableColumn>
    <tableColumn id="19" xr3:uid="{C3C6B808-3CB5-8B45-A4B9-4A6CDF5E27BE}" name="doubling time (days)" dataDxfId="15">
      <calculatedColumnFormula>(LN(2)/LN(B5/B4))</calculatedColumnFormula>
    </tableColumn>
    <tableColumn id="8" xr3:uid="{C899EFA6-17F8-B447-A1DB-6D7083A2F531}" name="infection count estimating 19% of infections confirmed" dataDxfId="14">
      <calculatedColumnFormula>Table2[[#This Row],[cases]]*100/$Q$13</calculatedColumnFormula>
    </tableColumn>
    <tableColumn id="9" xr3:uid="{9DA1C9E0-36F7-DE43-8448-4D8CE8B57839}" name="infection count estimating 15% of infections confirmed" dataDxfId="13">
      <calculatedColumnFormula>Table2[[#This Row],[cases]]*100/$Q$16</calculatedColumnFormula>
    </tableColumn>
    <tableColumn id="11" xr3:uid="{DF5E18EF-399D-9948-A8F2-9862C2232353}" name="infection count difference" dataDxfId="12">
      <calculatedColumnFormula>Table2[[#This Row],[infection count estimating 15% of infections confirmed]]-Table2[[#This Row],[infection count estimating 19% of infections confirmed]]</calculatedColumnFormula>
    </tableColumn>
    <tableColumn id="10" xr3:uid="{F5EF272D-BCCD-9A42-A437-406EF6A3644D}" name="average infection count" dataDxfId="11">
      <calculatedColumnFormula>(Table2[[#This Row],[infection count estimating 19% of infections confirmed]]+Table2[[#This Row],[infection count estimating 15% of infections confirmed]])/2</calculatedColumnFormula>
    </tableColumn>
    <tableColumn id="12" xr3:uid="{8AB0CE19-F28B-1B41-B08C-6F528E4C628D}" name="infection percentage, estimating 5x cases infected" dataDxfId="10">
      <calculatedColumnFormula>Table2[[#This Row],[infection count estimating 19% of infections confirmed]]/$Q$6</calculatedColumnFormula>
    </tableColumn>
    <tableColumn id="13" xr3:uid="{1109EB50-6E0E-5D49-923A-162321C9390D}" name="infection percentage, estimating 7x cases infected" dataDxfId="9">
      <calculatedColumnFormula>Table2[[#This Row],[infection count estimating 15% of infections confirmed]]/$Q$6</calculatedColumnFormula>
    </tableColumn>
    <tableColumn id="14" xr3:uid="{238DA9D3-166B-A04A-B1CF-89D64E5C9BCE}" name="infection percentage difference" dataDxfId="8">
      <calculatedColumnFormula>Table2[[#This Row],[infection percentage, estimating 7x cases infected]]-Table2[[#This Row],[infection percentage, estimating 5x cases infected]]</calculatedColumnFormula>
    </tableColumn>
    <tableColumn id="15" xr3:uid="{DE45558E-71C3-0C4E-A3A2-8B967C3E17AB}" name="average infection percentage" dataDxfId="7">
      <calculatedColumnFormula>(Table2[[#This Row],[infection percentage, estimating 5x cases infected]]+Table2[[#This Row],[infection percentage, estimating 7x cases infected]])/2</calculatedColumnFormula>
    </tableColumn>
    <tableColumn id="3" xr3:uid="{02005BA0-C3BB-F54B-908A-B7ECE76A73E8}" name="1-in-X odds, estimating 5x cases infected" dataDxfId="6">
      <calculatedColumnFormula>$Q$6/(Table2[[#This Row],[cases]]*5)</calculatedColumnFormula>
    </tableColumn>
    <tableColumn id="4" xr3:uid="{244EEAB7-EA2F-9142-A896-C40C6D4A9BE9}" name="1-in-X odds, estimating 7x cases infected" dataDxfId="5">
      <calculatedColumnFormula>$Q$6/(Table2[[#This Row],[cases]]*7)</calculatedColumnFormula>
    </tableColumn>
    <tableColumn id="5" xr3:uid="{8F986CA1-2145-0B4C-AAAE-6153D0E4F495}" name="1-in-X odds difference" dataDxfId="4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3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2"/>
    <tableColumn id="17" xr3:uid="{B5DA71D5-91C3-F54E-9A79-5F7DD2472B6E}" name="computed" dataDxfId="1"/>
    <tableColumn id="18" xr3:uid="{22EA3CBE-6B18-9845-9A5C-8FD79B240D43}" name="Column1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A1"/>
  <sheetViews>
    <sheetView zoomScale="110" zoomScaleNormal="110" workbookViewId="0">
      <selection activeCell="K28" sqref="K28"/>
    </sheetView>
  </sheetViews>
  <sheetFormatPr baseColWidth="10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K14" sqref="K14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N17" sqref="N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J3" sqref="J3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A1"/>
  <sheetViews>
    <sheetView zoomScaleNormal="100" workbookViewId="0">
      <selection activeCell="K23" sqref="K23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J32" sqref="J32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16" sqref="K16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1" t="s">
        <v>17</v>
      </c>
      <c r="D5" s="24"/>
      <c r="E5" s="17"/>
      <c r="F5" s="18"/>
      <c r="G5" s="42" t="s">
        <v>16</v>
      </c>
      <c r="H5" s="22"/>
      <c r="I5" s="21"/>
    </row>
    <row r="6" spans="1:12" ht="86" customHeight="1" x14ac:dyDescent="0.85">
      <c r="A6" s="17"/>
      <c r="B6" s="24"/>
      <c r="C6" s="60">
        <f ca="1">compute!R9</f>
        <v>464</v>
      </c>
      <c r="D6" s="24"/>
      <c r="E6" s="17"/>
      <c r="F6" s="18"/>
      <c r="G6" s="35">
        <f ca="1">compute!R12</f>
        <v>2767.719298245614</v>
      </c>
      <c r="H6" s="22"/>
      <c r="I6" s="21"/>
    </row>
    <row r="7" spans="1:12" s="51" customFormat="1" ht="35" customHeight="1" x14ac:dyDescent="0.2">
      <c r="A7" s="44"/>
      <c r="B7" s="45"/>
      <c r="C7" s="46" t="s">
        <v>14</v>
      </c>
      <c r="D7" s="45"/>
      <c r="E7" s="44"/>
      <c r="F7" s="47"/>
      <c r="G7" s="48" t="s">
        <v>15</v>
      </c>
      <c r="H7" s="49"/>
      <c r="I7" s="50"/>
    </row>
    <row r="8" spans="1:12" s="51" customFormat="1" ht="37" customHeight="1" x14ac:dyDescent="0.2">
      <c r="A8" s="44"/>
      <c r="B8" s="45"/>
      <c r="C8" s="46" t="str">
        <f ca="1">compute!S36</f>
        <v>doubing in 28.9 days</v>
      </c>
      <c r="D8" s="45"/>
      <c r="E8" s="44"/>
      <c r="F8" s="47"/>
      <c r="G8" s="48" t="str">
        <f ca="1">compute!S38</f>
        <v>+2.4% per day</v>
      </c>
      <c r="H8" s="49"/>
      <c r="I8" s="50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2" t="s">
        <v>16</v>
      </c>
      <c r="D12" s="18"/>
      <c r="E12" s="17"/>
      <c r="F12" s="18"/>
      <c r="G12" s="42" t="s">
        <v>16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3" t="s">
        <v>18</v>
      </c>
      <c r="H13" s="22"/>
      <c r="I13" s="21"/>
    </row>
    <row r="14" spans="1:12" ht="59" customHeight="1" x14ac:dyDescent="0.2">
      <c r="A14" s="17"/>
      <c r="B14" s="18"/>
      <c r="C14" s="20">
        <f ca="1">compute!R15</f>
        <v>3.0176402649922742E-2</v>
      </c>
      <c r="D14" s="18"/>
      <c r="E14" s="17"/>
      <c r="F14" s="18"/>
      <c r="G14" s="19">
        <f ca="1">compute!R18</f>
        <v>33.885960591133006</v>
      </c>
      <c r="H14" s="22"/>
      <c r="I14" s="21"/>
    </row>
    <row r="15" spans="1:12" ht="32" customHeight="1" x14ac:dyDescent="0.2">
      <c r="A15" s="17"/>
      <c r="B15" s="18"/>
      <c r="C15" s="48" t="s">
        <v>19</v>
      </c>
      <c r="D15" s="18"/>
      <c r="E15" s="17"/>
      <c r="F15" s="18"/>
      <c r="G15" s="48" t="s">
        <v>20</v>
      </c>
      <c r="H15" s="22"/>
      <c r="I15" s="21"/>
    </row>
    <row r="16" spans="1:12" ht="40" customHeight="1" x14ac:dyDescent="0.3">
      <c r="A16" s="17"/>
      <c r="B16" s="18"/>
      <c r="C16" s="43" t="s">
        <v>15</v>
      </c>
      <c r="D16" s="18"/>
      <c r="E16" s="17"/>
      <c r="F16" s="18"/>
      <c r="G16" s="43" t="s">
        <v>21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25" customHeight="1" x14ac:dyDescent="0.2">
      <c r="A19" s="17"/>
      <c r="B19" s="17"/>
      <c r="C19" s="17"/>
      <c r="D19" s="17"/>
      <c r="E19" s="17"/>
      <c r="F19" s="17"/>
      <c r="G19" s="17"/>
      <c r="H19" s="21"/>
      <c r="I19" s="21"/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U40"/>
  <sheetViews>
    <sheetView workbookViewId="0">
      <selection activeCell="E24" sqref="E24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2.5" style="28" customWidth="1"/>
    <col min="4" max="4" width="11.1640625" style="40" customWidth="1"/>
    <col min="5" max="5" width="16.6640625" style="4" customWidth="1"/>
    <col min="6" max="6" width="15.6640625" style="4" customWidth="1"/>
    <col min="7" max="7" width="10.83203125" style="4" customWidth="1"/>
    <col min="8" max="8" width="9" style="4" customWidth="1"/>
    <col min="9" max="10" width="15.83203125" style="28" customWidth="1"/>
    <col min="11" max="11" width="12.6640625" style="16" customWidth="1"/>
    <col min="12" max="12" width="12.83203125" style="28" customWidth="1"/>
    <col min="13" max="13" width="14" customWidth="1"/>
    <col min="14" max="14" width="15.33203125" customWidth="1"/>
    <col min="15" max="15" width="11.5" style="4" customWidth="1"/>
    <col min="16" max="16" width="8.1640625" style="4" customWidth="1"/>
    <col min="17" max="18" width="18.1640625" style="3" customWidth="1"/>
    <col min="19" max="19" width="87.83203125" customWidth="1"/>
  </cols>
  <sheetData>
    <row r="1" spans="1:21" x14ac:dyDescent="0.2">
      <c r="A1" s="1" t="s">
        <v>42</v>
      </c>
      <c r="B1" s="1" t="s">
        <v>44</v>
      </c>
    </row>
    <row r="2" spans="1:21" ht="17" x14ac:dyDescent="0.2">
      <c r="A2" s="1" t="s">
        <v>43</v>
      </c>
      <c r="B2" s="58">
        <v>91718</v>
      </c>
    </row>
    <row r="3" spans="1:21" x14ac:dyDescent="0.2">
      <c r="A3" s="1" t="s">
        <v>45</v>
      </c>
      <c r="B3" s="55" t="s">
        <v>36</v>
      </c>
    </row>
    <row r="4" spans="1:21" s="2" customFormat="1" ht="81" customHeight="1" thickBot="1" x14ac:dyDescent="0.25">
      <c r="A4" s="53" t="s">
        <v>0</v>
      </c>
      <c r="B4" s="54" t="s">
        <v>1</v>
      </c>
      <c r="C4" s="52" t="s">
        <v>33</v>
      </c>
      <c r="D4" s="38" t="s">
        <v>41</v>
      </c>
      <c r="E4" s="7" t="s">
        <v>51</v>
      </c>
      <c r="F4" s="7" t="s">
        <v>50</v>
      </c>
      <c r="G4" s="7" t="s">
        <v>6</v>
      </c>
      <c r="H4" s="7" t="s">
        <v>4</v>
      </c>
      <c r="I4" s="25" t="s">
        <v>9</v>
      </c>
      <c r="J4" s="25" t="s">
        <v>8</v>
      </c>
      <c r="K4" s="13" t="s">
        <v>10</v>
      </c>
      <c r="L4" s="25" t="s">
        <v>11</v>
      </c>
      <c r="M4" s="6" t="s">
        <v>2</v>
      </c>
      <c r="N4" s="6" t="s">
        <v>3</v>
      </c>
      <c r="O4" s="7" t="s">
        <v>7</v>
      </c>
      <c r="P4" s="7" t="s">
        <v>5</v>
      </c>
      <c r="Q4" s="10" t="s">
        <v>12</v>
      </c>
      <c r="R4" s="10" t="s">
        <v>23</v>
      </c>
      <c r="S4" s="30" t="s">
        <v>22</v>
      </c>
    </row>
    <row r="5" spans="1:21" ht="17" x14ac:dyDescent="0.2">
      <c r="A5" s="8">
        <v>43913</v>
      </c>
      <c r="B5" s="9">
        <v>33</v>
      </c>
      <c r="C5" s="26" t="e">
        <f>(Table2[[#This Row],[cases]]-B4)/B4</f>
        <v>#VALUE!</v>
      </c>
      <c r="D5" s="39" t="e">
        <f t="shared" ref="D5:D21" si="0">(LN(2)/LN(B5/B4))</f>
        <v>#VALUE!</v>
      </c>
      <c r="E5" s="12">
        <f>Table2[[#This Row],[cases]]*100/$Q$13</f>
        <v>173.68421052631578</v>
      </c>
      <c r="F5" s="12">
        <f>Table2[[#This Row],[cases]]*100/$Q$16</f>
        <v>220</v>
      </c>
      <c r="G5" s="12">
        <f>Table2[[#This Row],[infection count estimating 15% of infections confirmed]]-Table2[[#This Row],[infection count estimating 19% of infections confirmed]]</f>
        <v>46.31578947368422</v>
      </c>
      <c r="H5" s="12">
        <f>(Table2[[#This Row],[infection count estimating 19% of infections confirmed]]+Table2[[#This Row],[infection count estimating 15% of infections confirmed]])/2</f>
        <v>196.84210526315789</v>
      </c>
      <c r="I5" s="26">
        <f>Table2[[#This Row],[infection count estimating 19% of infections confirmed]]/$Q$6</f>
        <v>1.8936763833305979E-3</v>
      </c>
      <c r="J5" s="26">
        <f>Table2[[#This Row],[infection count estimating 15% of infections confirmed]]/$Q$6</f>
        <v>2.3986567522187576E-3</v>
      </c>
      <c r="K5" s="14">
        <f>Table2[[#This Row],[infection percentage, estimating 7x cases infected]]-Table2[[#This Row],[infection percentage, estimating 5x cases infected]]</f>
        <v>5.0498036888815974E-4</v>
      </c>
      <c r="L5" s="26">
        <f>(Table2[[#This Row],[infection percentage, estimating 5x cases infected]]+Table2[[#This Row],[infection percentage, estimating 7x cases infected]])/2</f>
        <v>2.1461665677746777E-3</v>
      </c>
      <c r="M5" s="12">
        <f>$Q$6/(Table2[[#This Row],[cases]]*5)</f>
        <v>555.86666666666667</v>
      </c>
      <c r="N5" s="12">
        <f>$Q$6/(Table2[[#This Row],[cases]]*7)</f>
        <v>397.04761904761904</v>
      </c>
      <c r="O5" s="3">
        <f>Table2[[#This Row],[1-in-X odds, estimating 5x cases infected]]-Table2[[#This Row],[1-in-X odds, estimating 7x cases infected]]</f>
        <v>158.81904761904764</v>
      </c>
      <c r="P5" s="5">
        <f>(Table2[[#This Row],[1-in-X odds, estimating 5x cases infected]]+Table2[[#This Row],[1-in-X odds, estimating 7x cases infected]])/2</f>
        <v>476.45714285714286</v>
      </c>
      <c r="Q5" s="11" t="s">
        <v>13</v>
      </c>
      <c r="R5" s="11" t="s">
        <v>28</v>
      </c>
      <c r="S5" s="3"/>
      <c r="U5" s="1" t="s">
        <v>48</v>
      </c>
    </row>
    <row r="6" spans="1:21" x14ac:dyDescent="0.2">
      <c r="A6" s="8">
        <v>43914</v>
      </c>
      <c r="B6" s="9">
        <v>45</v>
      </c>
      <c r="C6" s="26">
        <f>(Table2[[#This Row],[cases]]-B5)/B5</f>
        <v>0.36363636363636365</v>
      </c>
      <c r="D6" s="39">
        <f t="shared" si="0"/>
        <v>2.2348417429656711</v>
      </c>
      <c r="E6" s="12">
        <f>Table2[[#This Row],[cases]]*100/$Q$13</f>
        <v>236.84210526315789</v>
      </c>
      <c r="F6" s="12">
        <f>Table2[[#This Row],[cases]]*100/$Q$16</f>
        <v>300</v>
      </c>
      <c r="G6" s="12">
        <f>Table2[[#This Row],[infection count estimating 15% of infections confirmed]]-Table2[[#This Row],[infection count estimating 19% of infections confirmed]]</f>
        <v>63.15789473684211</v>
      </c>
      <c r="H6" s="12">
        <f>(Table2[[#This Row],[infection count estimating 19% of infections confirmed]]+Table2[[#This Row],[infection count estimating 15% of infections confirmed]])/2</f>
        <v>268.42105263157896</v>
      </c>
      <c r="I6" s="26">
        <f>Table2[[#This Row],[infection count estimating 19% of infections confirmed]]/$Q$6</f>
        <v>2.5822859772689972E-3</v>
      </c>
      <c r="J6" s="26">
        <f>Table2[[#This Row],[infection count estimating 15% of infections confirmed]]/$Q$6</f>
        <v>3.2708955712073967E-3</v>
      </c>
      <c r="K6" s="14">
        <f>Table2[[#This Row],[infection percentage, estimating 7x cases infected]]-Table2[[#This Row],[infection percentage, estimating 5x cases infected]]</f>
        <v>6.8860959393839951E-4</v>
      </c>
      <c r="L6" s="26">
        <f>(Table2[[#This Row],[infection percentage, estimating 5x cases infected]]+Table2[[#This Row],[infection percentage, estimating 7x cases infected]])/2</f>
        <v>2.9265907742381967E-3</v>
      </c>
      <c r="M6" s="12">
        <f>$Q$6/(Table2[[#This Row],[cases]]*5)</f>
        <v>407.63555555555558</v>
      </c>
      <c r="N6" s="12">
        <f>$Q$6/(Table2[[#This Row],[cases]]*7)</f>
        <v>291.16825396825396</v>
      </c>
      <c r="O6" s="3">
        <f>Table2[[#This Row],[1-in-X odds, estimating 5x cases infected]]-Table2[[#This Row],[1-in-X odds, estimating 7x cases infected]]</f>
        <v>116.46730158730162</v>
      </c>
      <c r="P6" s="3">
        <f>(Table2[[#This Row],[1-in-X odds, estimating 5x cases infected]]+Table2[[#This Row],[1-in-X odds, estimating 7x cases infected]])/2</f>
        <v>349.4019047619048</v>
      </c>
      <c r="Q6" s="3">
        <f>B2</f>
        <v>91718</v>
      </c>
      <c r="R6" s="29">
        <f ca="1">OFFSET(compute!A5,COUNTA(compute!A5:A10001)-1,0)</f>
        <v>43930</v>
      </c>
      <c r="S6" s="3"/>
      <c r="U6" t="str">
        <f>"Number of Confirmed COVID-19 Cases " &amp; B1</f>
        <v>Number of Confirmed COVID-19 Cases Miami Beach</v>
      </c>
    </row>
    <row r="7" spans="1:21" x14ac:dyDescent="0.2">
      <c r="A7" s="8">
        <v>43915</v>
      </c>
      <c r="B7" s="9">
        <v>50</v>
      </c>
      <c r="C7" s="26">
        <f>(Table2[[#This Row],[cases]]-B6)/B6</f>
        <v>0.1111111111111111</v>
      </c>
      <c r="D7" s="39">
        <f t="shared" si="0"/>
        <v>6.5788134789605808</v>
      </c>
      <c r="E7" s="12">
        <f>Table2[[#This Row],[cases]]*100/$Q$13</f>
        <v>263.15789473684208</v>
      </c>
      <c r="F7" s="12">
        <f>Table2[[#This Row],[cases]]*100/$Q$16</f>
        <v>333.33333333333331</v>
      </c>
      <c r="G7" s="12">
        <f>Table2[[#This Row],[infection count estimating 15% of infections confirmed]]-Table2[[#This Row],[infection count estimating 19% of infections confirmed]]</f>
        <v>70.175438596491233</v>
      </c>
      <c r="H7" s="12">
        <f>(Table2[[#This Row],[infection count estimating 19% of infections confirmed]]+Table2[[#This Row],[infection count estimating 15% of infections confirmed]])/2</f>
        <v>298.24561403508767</v>
      </c>
      <c r="I7" s="26">
        <f>Table2[[#This Row],[infection count estimating 19% of infections confirmed]]/$Q$6</f>
        <v>2.8692066414099967E-3</v>
      </c>
      <c r="J7" s="26">
        <f>Table2[[#This Row],[infection count estimating 15% of infections confirmed]]/$Q$6</f>
        <v>3.6343284124526628E-3</v>
      </c>
      <c r="K7" s="14">
        <f>Table2[[#This Row],[infection percentage, estimating 7x cases infected]]-Table2[[#This Row],[infection percentage, estimating 5x cases infected]]</f>
        <v>7.6512177104266603E-4</v>
      </c>
      <c r="L7" s="26">
        <f>(Table2[[#This Row],[infection percentage, estimating 5x cases infected]]+Table2[[#This Row],[infection percentage, estimating 7x cases infected]])/2</f>
        <v>3.2517675269313298E-3</v>
      </c>
      <c r="M7" s="12">
        <f>$Q$6/(Table2[[#This Row],[cases]]*5)</f>
        <v>366.87200000000001</v>
      </c>
      <c r="N7" s="12">
        <f>$Q$6/(Table2[[#This Row],[cases]]*7)</f>
        <v>262.05142857142857</v>
      </c>
      <c r="O7" s="3">
        <f>Table2[[#This Row],[1-in-X odds, estimating 5x cases infected]]-Table2[[#This Row],[1-in-X odds, estimating 7x cases infected]]</f>
        <v>104.82057142857144</v>
      </c>
      <c r="P7" s="3">
        <f>(Table2[[#This Row],[1-in-X odds, estimating 5x cases infected]]+Table2[[#This Row],[1-in-X odds, estimating 7x cases infected]])/2</f>
        <v>314.46171428571427</v>
      </c>
      <c r="S7" s="3"/>
    </row>
    <row r="8" spans="1:21" x14ac:dyDescent="0.2">
      <c r="A8" s="8">
        <v>43916</v>
      </c>
      <c r="B8" s="9">
        <v>74</v>
      </c>
      <c r="C8" s="26">
        <f>(Table2[[#This Row],[cases]]-B7)/B7</f>
        <v>0.48</v>
      </c>
      <c r="D8" s="39">
        <f t="shared" si="0"/>
        <v>1.768042774417488</v>
      </c>
      <c r="E8" s="12">
        <f>Table2[[#This Row],[cases]]*100/$Q$13</f>
        <v>389.4736842105263</v>
      </c>
      <c r="F8" s="12">
        <f>Table2[[#This Row],[cases]]*100/$Q$16</f>
        <v>493.33333333333331</v>
      </c>
      <c r="G8" s="12">
        <f>Table2[[#This Row],[infection count estimating 15% of infections confirmed]]-Table2[[#This Row],[infection count estimating 19% of infections confirmed]]</f>
        <v>103.85964912280701</v>
      </c>
      <c r="H8" s="12">
        <f>(Table2[[#This Row],[infection count estimating 19% of infections confirmed]]+Table2[[#This Row],[infection count estimating 15% of infections confirmed]])/2</f>
        <v>441.40350877192981</v>
      </c>
      <c r="I8" s="26">
        <f>Table2[[#This Row],[infection count estimating 19% of infections confirmed]]/$Q$6</f>
        <v>4.2464258292867953E-3</v>
      </c>
      <c r="J8" s="26">
        <f>Table2[[#This Row],[infection count estimating 15% of infections confirmed]]/$Q$6</f>
        <v>5.3788060504299405E-3</v>
      </c>
      <c r="K8" s="14">
        <f>Table2[[#This Row],[infection percentage, estimating 7x cases infected]]-Table2[[#This Row],[infection percentage, estimating 5x cases infected]]</f>
        <v>1.1323802211431451E-3</v>
      </c>
      <c r="L8" s="26">
        <f>(Table2[[#This Row],[infection percentage, estimating 5x cases infected]]+Table2[[#This Row],[infection percentage, estimating 7x cases infected]])/2</f>
        <v>4.8126159398583675E-3</v>
      </c>
      <c r="M8" s="12">
        <f>$Q$6/(Table2[[#This Row],[cases]]*5)</f>
        <v>247.88648648648649</v>
      </c>
      <c r="N8" s="12">
        <f>$Q$6/(Table2[[#This Row],[cases]]*7)</f>
        <v>177.06177606177607</v>
      </c>
      <c r="O8" s="3">
        <f>Table2[[#This Row],[1-in-X odds, estimating 5x cases infected]]-Table2[[#This Row],[1-in-X odds, estimating 7x cases infected]]</f>
        <v>70.824710424710418</v>
      </c>
      <c r="P8" s="3">
        <f>(Table2[[#This Row],[1-in-X odds, estimating 5x cases infected]]+Table2[[#This Row],[1-in-X odds, estimating 7x cases infected]])/2</f>
        <v>212.47413127413128</v>
      </c>
      <c r="Q8" s="34" t="s">
        <v>35</v>
      </c>
      <c r="R8" s="34" t="s">
        <v>27</v>
      </c>
      <c r="S8" s="3"/>
    </row>
    <row r="9" spans="1:21" x14ac:dyDescent="0.2">
      <c r="A9" s="8">
        <v>43917</v>
      </c>
      <c r="B9" s="9">
        <v>90</v>
      </c>
      <c r="C9" s="26">
        <f>(Table2[[#This Row],[cases]]-B8)/B8</f>
        <v>0.21621621621621623</v>
      </c>
      <c r="D9" s="39">
        <f t="shared" si="0"/>
        <v>3.5410798640589243</v>
      </c>
      <c r="E9" s="12">
        <f>Table2[[#This Row],[cases]]*100/$Q$13</f>
        <v>473.68421052631578</v>
      </c>
      <c r="F9" s="12">
        <f>Table2[[#This Row],[cases]]*100/$Q$16</f>
        <v>600</v>
      </c>
      <c r="G9" s="12">
        <f>Table2[[#This Row],[infection count estimating 15% of infections confirmed]]-Table2[[#This Row],[infection count estimating 19% of infections confirmed]]</f>
        <v>126.31578947368422</v>
      </c>
      <c r="H9" s="12">
        <f>(Table2[[#This Row],[infection count estimating 19% of infections confirmed]]+Table2[[#This Row],[infection count estimating 15% of infections confirmed]])/2</f>
        <v>536.84210526315792</v>
      </c>
      <c r="I9" s="26">
        <f>Table2[[#This Row],[infection count estimating 19% of infections confirmed]]/$Q$6</f>
        <v>5.1645719545379944E-3</v>
      </c>
      <c r="J9" s="26">
        <f>Table2[[#This Row],[infection count estimating 15% of infections confirmed]]/$Q$6</f>
        <v>6.5417911424147934E-3</v>
      </c>
      <c r="K9" s="14">
        <f>Table2[[#This Row],[infection percentage, estimating 7x cases infected]]-Table2[[#This Row],[infection percentage, estimating 5x cases infected]]</f>
        <v>1.377219187876799E-3</v>
      </c>
      <c r="L9" s="26">
        <f>(Table2[[#This Row],[infection percentage, estimating 5x cases infected]]+Table2[[#This Row],[infection percentage, estimating 7x cases infected]])/2</f>
        <v>5.8531815484763935E-3</v>
      </c>
      <c r="M9" s="12">
        <f>$Q$6/(Table2[[#This Row],[cases]]*5)</f>
        <v>203.81777777777779</v>
      </c>
      <c r="N9" s="12">
        <f>$Q$6/(Table2[[#This Row],[cases]]*7)</f>
        <v>145.58412698412698</v>
      </c>
      <c r="O9" s="3">
        <f>Table2[[#This Row],[1-in-X odds, estimating 5x cases infected]]-Table2[[#This Row],[1-in-X odds, estimating 7x cases infected]]</f>
        <v>58.23365079365081</v>
      </c>
      <c r="P9" s="3">
        <f>(Table2[[#This Row],[1-in-X odds, estimating 5x cases infected]]+Table2[[#This Row],[1-in-X odds, estimating 7x cases infected]])/2</f>
        <v>174.7009523809524</v>
      </c>
      <c r="Q9" s="34" t="str">
        <f>B3</f>
        <v>morning</v>
      </c>
      <c r="R9" s="3">
        <f ca="1">OFFSET(compute!B4,COUNTA(compute!B4:B10001)-1,0)</f>
        <v>464</v>
      </c>
      <c r="S9" s="3"/>
    </row>
    <row r="10" spans="1:21" x14ac:dyDescent="0.2">
      <c r="A10" s="8">
        <v>43918</v>
      </c>
      <c r="B10" s="9">
        <v>115</v>
      </c>
      <c r="C10" s="26">
        <f>(Table2[[#This Row],[cases]]-B9)/B9</f>
        <v>0.27777777777777779</v>
      </c>
      <c r="D10" s="39">
        <f t="shared" si="0"/>
        <v>2.8277587705434639</v>
      </c>
      <c r="E10" s="12">
        <f>Table2[[#This Row],[cases]]*100/$Q$13</f>
        <v>605.26315789473688</v>
      </c>
      <c r="F10" s="12">
        <f>Table2[[#This Row],[cases]]*100/$Q$16</f>
        <v>766.66666666666663</v>
      </c>
      <c r="G10" s="12">
        <f>Table2[[#This Row],[infection count estimating 15% of infections confirmed]]-Table2[[#This Row],[infection count estimating 19% of infections confirmed]]</f>
        <v>161.40350877192975</v>
      </c>
      <c r="H10" s="12">
        <f>(Table2[[#This Row],[infection count estimating 19% of infections confirmed]]+Table2[[#This Row],[infection count estimating 15% of infections confirmed]])/2</f>
        <v>685.96491228070181</v>
      </c>
      <c r="I10" s="26">
        <f>Table2[[#This Row],[infection count estimating 19% of infections confirmed]]/$Q$6</f>
        <v>6.5991752752429939E-3</v>
      </c>
      <c r="J10" s="26">
        <f>Table2[[#This Row],[infection count estimating 15% of infections confirmed]]/$Q$6</f>
        <v>8.3589553486411242E-3</v>
      </c>
      <c r="K10" s="14">
        <f>Table2[[#This Row],[infection percentage, estimating 7x cases infected]]-Table2[[#This Row],[infection percentage, estimating 5x cases infected]]</f>
        <v>1.7597800733981303E-3</v>
      </c>
      <c r="L10" s="26">
        <f>(Table2[[#This Row],[infection percentage, estimating 5x cases infected]]+Table2[[#This Row],[infection percentage, estimating 7x cases infected]])/2</f>
        <v>7.479065311942059E-3</v>
      </c>
      <c r="M10" s="12">
        <f>$Q$6/(Table2[[#This Row],[cases]]*5)</f>
        <v>159.5095652173913</v>
      </c>
      <c r="N10" s="12">
        <f>$Q$6/(Table2[[#This Row],[cases]]*7)</f>
        <v>113.93540372670807</v>
      </c>
      <c r="O10" s="3">
        <f>Table2[[#This Row],[1-in-X odds, estimating 5x cases infected]]-Table2[[#This Row],[1-in-X odds, estimating 7x cases infected]]</f>
        <v>45.574161490683224</v>
      </c>
      <c r="P10" s="3">
        <f>(Table2[[#This Row],[1-in-X odds, estimating 5x cases infected]]+Table2[[#This Row],[1-in-X odds, estimating 7x cases infected]])/2</f>
        <v>136.7224844720497</v>
      </c>
      <c r="S10" s="3"/>
    </row>
    <row r="11" spans="1:21" x14ac:dyDescent="0.2">
      <c r="A11" s="8">
        <v>43919</v>
      </c>
      <c r="B11" s="9">
        <v>123</v>
      </c>
      <c r="C11" s="26">
        <f>(Table2[[#This Row],[cases]]-B10)/B10</f>
        <v>6.9565217391304349E-2</v>
      </c>
      <c r="D11" s="39">
        <f t="shared" si="0"/>
        <v>10.30667996266442</v>
      </c>
      <c r="E11" s="12">
        <f>Table2[[#This Row],[cases]]*100/$Q$13</f>
        <v>647.36842105263156</v>
      </c>
      <c r="F11" s="12">
        <f>Table2[[#This Row],[cases]]*100/$Q$16</f>
        <v>820</v>
      </c>
      <c r="G11" s="12">
        <f>Table2[[#This Row],[infection count estimating 15% of infections confirmed]]-Table2[[#This Row],[infection count estimating 19% of infections confirmed]]</f>
        <v>172.63157894736844</v>
      </c>
      <c r="H11" s="12">
        <f>(Table2[[#This Row],[infection count estimating 19% of infections confirmed]]+Table2[[#This Row],[infection count estimating 15% of infections confirmed]])/2</f>
        <v>733.68421052631584</v>
      </c>
      <c r="I11" s="26">
        <f>Table2[[#This Row],[infection count estimating 19% of infections confirmed]]/$Q$6</f>
        <v>7.0582483378685921E-3</v>
      </c>
      <c r="J11" s="26">
        <f>Table2[[#This Row],[infection count estimating 15% of infections confirmed]]/$Q$6</f>
        <v>8.9404478946335502E-3</v>
      </c>
      <c r="K11" s="14">
        <f>Table2[[#This Row],[infection percentage, estimating 7x cases infected]]-Table2[[#This Row],[infection percentage, estimating 5x cases infected]]</f>
        <v>1.8821995567649581E-3</v>
      </c>
      <c r="L11" s="26">
        <f>(Table2[[#This Row],[infection percentage, estimating 5x cases infected]]+Table2[[#This Row],[infection percentage, estimating 7x cases infected]])/2</f>
        <v>7.9993481162510711E-3</v>
      </c>
      <c r="M11" s="12">
        <f>$Q$6/(Table2[[#This Row],[cases]]*5)</f>
        <v>149.13495934959349</v>
      </c>
      <c r="N11" s="12">
        <f>$Q$6/(Table2[[#This Row],[cases]]*7)</f>
        <v>106.52497096399536</v>
      </c>
      <c r="O11" s="3">
        <f>Table2[[#This Row],[1-in-X odds, estimating 5x cases infected]]-Table2[[#This Row],[1-in-X odds, estimating 7x cases infected]]</f>
        <v>42.609988385598129</v>
      </c>
      <c r="P11" s="3">
        <f>(Table2[[#This Row],[1-in-X odds, estimating 5x cases infected]]+Table2[[#This Row],[1-in-X odds, estimating 7x cases infected]])/2</f>
        <v>127.82996515679443</v>
      </c>
      <c r="Q11" s="3" t="s">
        <v>38</v>
      </c>
      <c r="R11" s="34" t="s">
        <v>29</v>
      </c>
      <c r="S11" s="3"/>
    </row>
    <row r="12" spans="1:21" x14ac:dyDescent="0.2">
      <c r="A12" s="8">
        <v>43920</v>
      </c>
      <c r="B12" s="9">
        <v>194</v>
      </c>
      <c r="C12" s="26">
        <f>(Table2[[#This Row],[cases]]-B11)/B11</f>
        <v>0.57723577235772361</v>
      </c>
      <c r="D12" s="39">
        <f t="shared" si="0"/>
        <v>1.5211477485550517</v>
      </c>
      <c r="E12" s="12">
        <f>Table2[[#This Row],[cases]]*100/$Q$13</f>
        <v>1021.0526315789474</v>
      </c>
      <c r="F12" s="12">
        <f>Table2[[#This Row],[cases]]*100/$Q$16</f>
        <v>1293.3333333333333</v>
      </c>
      <c r="G12" s="12">
        <f>Table2[[#This Row],[infection count estimating 15% of infections confirmed]]-Table2[[#This Row],[infection count estimating 19% of infections confirmed]]</f>
        <v>272.28070175438586</v>
      </c>
      <c r="H12" s="12">
        <f>(Table2[[#This Row],[infection count estimating 19% of infections confirmed]]+Table2[[#This Row],[infection count estimating 15% of infections confirmed]])/2</f>
        <v>1157.1929824561403</v>
      </c>
      <c r="I12" s="26">
        <f>Table2[[#This Row],[infection count estimating 19% of infections confirmed]]/$Q$6</f>
        <v>1.1132521768670788E-2</v>
      </c>
      <c r="J12" s="26">
        <f>Table2[[#This Row],[infection count estimating 15% of infections confirmed]]/$Q$6</f>
        <v>1.410119424031633E-2</v>
      </c>
      <c r="K12" s="14">
        <f>Table2[[#This Row],[infection percentage, estimating 7x cases infected]]-Table2[[#This Row],[infection percentage, estimating 5x cases infected]]</f>
        <v>2.9686724716455424E-3</v>
      </c>
      <c r="L12" s="26">
        <f>(Table2[[#This Row],[infection percentage, estimating 5x cases infected]]+Table2[[#This Row],[infection percentage, estimating 7x cases infected]])/2</f>
        <v>1.261685800449356E-2</v>
      </c>
      <c r="M12" s="12">
        <f>$Q$6/(Table2[[#This Row],[cases]]*5)</f>
        <v>94.554639175257734</v>
      </c>
      <c r="N12" s="12">
        <f>$Q$6/(Table2[[#This Row],[cases]]*7)</f>
        <v>67.539027982326957</v>
      </c>
      <c r="O12" s="3">
        <f>Table2[[#This Row],[1-in-X odds, estimating 5x cases infected]]-Table2[[#This Row],[1-in-X odds, estimating 7x cases infected]]</f>
        <v>27.015611192930777</v>
      </c>
      <c r="P12" s="3">
        <f>(Table2[[#This Row],[1-in-X odds, estimating 5x cases infected]]+Table2[[#This Row],[1-in-X odds, estimating 7x cases infected]])/2</f>
        <v>81.046833578792345</v>
      </c>
      <c r="Q12" s="34" t="s">
        <v>39</v>
      </c>
      <c r="R12" s="36">
        <f ca="1">OFFSET(compute!H4,COUNTA(compute!H:H)-1,0)</f>
        <v>2767.719298245614</v>
      </c>
      <c r="S12" s="3"/>
    </row>
    <row r="13" spans="1:21" x14ac:dyDescent="0.2">
      <c r="A13" s="8">
        <v>43921</v>
      </c>
      <c r="B13" s="9">
        <v>236</v>
      </c>
      <c r="C13" s="26">
        <f>(Table2[[#This Row],[cases]]-B12)/B12</f>
        <v>0.21649484536082475</v>
      </c>
      <c r="D13" s="39">
        <f t="shared" si="0"/>
        <v>3.5369407817893648</v>
      </c>
      <c r="E13" s="12">
        <f>Table2[[#This Row],[cases]]*100/$Q$13</f>
        <v>1242.1052631578948</v>
      </c>
      <c r="F13" s="12">
        <f>Table2[[#This Row],[cases]]*100/$Q$16</f>
        <v>1573.3333333333333</v>
      </c>
      <c r="G13" s="12">
        <f>Table2[[#This Row],[infection count estimating 15% of infections confirmed]]-Table2[[#This Row],[infection count estimating 19% of infections confirmed]]</f>
        <v>331.22807017543846</v>
      </c>
      <c r="H13" s="12">
        <f>(Table2[[#This Row],[infection count estimating 19% of infections confirmed]]+Table2[[#This Row],[infection count estimating 15% of infections confirmed]])/2</f>
        <v>1407.719298245614</v>
      </c>
      <c r="I13" s="26">
        <f>Table2[[#This Row],[infection count estimating 19% of infections confirmed]]/$Q$6</f>
        <v>1.3542655347455187E-2</v>
      </c>
      <c r="J13" s="26">
        <f>Table2[[#This Row],[infection count estimating 15% of infections confirmed]]/$Q$6</f>
        <v>1.7154030106776567E-2</v>
      </c>
      <c r="K13" s="14">
        <f>Table2[[#This Row],[infection percentage, estimating 7x cases infected]]-Table2[[#This Row],[infection percentage, estimating 5x cases infected]]</f>
        <v>3.6113747593213806E-3</v>
      </c>
      <c r="L13" s="26">
        <f>(Table2[[#This Row],[infection percentage, estimating 5x cases infected]]+Table2[[#This Row],[infection percentage, estimating 7x cases infected]])/2</f>
        <v>1.5348342727115877E-2</v>
      </c>
      <c r="M13" s="12">
        <f>$Q$6/(Table2[[#This Row],[cases]]*5)</f>
        <v>77.727118644067801</v>
      </c>
      <c r="N13" s="12">
        <f>$Q$6/(Table2[[#This Row],[cases]]*7)</f>
        <v>55.519370460048428</v>
      </c>
      <c r="O13" s="3">
        <f>Table2[[#This Row],[1-in-X odds, estimating 5x cases infected]]-Table2[[#This Row],[1-in-X odds, estimating 7x cases infected]]</f>
        <v>22.207748184019373</v>
      </c>
      <c r="P13" s="3">
        <f>(Table2[[#This Row],[1-in-X odds, estimating 5x cases infected]]+Table2[[#This Row],[1-in-X odds, estimating 7x cases infected]])/2</f>
        <v>66.623244552058111</v>
      </c>
      <c r="Q13" s="3">
        <v>19</v>
      </c>
      <c r="S13" s="3"/>
    </row>
    <row r="14" spans="1:21" x14ac:dyDescent="0.2">
      <c r="A14" s="8">
        <v>43922</v>
      </c>
      <c r="B14" s="9">
        <v>252</v>
      </c>
      <c r="C14" s="26">
        <f>(Table2[[#This Row],[cases]]-B13)/B13</f>
        <v>6.7796610169491525E-2</v>
      </c>
      <c r="D14" s="39">
        <f t="shared" si="0"/>
        <v>10.566705727632121</v>
      </c>
      <c r="E14" s="12">
        <f>Table2[[#This Row],[cases]]*100/$Q$13</f>
        <v>1326.3157894736842</v>
      </c>
      <c r="F14" s="12">
        <f>Table2[[#This Row],[cases]]*100/$Q$16</f>
        <v>1680</v>
      </c>
      <c r="G14" s="12">
        <f>Table2[[#This Row],[infection count estimating 15% of infections confirmed]]-Table2[[#This Row],[infection count estimating 19% of infections confirmed]]</f>
        <v>353.68421052631584</v>
      </c>
      <c r="H14" s="12">
        <f>(Table2[[#This Row],[infection count estimating 19% of infections confirmed]]+Table2[[#This Row],[infection count estimating 15% of infections confirmed]])/2</f>
        <v>1503.1578947368421</v>
      </c>
      <c r="I14" s="26">
        <f>Table2[[#This Row],[infection count estimating 19% of infections confirmed]]/$Q$6</f>
        <v>1.4460801472706385E-2</v>
      </c>
      <c r="J14" s="26">
        <f>Table2[[#This Row],[infection count estimating 15% of infections confirmed]]/$Q$6</f>
        <v>1.831701519876142E-2</v>
      </c>
      <c r="K14" s="14">
        <f>Table2[[#This Row],[infection percentage, estimating 7x cases infected]]-Table2[[#This Row],[infection percentage, estimating 5x cases infected]]</f>
        <v>3.8562137260550345E-3</v>
      </c>
      <c r="L14" s="26">
        <f>(Table2[[#This Row],[infection percentage, estimating 5x cases infected]]+Table2[[#This Row],[infection percentage, estimating 7x cases infected]])/2</f>
        <v>1.6388908335733903E-2</v>
      </c>
      <c r="M14" s="12">
        <f>$Q$6/(Table2[[#This Row],[cases]]*5)</f>
        <v>72.792063492063491</v>
      </c>
      <c r="N14" s="12">
        <f>$Q$6/(Table2[[#This Row],[cases]]*7)</f>
        <v>51.994331065759638</v>
      </c>
      <c r="O14" s="3">
        <f>Table2[[#This Row],[1-in-X odds, estimating 5x cases infected]]-Table2[[#This Row],[1-in-X odds, estimating 7x cases infected]]</f>
        <v>20.797732426303853</v>
      </c>
      <c r="P14" s="3">
        <f>(Table2[[#This Row],[1-in-X odds, estimating 5x cases infected]]+Table2[[#This Row],[1-in-X odds, estimating 7x cases infected]])/2</f>
        <v>62.393197278911565</v>
      </c>
      <c r="R14" s="34" t="s">
        <v>30</v>
      </c>
      <c r="S14" s="3"/>
    </row>
    <row r="15" spans="1:21" x14ac:dyDescent="0.2">
      <c r="A15" s="8">
        <v>43923</v>
      </c>
      <c r="B15" s="9">
        <v>268</v>
      </c>
      <c r="C15" s="26">
        <f>(Table2[[#This Row],[cases]]-B14)/B14</f>
        <v>6.3492063492063489E-2</v>
      </c>
      <c r="D15" s="39">
        <f t="shared" si="0"/>
        <v>11.26008618531381</v>
      </c>
      <c r="E15" s="12">
        <f>Table2[[#This Row],[cases]]*100/$Q$13</f>
        <v>1410.5263157894738</v>
      </c>
      <c r="F15" s="12">
        <f>Table2[[#This Row],[cases]]*100/$Q$16</f>
        <v>1786.6666666666667</v>
      </c>
      <c r="G15" s="12">
        <f>Table2[[#This Row],[infection count estimating 15% of infections confirmed]]-Table2[[#This Row],[infection count estimating 19% of infections confirmed]]</f>
        <v>376.14035087719299</v>
      </c>
      <c r="H15" s="12">
        <f>(Table2[[#This Row],[infection count estimating 19% of infections confirmed]]+Table2[[#This Row],[infection count estimating 15% of infections confirmed]])/2</f>
        <v>1598.5964912280701</v>
      </c>
      <c r="I15" s="26">
        <f>Table2[[#This Row],[infection count estimating 19% of infections confirmed]]/$Q$6</f>
        <v>1.5378947597957585E-2</v>
      </c>
      <c r="J15" s="26">
        <f>Table2[[#This Row],[infection count estimating 15% of infections confirmed]]/$Q$6</f>
        <v>1.9480000290746275E-2</v>
      </c>
      <c r="K15" s="14">
        <f>Table2[[#This Row],[infection percentage, estimating 7x cases infected]]-Table2[[#This Row],[infection percentage, estimating 5x cases infected]]</f>
        <v>4.1010526927886901E-3</v>
      </c>
      <c r="L15" s="26">
        <f>(Table2[[#This Row],[infection percentage, estimating 5x cases infected]]+Table2[[#This Row],[infection percentage, estimating 7x cases infected]])/2</f>
        <v>1.7429473944351931E-2</v>
      </c>
      <c r="M15" s="12">
        <f>$Q$6/(Table2[[#This Row],[cases]]*5)</f>
        <v>68.446268656716413</v>
      </c>
      <c r="N15" s="12">
        <f>$Q$6/(Table2[[#This Row],[cases]]*7)</f>
        <v>48.890191897654582</v>
      </c>
      <c r="O15" s="3">
        <f>Table2[[#This Row],[1-in-X odds, estimating 5x cases infected]]-Table2[[#This Row],[1-in-X odds, estimating 7x cases infected]]</f>
        <v>19.556076759061831</v>
      </c>
      <c r="P15" s="3">
        <f>(Table2[[#This Row],[1-in-X odds, estimating 5x cases infected]]+Table2[[#This Row],[1-in-X odds, estimating 7x cases infected]])/2</f>
        <v>58.668230277185501</v>
      </c>
      <c r="Q15" s="34" t="s">
        <v>40</v>
      </c>
      <c r="R15" s="27">
        <f ca="1">OFFSET(compute!L4,COUNTA(compute!L:L)-1,0)</f>
        <v>3.0176402649922742E-2</v>
      </c>
      <c r="S15" s="3"/>
    </row>
    <row r="16" spans="1:21" x14ac:dyDescent="0.2">
      <c r="A16" s="8">
        <v>43924</v>
      </c>
      <c r="B16" s="9">
        <v>302</v>
      </c>
      <c r="C16" s="26">
        <f>(Table2[[#This Row],[cases]]-B15)/B15</f>
        <v>0.12686567164179105</v>
      </c>
      <c r="D16" s="39">
        <f t="shared" si="0"/>
        <v>5.803306820384857</v>
      </c>
      <c r="E16" s="12">
        <f>Table2[[#This Row],[cases]]*100/$Q$13</f>
        <v>1589.4736842105262</v>
      </c>
      <c r="F16" s="12">
        <f>Table2[[#This Row],[cases]]*100/$Q$16</f>
        <v>2013.3333333333333</v>
      </c>
      <c r="G16" s="12">
        <f>Table2[[#This Row],[infection count estimating 15% of infections confirmed]]-Table2[[#This Row],[infection count estimating 19% of infections confirmed]]</f>
        <v>423.85964912280701</v>
      </c>
      <c r="H16" s="12">
        <f>(Table2[[#This Row],[infection count estimating 19% of infections confirmed]]+Table2[[#This Row],[infection count estimating 15% of infections confirmed]])/2</f>
        <v>1801.4035087719299</v>
      </c>
      <c r="I16" s="26">
        <f>Table2[[#This Row],[infection count estimating 19% of infections confirmed]]/$Q$6</f>
        <v>1.733000811411638E-2</v>
      </c>
      <c r="J16" s="26">
        <f>Table2[[#This Row],[infection count estimating 15% of infections confirmed]]/$Q$6</f>
        <v>2.1951343611214084E-2</v>
      </c>
      <c r="K16" s="14">
        <f>Table2[[#This Row],[infection percentage, estimating 7x cases infected]]-Table2[[#This Row],[infection percentage, estimating 5x cases infected]]</f>
        <v>4.621335497097704E-3</v>
      </c>
      <c r="L16" s="26">
        <f>(Table2[[#This Row],[infection percentage, estimating 5x cases infected]]+Table2[[#This Row],[infection percentage, estimating 7x cases infected]])/2</f>
        <v>1.9640675862665234E-2</v>
      </c>
      <c r="M16" s="12">
        <f>$Q$6/(Table2[[#This Row],[cases]]*5)</f>
        <v>60.740397350993376</v>
      </c>
      <c r="N16" s="12">
        <f>$Q$6/(Table2[[#This Row],[cases]]*7)</f>
        <v>43.385998107852416</v>
      </c>
      <c r="O16" s="3">
        <f>Table2[[#This Row],[1-in-X odds, estimating 5x cases infected]]-Table2[[#This Row],[1-in-X odds, estimating 7x cases infected]]</f>
        <v>17.354399243140961</v>
      </c>
      <c r="P16" s="3">
        <f>(Table2[[#This Row],[1-in-X odds, estimating 5x cases infected]]+Table2[[#This Row],[1-in-X odds, estimating 7x cases infected]])/2</f>
        <v>52.063197729422896</v>
      </c>
      <c r="Q16" s="3">
        <v>15</v>
      </c>
      <c r="S16" s="3"/>
    </row>
    <row r="17" spans="1:19" x14ac:dyDescent="0.2">
      <c r="A17" s="8">
        <v>43925</v>
      </c>
      <c r="B17" s="9">
        <v>341</v>
      </c>
      <c r="C17" s="26">
        <f>(Table2[[#This Row],[cases]]-B16)/B16</f>
        <v>0.12913907284768211</v>
      </c>
      <c r="D17" s="39">
        <f t="shared" si="0"/>
        <v>5.7070071702111713</v>
      </c>
      <c r="E17" s="12">
        <f>Table2[[#This Row],[cases]]*100/$Q$13</f>
        <v>1794.7368421052631</v>
      </c>
      <c r="F17" s="12">
        <f>Table2[[#This Row],[cases]]*100/$Q$16</f>
        <v>2273.3333333333335</v>
      </c>
      <c r="G17" s="12">
        <f>Table2[[#This Row],[infection count estimating 15% of infections confirmed]]-Table2[[#This Row],[infection count estimating 19% of infections confirmed]]</f>
        <v>478.59649122807036</v>
      </c>
      <c r="H17" s="12">
        <f>(Table2[[#This Row],[infection count estimating 19% of infections confirmed]]+Table2[[#This Row],[infection count estimating 15% of infections confirmed]])/2</f>
        <v>2034.0350877192982</v>
      </c>
      <c r="I17" s="26">
        <f>Table2[[#This Row],[infection count estimating 19% of infections confirmed]]/$Q$6</f>
        <v>1.956798929441618E-2</v>
      </c>
      <c r="J17" s="26">
        <f>Table2[[#This Row],[infection count estimating 15% of infections confirmed]]/$Q$6</f>
        <v>2.4786119772927162E-2</v>
      </c>
      <c r="K17" s="14">
        <f>Table2[[#This Row],[infection percentage, estimating 7x cases infected]]-Table2[[#This Row],[infection percentage, estimating 5x cases infected]]</f>
        <v>5.2181304785109822E-3</v>
      </c>
      <c r="L17" s="26">
        <f>(Table2[[#This Row],[infection percentage, estimating 5x cases infected]]+Table2[[#This Row],[infection percentage, estimating 7x cases infected]])/2</f>
        <v>2.2177054533671671E-2</v>
      </c>
      <c r="M17" s="12">
        <f>$Q$6/(Table2[[#This Row],[cases]]*5)</f>
        <v>53.793548387096777</v>
      </c>
      <c r="N17" s="12">
        <f>$Q$6/(Table2[[#This Row],[cases]]*7)</f>
        <v>38.423963133640555</v>
      </c>
      <c r="O17" s="3">
        <f>Table2[[#This Row],[1-in-X odds, estimating 5x cases infected]]-Table2[[#This Row],[1-in-X odds, estimating 7x cases infected]]</f>
        <v>15.369585253456222</v>
      </c>
      <c r="P17" s="3">
        <f>(Table2[[#This Row],[1-in-X odds, estimating 5x cases infected]]+Table2[[#This Row],[1-in-X odds, estimating 7x cases infected]])/2</f>
        <v>46.108755760368666</v>
      </c>
      <c r="R17" s="34" t="s">
        <v>31</v>
      </c>
      <c r="S17" s="3"/>
    </row>
    <row r="18" spans="1:19" x14ac:dyDescent="0.2">
      <c r="A18" s="8">
        <v>43926</v>
      </c>
      <c r="B18" s="9">
        <v>361</v>
      </c>
      <c r="C18" s="26">
        <f>(Table2[[#This Row],[cases]]-B17)/B17</f>
        <v>5.865102639296188E-2</v>
      </c>
      <c r="D18" s="39">
        <f t="shared" si="0"/>
        <v>12.161441008974148</v>
      </c>
      <c r="E18" s="12">
        <f>Table2[[#This Row],[cases]]*100/$Q$13</f>
        <v>1900</v>
      </c>
      <c r="F18" s="12">
        <f>Table2[[#This Row],[cases]]*100/$Q$16</f>
        <v>2406.6666666666665</v>
      </c>
      <c r="G18" s="12">
        <f>Table2[[#This Row],[infection count estimating 15% of infections confirmed]]-Table2[[#This Row],[infection count estimating 19% of infections confirmed]]</f>
        <v>506.66666666666652</v>
      </c>
      <c r="H18" s="12">
        <f>(Table2[[#This Row],[infection count estimating 19% of infections confirmed]]+Table2[[#This Row],[infection count estimating 15% of infections confirmed]])/2</f>
        <v>2153.333333333333</v>
      </c>
      <c r="I18" s="26">
        <f>Table2[[#This Row],[infection count estimating 19% of infections confirmed]]/$Q$6</f>
        <v>2.0715671950980178E-2</v>
      </c>
      <c r="J18" s="26">
        <f>Table2[[#This Row],[infection count estimating 15% of infections confirmed]]/$Q$6</f>
        <v>2.6239851137908225E-2</v>
      </c>
      <c r="K18" s="14">
        <f>Table2[[#This Row],[infection percentage, estimating 7x cases infected]]-Table2[[#This Row],[infection percentage, estimating 5x cases infected]]</f>
        <v>5.5241791869280465E-3</v>
      </c>
      <c r="L18" s="26">
        <f>(Table2[[#This Row],[infection percentage, estimating 5x cases infected]]+Table2[[#This Row],[infection percentage, estimating 7x cases infected]])/2</f>
        <v>2.3477761544444201E-2</v>
      </c>
      <c r="M18" s="12">
        <f>$Q$6/(Table2[[#This Row],[cases]]*5)</f>
        <v>50.813296398891964</v>
      </c>
      <c r="N18" s="12">
        <f>$Q$6/(Table2[[#This Row],[cases]]*7)</f>
        <v>36.295211713494261</v>
      </c>
      <c r="O18" s="3">
        <f>Table2[[#This Row],[1-in-X odds, estimating 5x cases infected]]-Table2[[#This Row],[1-in-X odds, estimating 7x cases infected]]</f>
        <v>14.518084685397703</v>
      </c>
      <c r="P18" s="3">
        <f>(Table2[[#This Row],[1-in-X odds, estimating 5x cases infected]]+Table2[[#This Row],[1-in-X odds, estimating 7x cases infected]])/2</f>
        <v>43.554254056193116</v>
      </c>
      <c r="R18" s="3">
        <f ca="1">OFFSET(compute!P4,COUNTA(compute!P:P)-1,0)</f>
        <v>33.885960591133006</v>
      </c>
      <c r="S18" s="3"/>
    </row>
    <row r="19" spans="1:19" x14ac:dyDescent="0.2">
      <c r="A19" s="8">
        <v>43927</v>
      </c>
      <c r="B19" s="9">
        <v>383</v>
      </c>
      <c r="C19" s="26">
        <f>(Table2[[#This Row],[cases]]-B18)/B18</f>
        <v>6.0941828254847646E-2</v>
      </c>
      <c r="D19" s="39">
        <f t="shared" si="0"/>
        <v>11.717071844658532</v>
      </c>
      <c r="E19" s="3">
        <f>Table2[[#This Row],[cases]]*100/$Q$13</f>
        <v>2015.7894736842106</v>
      </c>
      <c r="F19" s="3">
        <f>Table2[[#This Row],[cases]]*100/$Q$16</f>
        <v>2553.3333333333335</v>
      </c>
      <c r="G19" s="3">
        <f>Table2[[#This Row],[infection count estimating 15% of infections confirmed]]-Table2[[#This Row],[infection count estimating 19% of infections confirmed]]</f>
        <v>537.54385964912285</v>
      </c>
      <c r="H19" s="3">
        <f>(Table2[[#This Row],[infection count estimating 19% of infections confirmed]]+Table2[[#This Row],[infection count estimating 15% of infections confirmed]])/2</f>
        <v>2284.5614035087719</v>
      </c>
      <c r="I19" s="27">
        <f>Table2[[#This Row],[infection count estimating 19% of infections confirmed]]/$Q$6</f>
        <v>2.1978122873200577E-2</v>
      </c>
      <c r="J19" s="26">
        <f>Table2[[#This Row],[infection count estimating 15% of infections confirmed]]/$Q$6</f>
        <v>2.7838955639387399E-2</v>
      </c>
      <c r="K19" s="15">
        <f>Table2[[#This Row],[infection percentage, estimating 7x cases infected]]-Table2[[#This Row],[infection percentage, estimating 5x cases infected]]</f>
        <v>5.8608327661868222E-3</v>
      </c>
      <c r="L19" s="27">
        <f>(Table2[[#This Row],[infection percentage, estimating 5x cases infected]]+Table2[[#This Row],[infection percentage, estimating 7x cases infected]])/2</f>
        <v>2.4908539256293986E-2</v>
      </c>
      <c r="M19" s="3">
        <f>$Q$6/(Table2[[#This Row],[cases]]*5)</f>
        <v>47.894516971279373</v>
      </c>
      <c r="N19" s="3">
        <f>$Q$6/(Table2[[#This Row],[cases]]*7)</f>
        <v>34.210369265199553</v>
      </c>
      <c r="O19" s="3">
        <f>Table2[[#This Row],[1-in-X odds, estimating 5x cases infected]]-Table2[[#This Row],[1-in-X odds, estimating 7x cases infected]]</f>
        <v>13.68414770607982</v>
      </c>
      <c r="P19" s="3">
        <f>(Table2[[#This Row],[1-in-X odds, estimating 5x cases infected]]+Table2[[#This Row],[1-in-X odds, estimating 7x cases infected]])/2</f>
        <v>41.052443118239466</v>
      </c>
      <c r="S19" s="32" t="s">
        <v>25</v>
      </c>
    </row>
    <row r="20" spans="1:19" x14ac:dyDescent="0.2">
      <c r="A20" s="8">
        <v>43928</v>
      </c>
      <c r="B20" s="9">
        <v>426</v>
      </c>
      <c r="C20" s="26">
        <f>(Table2[[#This Row],[cases]]-B19)/B19</f>
        <v>0.1122715404699739</v>
      </c>
      <c r="D20" s="39">
        <f t="shared" si="0"/>
        <v>6.5142744106049149</v>
      </c>
      <c r="E20" s="3">
        <f>Table2[[#This Row],[cases]]*100/$Q$13</f>
        <v>2242.1052631578946</v>
      </c>
      <c r="F20" s="3">
        <f>Table2[[#This Row],[cases]]*100/$Q$16</f>
        <v>2840</v>
      </c>
      <c r="G20" s="3">
        <f>Table2[[#This Row],[infection count estimating 15% of infections confirmed]]-Table2[[#This Row],[infection count estimating 19% of infections confirmed]]</f>
        <v>597.89473684210543</v>
      </c>
      <c r="H20" s="3">
        <f>(Table2[[#This Row],[infection count estimating 19% of infections confirmed]]+Table2[[#This Row],[infection count estimating 15% of infections confirmed]])/2</f>
        <v>2541.0526315789475</v>
      </c>
      <c r="I20" s="27">
        <f>Table2[[#This Row],[infection count estimating 19% of infections confirmed]]/$Q$6</f>
        <v>2.4445640584813171E-2</v>
      </c>
      <c r="J20" s="26">
        <f>Table2[[#This Row],[infection count estimating 15% of infections confirmed]]/$Q$6</f>
        <v>3.0964478074096687E-2</v>
      </c>
      <c r="K20" s="15">
        <f>Table2[[#This Row],[infection percentage, estimating 7x cases infected]]-Table2[[#This Row],[infection percentage, estimating 5x cases infected]]</f>
        <v>6.518837489283516E-3</v>
      </c>
      <c r="L20" s="27">
        <f>(Table2[[#This Row],[infection percentage, estimating 5x cases infected]]+Table2[[#This Row],[infection percentage, estimating 7x cases infected]])/2</f>
        <v>2.7705059329454929E-2</v>
      </c>
      <c r="M20" s="3">
        <f>$Q$6/(Table2[[#This Row],[cases]]*5)</f>
        <v>43.060093896713617</v>
      </c>
      <c r="N20" s="3">
        <f>$Q$6/(Table2[[#This Row],[cases]]*7)</f>
        <v>30.757209926224011</v>
      </c>
      <c r="O20" s="3">
        <f>Table2[[#This Row],[1-in-X odds, estimating 5x cases infected]]-Table2[[#This Row],[1-in-X odds, estimating 7x cases infected]]</f>
        <v>12.302883970489606</v>
      </c>
      <c r="P20" s="3">
        <f>(Table2[[#This Row],[1-in-X odds, estimating 5x cases infected]]+Table2[[#This Row],[1-in-X odds, estimating 7x cases infected]])/2</f>
        <v>36.908651911468816</v>
      </c>
      <c r="R20" s="34" t="s">
        <v>32</v>
      </c>
      <c r="S20" s="67" t="s">
        <v>24</v>
      </c>
    </row>
    <row r="21" spans="1:19" x14ac:dyDescent="0.2">
      <c r="A21" s="8">
        <v>43929</v>
      </c>
      <c r="B21" s="9">
        <v>453</v>
      </c>
      <c r="C21" s="26">
        <f>(Table2[[#This Row],[cases]]-B20)/B20</f>
        <v>6.3380281690140844E-2</v>
      </c>
      <c r="D21" s="39">
        <f t="shared" si="0"/>
        <v>11.27934634412482</v>
      </c>
      <c r="E21" s="3">
        <f>Table2[[#This Row],[cases]]*100/$Q$13</f>
        <v>2384.2105263157896</v>
      </c>
      <c r="F21" s="3">
        <f>Table2[[#This Row],[cases]]*100/$Q$16</f>
        <v>3020</v>
      </c>
      <c r="G21" s="3">
        <f>Table2[[#This Row],[infection count estimating 15% of infections confirmed]]-Table2[[#This Row],[infection count estimating 19% of infections confirmed]]</f>
        <v>635.78947368421041</v>
      </c>
      <c r="H21" s="3">
        <f>(Table2[[#This Row],[infection count estimating 19% of infections confirmed]]+Table2[[#This Row],[infection count estimating 15% of infections confirmed]])/2</f>
        <v>2702.105263157895</v>
      </c>
      <c r="I21" s="27">
        <f>Table2[[#This Row],[infection count estimating 19% of infections confirmed]]/$Q$6</f>
        <v>2.5995012171174576E-2</v>
      </c>
      <c r="J21" s="27">
        <f>Table2[[#This Row],[infection count estimating 15% of infections confirmed]]/$Q$6</f>
        <v>3.2927015416821123E-2</v>
      </c>
      <c r="K21" s="15">
        <f>Table2[[#This Row],[infection percentage, estimating 7x cases infected]]-Table2[[#This Row],[infection percentage, estimating 5x cases infected]]</f>
        <v>6.9320032456465473E-3</v>
      </c>
      <c r="L21" s="27">
        <f>(Table2[[#This Row],[infection percentage, estimating 5x cases infected]]+Table2[[#This Row],[infection percentage, estimating 7x cases infected]])/2</f>
        <v>2.9461013793997848E-2</v>
      </c>
      <c r="M21" s="3">
        <f>$Q$6/(Table2[[#This Row],[cases]]*5)</f>
        <v>40.493598233995584</v>
      </c>
      <c r="N21" s="3">
        <f>$Q$6/(Table2[[#This Row],[cases]]*7)</f>
        <v>28.923998738568276</v>
      </c>
      <c r="O21" s="3">
        <f>Table2[[#This Row],[1-in-X odds, estimating 5x cases infected]]-Table2[[#This Row],[1-in-X odds, estimating 7x cases infected]]</f>
        <v>11.569599495427308</v>
      </c>
      <c r="P21" s="3">
        <f>(Table2[[#This Row],[1-in-X odds, estimating 5x cases infected]]+Table2[[#This Row],[1-in-X odds, estimating 7x cases infected]])/2</f>
        <v>34.708798486281928</v>
      </c>
      <c r="R21" s="3">
        <f ca="1">OFFSET(compute!D4,COUNTA(compute!D:D)-1,0)</f>
        <v>28.890248909722647</v>
      </c>
      <c r="S21" s="31"/>
    </row>
    <row r="22" spans="1:19" x14ac:dyDescent="0.2">
      <c r="A22" s="8">
        <v>43930</v>
      </c>
      <c r="B22" s="9">
        <v>464</v>
      </c>
      <c r="C22" s="26">
        <f>(Table2[[#This Row],[cases]]-B21)/B21</f>
        <v>2.4282560706401765E-2</v>
      </c>
      <c r="D22" s="39">
        <f t="shared" ref="D22" si="1">(LN(2)/LN(B22/B21))</f>
        <v>28.890248909722647</v>
      </c>
      <c r="E22" s="3">
        <f>Table2[[#This Row],[cases]]*100/$Q$13</f>
        <v>2442.1052631578946</v>
      </c>
      <c r="F22" s="3">
        <f>Table2[[#This Row],[cases]]*100/$Q$16</f>
        <v>3093.3333333333335</v>
      </c>
      <c r="G22" s="3">
        <f>Table2[[#This Row],[infection count estimating 15% of infections confirmed]]-Table2[[#This Row],[infection count estimating 19% of infections confirmed]]</f>
        <v>651.22807017543892</v>
      </c>
      <c r="H22" s="3">
        <f>(Table2[[#This Row],[infection count estimating 19% of infections confirmed]]+Table2[[#This Row],[infection count estimating 15% of infections confirmed]])/2</f>
        <v>2767.719298245614</v>
      </c>
      <c r="I22" s="27">
        <f>Table2[[#This Row],[infection count estimating 19% of infections confirmed]]/$Q$6</f>
        <v>2.662623763228477E-2</v>
      </c>
      <c r="J22" s="27">
        <f>Table2[[#This Row],[infection count estimating 15% of infections confirmed]]/$Q$6</f>
        <v>3.3726567667560714E-2</v>
      </c>
      <c r="K22" s="15">
        <f>Table2[[#This Row],[infection percentage, estimating 7x cases infected]]-Table2[[#This Row],[infection percentage, estimating 5x cases infected]]</f>
        <v>7.1003300352759438E-3</v>
      </c>
      <c r="L22" s="27">
        <f>(Table2[[#This Row],[infection percentage, estimating 5x cases infected]]+Table2[[#This Row],[infection percentage, estimating 7x cases infected]])/2</f>
        <v>3.0176402649922742E-2</v>
      </c>
      <c r="M22" s="3">
        <f>$Q$6/(Table2[[#This Row],[cases]]*5)</f>
        <v>39.533620689655173</v>
      </c>
      <c r="N22" s="3">
        <f>$Q$6/(Table2[[#This Row],[cases]]*7)</f>
        <v>28.238300492610836</v>
      </c>
      <c r="O22" s="3">
        <f>Table2[[#This Row],[1-in-X odds, estimating 5x cases infected]]-Table2[[#This Row],[1-in-X odds, estimating 7x cases infected]]</f>
        <v>11.295320197044337</v>
      </c>
      <c r="P22" s="3">
        <f>(Table2[[#This Row],[1-in-X odds, estimating 5x cases infected]]+Table2[[#This Row],[1-in-X odds, estimating 7x cases infected]])/2</f>
        <v>33.885960591133006</v>
      </c>
      <c r="S22" s="31"/>
    </row>
    <row r="23" spans="1:19" x14ac:dyDescent="0.2">
      <c r="C23"/>
      <c r="D23"/>
      <c r="E23"/>
      <c r="F23"/>
      <c r="G23"/>
      <c r="H23"/>
      <c r="I23"/>
      <c r="J23"/>
      <c r="K23"/>
      <c r="L23"/>
      <c r="O23"/>
      <c r="P23"/>
      <c r="S23" s="31" t="s">
        <v>52</v>
      </c>
    </row>
    <row r="24" spans="1:19" x14ac:dyDescent="0.2">
      <c r="S24" s="56" t="str">
        <f ca="1">"updated " &amp; TEXT($R6,"MMMM d, yyyy") &amp; ", " &amp; Q9</f>
        <v>updated April 9, 2020, morning</v>
      </c>
    </row>
    <row r="25" spans="1:19" x14ac:dyDescent="0.2">
      <c r="R25" s="34" t="s">
        <v>34</v>
      </c>
      <c r="S25" s="37"/>
    </row>
    <row r="26" spans="1:19" x14ac:dyDescent="0.2">
      <c r="R26" s="27">
        <f ca="1">OFFSET(compute!C4,COUNTA(compute!C:C)-1,0)</f>
        <v>2.4282560706401765E-2</v>
      </c>
    </row>
    <row r="27" spans="1:19" x14ac:dyDescent="0.2">
      <c r="S27" s="33" t="s">
        <v>26</v>
      </c>
    </row>
    <row r="28" spans="1:19" x14ac:dyDescent="0.2">
      <c r="S28" s="1" t="str">
        <f ca="1">"There have been " &amp;TEXT( R9,"0") &amp; " confirmed cases of COVID-19 disease in " &amp; B1 &amp; " since the start of the outbreak."</f>
        <v>There have been 464 confirmed cases of COVID-19 disease in Miami Beach since the start of the outbreak.</v>
      </c>
    </row>
    <row r="30" spans="1:19" x14ac:dyDescent="0.2">
      <c r="S30" s="1" t="str">
        <f ca="1">"Around " &amp;TEXT(R12,"#,##0") &amp;" people in " &amp; B1 &amp; " may have already been infected with the SARS-CoV-2 virus, based on an estimated population of " &amp; TEXT(Q6,"0,000")</f>
        <v>Around 2,768 people in Miami Beach may have already been infected with the SARS-CoV-2 virus, based on an estimated population of 91,718</v>
      </c>
    </row>
    <row r="32" spans="1:19" x14ac:dyDescent="0.2">
      <c r="S32" s="1" t="str">
        <f ca="1">"Around " &amp; TEXT(R15,"0.0%") &amp; " of the total population of " &amp; B1 &amp; " may have already been infected with the SARS-CoV-2 virus, based on an estimated population of " &amp; TEXT(Q6,"0,000") &amp; "."</f>
        <v>Around 3.0% of the total population of Miami Beach may have already been infected with the SARS-CoV-2 virus, based on an estimated population of 91,718.</v>
      </c>
    </row>
    <row r="34" spans="19:19" x14ac:dyDescent="0.2">
      <c r="S34" s="1" t="str">
        <f ca="1">"The odds of any given person in " &amp; B1 &amp; " having been infected with SARS-CoV-2 is currently estimated to be around one in " &amp; TEXT(R18,"#,##0")  &amp; "."</f>
        <v>The odds of any given person in Miami Beach having been infected with SARS-CoV-2 is currently estimated to be around one in 34.</v>
      </c>
    </row>
    <row r="36" spans="19:19" x14ac:dyDescent="0.2">
      <c r="S36" s="1" t="str">
        <f ca="1">"doubing in " &amp; TEXT(R21,"0.0") &amp; " days"</f>
        <v>doubing in 28.9 days</v>
      </c>
    </row>
    <row r="38" spans="19:19" x14ac:dyDescent="0.2">
      <c r="S38" s="1" t="str">
        <f ca="1">TEXT(R26, "+0.0%;-0.0%") &amp; " per day"</f>
        <v>+2.4% per day</v>
      </c>
    </row>
    <row r="40" spans="19:19" x14ac:dyDescent="0.2">
      <c r="S40" t="str">
        <f ca="1">"The current rate of increase is " &amp; S38</f>
        <v>The current rate of increase is +2.4%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22"/>
  <sheetViews>
    <sheetView workbookViewId="0">
      <selection sqref="A1:B22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40" customWidth="1"/>
  </cols>
  <sheetData>
    <row r="1" spans="1:4" x14ac:dyDescent="0.2">
      <c r="A1" s="1" t="s">
        <v>42</v>
      </c>
      <c r="B1" s="1" t="s">
        <v>44</v>
      </c>
    </row>
    <row r="2" spans="1:4" ht="17" x14ac:dyDescent="0.2">
      <c r="A2" s="1" t="s">
        <v>43</v>
      </c>
      <c r="B2" s="58">
        <v>91718</v>
      </c>
    </row>
    <row r="3" spans="1:4" x14ac:dyDescent="0.2">
      <c r="A3" s="1" t="s">
        <v>45</v>
      </c>
      <c r="B3" s="55" t="s">
        <v>36</v>
      </c>
    </row>
    <row r="4" spans="1:4" ht="35" customHeight="1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9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9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9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9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9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9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9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9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9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9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9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9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9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9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9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9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9">
        <f t="shared" ref="D22" si="2">(LN(2)/LN(B22/B21))</f>
        <v>28.890248909722647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21"/>
  <sheetViews>
    <sheetView workbookViewId="0">
      <selection activeCell="C1" sqref="C1:D21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42</v>
      </c>
      <c r="B1" s="1" t="s">
        <v>44</v>
      </c>
      <c r="C1" s="28"/>
      <c r="D1" s="40"/>
    </row>
    <row r="2" spans="1:4" ht="17" x14ac:dyDescent="0.2">
      <c r="A2" s="1" t="s">
        <v>43</v>
      </c>
      <c r="B2" s="58">
        <v>91718</v>
      </c>
      <c r="C2" s="28"/>
      <c r="D2" s="40"/>
    </row>
    <row r="3" spans="1:4" x14ac:dyDescent="0.2">
      <c r="A3" s="1" t="s">
        <v>45</v>
      </c>
      <c r="B3" s="55" t="s">
        <v>37</v>
      </c>
      <c r="C3" s="28"/>
      <c r="D3" s="40"/>
    </row>
    <row r="4" spans="1:4" ht="52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9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9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9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9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9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9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9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9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9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9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9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9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9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9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9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9">
        <f t="shared" si="0"/>
        <v>11.753436288055184</v>
      </c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2"/>
  <sheetViews>
    <sheetView workbookViewId="0">
      <selection sqref="A1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42</v>
      </c>
      <c r="B1" s="1" t="s">
        <v>46</v>
      </c>
      <c r="C1" s="28"/>
      <c r="D1" s="40"/>
    </row>
    <row r="2" spans="1:4" ht="17" x14ac:dyDescent="0.2">
      <c r="A2" s="1" t="s">
        <v>43</v>
      </c>
      <c r="B2" s="58">
        <v>470914</v>
      </c>
      <c r="C2" s="28"/>
      <c r="D2" s="40"/>
    </row>
    <row r="3" spans="1:4" x14ac:dyDescent="0.2">
      <c r="A3" s="1" t="s">
        <v>45</v>
      </c>
      <c r="B3" s="55" t="s">
        <v>36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9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9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9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9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9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9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9">
        <f t="shared" si="0"/>
        <v>2.0820786744968252</v>
      </c>
    </row>
    <row r="13" spans="1:4" x14ac:dyDescent="0.2">
      <c r="A13" s="8">
        <v>43921</v>
      </c>
      <c r="B13" s="57">
        <v>1047</v>
      </c>
      <c r="C13" s="26">
        <f t="shared" si="1"/>
        <v>0.16722408026755853</v>
      </c>
      <c r="D13" s="39">
        <f t="shared" si="0"/>
        <v>4.4826656036005934</v>
      </c>
    </row>
    <row r="14" spans="1:4" x14ac:dyDescent="0.2">
      <c r="A14" s="8">
        <v>43922</v>
      </c>
      <c r="B14" s="57">
        <v>1223</v>
      </c>
      <c r="C14" s="26">
        <f t="shared" si="1"/>
        <v>0.16809933142311365</v>
      </c>
      <c r="D14" s="39">
        <f t="shared" si="0"/>
        <v>4.461040275688724</v>
      </c>
    </row>
    <row r="15" spans="1:4" x14ac:dyDescent="0.2">
      <c r="A15" s="8">
        <v>43923</v>
      </c>
      <c r="B15" s="57">
        <v>1391</v>
      </c>
      <c r="C15" s="26">
        <f t="shared" si="1"/>
        <v>0.1373671300081766</v>
      </c>
      <c r="D15" s="39">
        <f t="shared" si="0"/>
        <v>5.3850871509581326</v>
      </c>
    </row>
    <row r="16" spans="1:4" x14ac:dyDescent="0.2">
      <c r="A16" s="8">
        <v>43924</v>
      </c>
      <c r="B16" s="57">
        <v>1752</v>
      </c>
      <c r="C16" s="26">
        <f t="shared" si="1"/>
        <v>0.25952552120776418</v>
      </c>
      <c r="D16" s="39">
        <f t="shared" si="0"/>
        <v>3.0040823521200468</v>
      </c>
    </row>
    <row r="17" spans="1:4" x14ac:dyDescent="0.2">
      <c r="A17" s="8">
        <v>43925</v>
      </c>
      <c r="B17" s="57">
        <v>2168</v>
      </c>
      <c r="C17" s="26">
        <f t="shared" si="1"/>
        <v>0.23744292237442921</v>
      </c>
      <c r="D17" s="39">
        <f t="shared" si="0"/>
        <v>3.2534928174838318</v>
      </c>
    </row>
    <row r="18" spans="1:4" x14ac:dyDescent="0.2">
      <c r="A18" s="8">
        <v>43926</v>
      </c>
      <c r="B18" s="57">
        <v>2393</v>
      </c>
      <c r="C18" s="26">
        <f t="shared" si="1"/>
        <v>0.10378228782287822</v>
      </c>
      <c r="D18" s="39">
        <f t="shared" si="0"/>
        <v>7.0197290799014054</v>
      </c>
    </row>
    <row r="19" spans="1:4" x14ac:dyDescent="0.2">
      <c r="A19" s="8">
        <v>43927</v>
      </c>
      <c r="B19" s="57">
        <v>2676</v>
      </c>
      <c r="C19" s="26">
        <f t="shared" si="1"/>
        <v>0.1182615963226076</v>
      </c>
      <c r="D19" s="39">
        <f t="shared" si="0"/>
        <v>6.2012535310728651</v>
      </c>
    </row>
    <row r="20" spans="1:4" x14ac:dyDescent="0.2">
      <c r="A20" s="8">
        <v>43928</v>
      </c>
      <c r="B20" s="36">
        <v>3009</v>
      </c>
      <c r="C20" s="26">
        <f t="shared" si="1"/>
        <v>0.12443946188340807</v>
      </c>
      <c r="D20" s="39">
        <f t="shared" si="0"/>
        <v>5.9099562368391503</v>
      </c>
    </row>
    <row r="21" spans="1:4" x14ac:dyDescent="0.2">
      <c r="A21" s="8">
        <v>43929</v>
      </c>
      <c r="B21" s="57">
        <v>3235</v>
      </c>
      <c r="C21" s="26">
        <f t="shared" si="1"/>
        <v>7.5108009305417084E-2</v>
      </c>
      <c r="D21" s="39">
        <f t="shared" si="0"/>
        <v>9.5710627221806028</v>
      </c>
    </row>
    <row r="22" spans="1:4" x14ac:dyDescent="0.2">
      <c r="A22" s="8">
        <v>43930</v>
      </c>
      <c r="B22" s="57">
        <v>3487</v>
      </c>
      <c r="C22" s="26">
        <f t="shared" ref="C22" si="2">(B22-B21)/B21</f>
        <v>7.7897990726429681E-2</v>
      </c>
      <c r="D22" s="39">
        <f t="shared" ref="D22" si="3">(LN(2)/LN(B22/B21))</f>
        <v>9.2403804862798964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21"/>
  <sheetViews>
    <sheetView workbookViewId="0">
      <selection activeCell="C1" sqref="C1:D21"/>
    </sheetView>
  </sheetViews>
  <sheetFormatPr baseColWidth="10" defaultRowHeight="16" x14ac:dyDescent="0.2"/>
  <sheetData>
    <row r="1" spans="1:4" x14ac:dyDescent="0.2">
      <c r="A1" s="9" t="s">
        <v>42</v>
      </c>
      <c r="B1" s="9" t="s">
        <v>46</v>
      </c>
      <c r="C1" s="28"/>
      <c r="D1" s="40"/>
    </row>
    <row r="2" spans="1:4" ht="17" x14ac:dyDescent="0.2">
      <c r="A2" s="9" t="s">
        <v>43</v>
      </c>
      <c r="B2" s="58">
        <v>470914</v>
      </c>
      <c r="C2" s="28"/>
      <c r="D2" s="40"/>
    </row>
    <row r="3" spans="1:4" x14ac:dyDescent="0.2">
      <c r="A3" s="9" t="s">
        <v>45</v>
      </c>
      <c r="B3" s="12" t="s">
        <v>37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9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9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9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9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9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9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9">
        <f t="shared" si="0"/>
        <v>5.0683867188519347</v>
      </c>
    </row>
    <row r="13" spans="1:4" x14ac:dyDescent="0.2">
      <c r="A13" s="8">
        <v>43921</v>
      </c>
      <c r="B13" s="57">
        <v>1179</v>
      </c>
      <c r="C13" s="26">
        <f t="shared" si="1"/>
        <v>0.26638023630504831</v>
      </c>
      <c r="D13" s="39">
        <f t="shared" si="0"/>
        <v>2.9350418410450274</v>
      </c>
    </row>
    <row r="14" spans="1:4" x14ac:dyDescent="0.2">
      <c r="A14" s="8">
        <v>43922</v>
      </c>
      <c r="B14" s="57">
        <v>1371</v>
      </c>
      <c r="C14" s="26">
        <f t="shared" si="1"/>
        <v>0.16284987277353691</v>
      </c>
      <c r="D14" s="39">
        <f t="shared" si="0"/>
        <v>4.594218989141579</v>
      </c>
    </row>
    <row r="15" spans="1:4" x14ac:dyDescent="0.2">
      <c r="A15" s="8">
        <v>43923</v>
      </c>
      <c r="B15" s="57">
        <v>1677</v>
      </c>
      <c r="C15" s="26">
        <f t="shared" si="1"/>
        <v>0.22319474835886213</v>
      </c>
      <c r="D15" s="39">
        <f t="shared" si="0"/>
        <v>3.4405155090192001</v>
      </c>
    </row>
    <row r="16" spans="1:4" x14ac:dyDescent="0.2">
      <c r="A16" s="8">
        <v>43924</v>
      </c>
      <c r="B16" s="57">
        <v>1959</v>
      </c>
      <c r="C16" s="26">
        <f t="shared" si="1"/>
        <v>0.16815742397137745</v>
      </c>
      <c r="D16" s="39">
        <f t="shared" si="0"/>
        <v>4.4596129019590443</v>
      </c>
    </row>
    <row r="17" spans="1:4" x14ac:dyDescent="0.2">
      <c r="A17" s="8">
        <v>43925</v>
      </c>
      <c r="B17" s="57">
        <v>2291</v>
      </c>
      <c r="C17" s="26">
        <f t="shared" si="1"/>
        <v>0.16947422154160285</v>
      </c>
      <c r="D17" s="39">
        <f t="shared" si="0"/>
        <v>4.4275202769727011</v>
      </c>
    </row>
    <row r="18" spans="1:4" x14ac:dyDescent="0.2">
      <c r="A18" s="8">
        <v>43926</v>
      </c>
      <c r="B18" s="57">
        <v>2461</v>
      </c>
      <c r="C18" s="26">
        <f t="shared" si="1"/>
        <v>7.4203404626800529E-2</v>
      </c>
      <c r="D18" s="39">
        <f t="shared" si="0"/>
        <v>9.6836169490150699</v>
      </c>
    </row>
    <row r="19" spans="1:4" x14ac:dyDescent="0.2">
      <c r="A19" s="8">
        <v>43927</v>
      </c>
      <c r="B19" s="57">
        <v>2802</v>
      </c>
      <c r="C19" s="26">
        <f t="shared" si="1"/>
        <v>0.13856156034132466</v>
      </c>
      <c r="D19" s="39">
        <f t="shared" si="0"/>
        <v>5.3415294338518668</v>
      </c>
    </row>
    <row r="20" spans="1:4" x14ac:dyDescent="0.2">
      <c r="A20" s="8">
        <v>43928</v>
      </c>
      <c r="B20" s="57">
        <v>3100</v>
      </c>
      <c r="C20" s="26">
        <f t="shared" si="1"/>
        <v>0.10635260528194147</v>
      </c>
      <c r="D20" s="39">
        <f t="shared" si="0"/>
        <v>6.8581809240681908</v>
      </c>
    </row>
    <row r="21" spans="1:4" x14ac:dyDescent="0.2">
      <c r="A21" s="8">
        <v>43929</v>
      </c>
      <c r="B21" s="57">
        <v>3317</v>
      </c>
      <c r="C21" s="26">
        <f t="shared" si="1"/>
        <v>7.0000000000000007E-2</v>
      </c>
      <c r="D21" s="39">
        <f t="shared" si="0"/>
        <v>10.244768351058712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42</v>
      </c>
      <c r="B1" s="9" t="s">
        <v>47</v>
      </c>
      <c r="C1" s="28"/>
      <c r="D1" s="40"/>
    </row>
    <row r="2" spans="1:4" ht="17" x14ac:dyDescent="0.2">
      <c r="A2" s="9" t="s">
        <v>43</v>
      </c>
      <c r="B2" s="59">
        <v>82826</v>
      </c>
      <c r="C2" s="28"/>
      <c r="D2" s="40"/>
    </row>
    <row r="3" spans="1:4" x14ac:dyDescent="0.2">
      <c r="A3" s="9" t="s">
        <v>45</v>
      </c>
      <c r="B3" s="12" t="s">
        <v>36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9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9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9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9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9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9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9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9">
        <f t="shared" si="0"/>
        <v>7.9661672362978102</v>
      </c>
    </row>
    <row r="14" spans="1:4" x14ac:dyDescent="0.2">
      <c r="A14" s="8">
        <v>43922</v>
      </c>
      <c r="B14" s="65">
        <v>14</v>
      </c>
      <c r="C14" s="26">
        <f t="shared" si="1"/>
        <v>0.16666666666666666</v>
      </c>
      <c r="D14" s="39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9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9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9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9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9">
        <f t="shared" si="0"/>
        <v>19.059446834201477</v>
      </c>
    </row>
    <row r="20" spans="1:4" x14ac:dyDescent="0.2">
      <c r="A20" s="8">
        <v>43928</v>
      </c>
      <c r="B20" s="57">
        <v>30</v>
      </c>
      <c r="C20" s="26">
        <f t="shared" si="1"/>
        <v>7.1428571428571425E-2</v>
      </c>
      <c r="D20" s="39">
        <f t="shared" si="0"/>
        <v>10.04664924971328</v>
      </c>
    </row>
    <row r="21" spans="1:4" x14ac:dyDescent="0.2">
      <c r="A21" s="8">
        <v>43929</v>
      </c>
      <c r="B21" s="57">
        <v>31</v>
      </c>
      <c r="C21" s="26">
        <f t="shared" si="1"/>
        <v>3.3333333333333333E-2</v>
      </c>
      <c r="D21" s="39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42</v>
      </c>
      <c r="B1" s="9" t="s">
        <v>47</v>
      </c>
      <c r="C1" s="28"/>
      <c r="D1" s="40"/>
    </row>
    <row r="2" spans="1:8" ht="17" x14ac:dyDescent="0.2">
      <c r="A2" s="9" t="s">
        <v>43</v>
      </c>
      <c r="B2" s="59">
        <v>82826</v>
      </c>
      <c r="C2" s="28"/>
      <c r="D2" s="40"/>
    </row>
    <row r="3" spans="1:8" x14ac:dyDescent="0.2">
      <c r="A3" s="9" t="s">
        <v>45</v>
      </c>
      <c r="B3" s="12" t="s">
        <v>37</v>
      </c>
      <c r="C3" s="28"/>
      <c r="D3" s="40"/>
    </row>
    <row r="4" spans="1:8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9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9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9" t="e">
        <f t="shared" si="0"/>
        <v>#DIV/0!</v>
      </c>
      <c r="E8" s="57"/>
      <c r="F8" s="61"/>
      <c r="G8" s="8"/>
      <c r="H8" s="57"/>
    </row>
    <row r="9" spans="1:8" x14ac:dyDescent="0.2">
      <c r="A9" s="8">
        <v>43917</v>
      </c>
      <c r="B9" s="9">
        <v>7</v>
      </c>
      <c r="C9" s="26">
        <f t="shared" si="1"/>
        <v>0.75</v>
      </c>
      <c r="D9" s="39">
        <f t="shared" si="0"/>
        <v>1.2386126258466668</v>
      </c>
      <c r="E9" s="57"/>
      <c r="F9" s="61"/>
      <c r="G9" s="8"/>
      <c r="H9" s="57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9">
        <f t="shared" si="0"/>
        <v>1.9433582098747317</v>
      </c>
      <c r="E10" s="57"/>
      <c r="F10" s="61"/>
      <c r="G10" s="8"/>
      <c r="H10" s="57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9">
        <f t="shared" si="0"/>
        <v>7.2725408973417132</v>
      </c>
      <c r="E11" s="57"/>
      <c r="F11" s="61"/>
      <c r="G11" s="8"/>
      <c r="H11" s="57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9">
        <f t="shared" si="0"/>
        <v>7.9661672362978102</v>
      </c>
      <c r="E12" s="57"/>
      <c r="F12" s="61"/>
      <c r="G12" s="8"/>
      <c r="H12" s="57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9">
        <f t="shared" si="0"/>
        <v>8.6597168025228228</v>
      </c>
      <c r="E13" s="57"/>
      <c r="F13" s="61"/>
      <c r="G13" s="8"/>
      <c r="H13" s="57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9">
        <f t="shared" si="0"/>
        <v>2.5838249455646198</v>
      </c>
      <c r="E14" s="57"/>
      <c r="F14" s="61"/>
      <c r="G14" s="8"/>
      <c r="H14" s="57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9">
        <f t="shared" si="0"/>
        <v>6.2319013047040608</v>
      </c>
      <c r="E15" s="57"/>
      <c r="F15" s="61"/>
      <c r="G15" s="8"/>
      <c r="H15" s="57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9">
        <f t="shared" si="0"/>
        <v>3.6279936227073155</v>
      </c>
      <c r="E16" s="57"/>
      <c r="F16" s="61"/>
      <c r="G16" s="8"/>
      <c r="H16" s="57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9">
        <f t="shared" si="0"/>
        <v>5.6536219602589046</v>
      </c>
      <c r="E17" s="57"/>
      <c r="F17" s="61"/>
      <c r="G17" s="8"/>
      <c r="H17" s="57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9">
        <f t="shared" si="0"/>
        <v>18.366220369758814</v>
      </c>
      <c r="E18" s="57"/>
      <c r="F18" s="61"/>
      <c r="G18" s="8"/>
      <c r="H18" s="57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9">
        <f t="shared" si="0"/>
        <v>9.6999332474668556</v>
      </c>
      <c r="E19" s="57"/>
      <c r="F19" s="61"/>
      <c r="G19" s="8"/>
      <c r="H19" s="57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9">
        <f t="shared" si="0"/>
        <v>10.393355749081858</v>
      </c>
      <c r="E20" s="57"/>
      <c r="F20" s="61"/>
      <c r="G20" s="8"/>
      <c r="H20" s="57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9" t="e">
        <f t="shared" si="0"/>
        <v>#DIV/0!</v>
      </c>
      <c r="E21" s="57"/>
      <c r="F21" s="61"/>
      <c r="G21" s="8"/>
      <c r="H21" s="57"/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42</v>
      </c>
      <c r="B1" s="1" t="s">
        <v>55</v>
      </c>
      <c r="C1" s="28"/>
      <c r="D1" s="40"/>
    </row>
    <row r="2" spans="1:4" ht="17" x14ac:dyDescent="0.2">
      <c r="A2" s="1" t="s">
        <v>43</v>
      </c>
      <c r="B2" s="58">
        <v>2761581</v>
      </c>
      <c r="C2" s="28"/>
      <c r="D2" s="40"/>
    </row>
    <row r="3" spans="1:4" x14ac:dyDescent="0.2">
      <c r="A3" s="1" t="s">
        <v>45</v>
      </c>
      <c r="B3" s="55" t="s">
        <v>36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9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9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9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9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9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9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9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9" t="e">
        <f t="shared" si="0"/>
        <v>#DIV/0!</v>
      </c>
    </row>
    <row r="13" spans="1:4" x14ac:dyDescent="0.2">
      <c r="A13" s="8">
        <v>43921</v>
      </c>
      <c r="B13" s="57"/>
      <c r="C13" s="26" t="e">
        <f t="shared" si="1"/>
        <v>#DIV/0!</v>
      </c>
      <c r="D13" s="39" t="e">
        <f t="shared" si="0"/>
        <v>#DIV/0!</v>
      </c>
    </row>
    <row r="14" spans="1:4" x14ac:dyDescent="0.2">
      <c r="A14" s="8">
        <v>43922</v>
      </c>
      <c r="B14" s="57"/>
      <c r="C14" s="26" t="e">
        <f t="shared" si="1"/>
        <v>#DIV/0!</v>
      </c>
      <c r="D14" s="39" t="e">
        <f t="shared" si="0"/>
        <v>#DIV/0!</v>
      </c>
    </row>
    <row r="15" spans="1:4" x14ac:dyDescent="0.2">
      <c r="A15" s="8">
        <v>43923</v>
      </c>
      <c r="B15" s="57"/>
      <c r="C15" s="26" t="e">
        <f t="shared" si="1"/>
        <v>#DIV/0!</v>
      </c>
      <c r="D15" s="39" t="e">
        <f t="shared" si="0"/>
        <v>#DIV/0!</v>
      </c>
    </row>
    <row r="16" spans="1:4" x14ac:dyDescent="0.2">
      <c r="A16" s="8">
        <v>43924</v>
      </c>
      <c r="B16" s="57"/>
      <c r="C16" s="26" t="e">
        <f t="shared" si="1"/>
        <v>#DIV/0!</v>
      </c>
      <c r="D16" s="39" t="e">
        <f t="shared" si="0"/>
        <v>#DIV/0!</v>
      </c>
    </row>
    <row r="17" spans="1:4" x14ac:dyDescent="0.2">
      <c r="A17" s="8">
        <v>43925</v>
      </c>
      <c r="B17" s="57"/>
      <c r="C17" s="26" t="e">
        <f t="shared" si="1"/>
        <v>#DIV/0!</v>
      </c>
      <c r="D17" s="39" t="e">
        <f t="shared" si="0"/>
        <v>#DIV/0!</v>
      </c>
    </row>
    <row r="18" spans="1:4" x14ac:dyDescent="0.2">
      <c r="A18" s="8">
        <v>43926</v>
      </c>
      <c r="B18" s="57"/>
      <c r="C18" s="26" t="e">
        <f t="shared" si="1"/>
        <v>#DIV/0!</v>
      </c>
      <c r="D18" s="39" t="e">
        <f t="shared" si="0"/>
        <v>#DIV/0!</v>
      </c>
    </row>
    <row r="19" spans="1:4" x14ac:dyDescent="0.2">
      <c r="A19" s="8">
        <v>43927</v>
      </c>
      <c r="B19" s="57"/>
      <c r="C19" s="26" t="e">
        <f t="shared" si="1"/>
        <v>#DIV/0!</v>
      </c>
      <c r="D19" s="39" t="e">
        <f t="shared" si="0"/>
        <v>#DIV/0!</v>
      </c>
    </row>
    <row r="20" spans="1:4" x14ac:dyDescent="0.2">
      <c r="A20" s="8">
        <v>43928</v>
      </c>
      <c r="B20" s="36"/>
      <c r="C20" s="26" t="e">
        <f t="shared" si="1"/>
        <v>#DIV/0!</v>
      </c>
      <c r="D20" s="39" t="e">
        <f t="shared" si="0"/>
        <v>#DIV/0!</v>
      </c>
    </row>
    <row r="21" spans="1:4" x14ac:dyDescent="0.2">
      <c r="A21" s="8">
        <v>43929</v>
      </c>
      <c r="B21" s="57"/>
      <c r="C21" s="26" t="e">
        <f t="shared" si="1"/>
        <v>#DIV/0!</v>
      </c>
      <c r="D21" s="39" t="e">
        <f t="shared" si="0"/>
        <v>#DIV/0!</v>
      </c>
    </row>
    <row r="22" spans="1:4" x14ac:dyDescent="0.2">
      <c r="A22" s="8">
        <v>43930</v>
      </c>
      <c r="B22" s="57"/>
      <c r="C22" s="26" t="e">
        <f t="shared" si="1"/>
        <v>#DIV/0!</v>
      </c>
      <c r="D22" s="39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42</v>
      </c>
      <c r="B1" s="1" t="s">
        <v>55</v>
      </c>
      <c r="C1" s="28"/>
      <c r="D1" s="40"/>
    </row>
    <row r="2" spans="1:4" ht="17" x14ac:dyDescent="0.2">
      <c r="A2" s="1" t="s">
        <v>43</v>
      </c>
      <c r="B2" s="58">
        <v>2761581</v>
      </c>
      <c r="C2" s="28"/>
      <c r="D2" s="40"/>
    </row>
    <row r="3" spans="1:4" x14ac:dyDescent="0.2">
      <c r="A3" s="1" t="s">
        <v>45</v>
      </c>
      <c r="B3" s="55" t="s">
        <v>37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9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9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9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9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9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9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9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9" t="e">
        <f t="shared" si="0"/>
        <v>#DIV/0!</v>
      </c>
    </row>
    <row r="13" spans="1:4" x14ac:dyDescent="0.2">
      <c r="A13" s="8">
        <v>43921</v>
      </c>
      <c r="B13" s="57"/>
      <c r="C13" s="26" t="e">
        <f t="shared" si="1"/>
        <v>#DIV/0!</v>
      </c>
      <c r="D13" s="39" t="e">
        <f t="shared" si="0"/>
        <v>#DIV/0!</v>
      </c>
    </row>
    <row r="14" spans="1:4" x14ac:dyDescent="0.2">
      <c r="A14" s="8">
        <v>43922</v>
      </c>
      <c r="B14" s="57"/>
      <c r="C14" s="26" t="e">
        <f t="shared" si="1"/>
        <v>#DIV/0!</v>
      </c>
      <c r="D14" s="39" t="e">
        <f t="shared" si="0"/>
        <v>#DIV/0!</v>
      </c>
    </row>
    <row r="15" spans="1:4" x14ac:dyDescent="0.2">
      <c r="A15" s="8">
        <v>43923</v>
      </c>
      <c r="B15" s="57"/>
      <c r="C15" s="26" t="e">
        <f t="shared" si="1"/>
        <v>#DIV/0!</v>
      </c>
      <c r="D15" s="39" t="e">
        <f t="shared" si="0"/>
        <v>#DIV/0!</v>
      </c>
    </row>
    <row r="16" spans="1:4" x14ac:dyDescent="0.2">
      <c r="A16" s="8">
        <v>43924</v>
      </c>
      <c r="B16" s="57"/>
      <c r="C16" s="26" t="e">
        <f t="shared" si="1"/>
        <v>#DIV/0!</v>
      </c>
      <c r="D16" s="39" t="e">
        <f t="shared" si="0"/>
        <v>#DIV/0!</v>
      </c>
    </row>
    <row r="17" spans="1:4" x14ac:dyDescent="0.2">
      <c r="A17" s="8">
        <v>43925</v>
      </c>
      <c r="B17" s="57"/>
      <c r="C17" s="26" t="e">
        <f t="shared" si="1"/>
        <v>#DIV/0!</v>
      </c>
      <c r="D17" s="39" t="e">
        <f t="shared" si="0"/>
        <v>#DIV/0!</v>
      </c>
    </row>
    <row r="18" spans="1:4" x14ac:dyDescent="0.2">
      <c r="A18" s="8">
        <v>43926</v>
      </c>
      <c r="B18" s="57"/>
      <c r="C18" s="26" t="e">
        <f t="shared" si="1"/>
        <v>#DIV/0!</v>
      </c>
      <c r="D18" s="39" t="e">
        <f t="shared" si="0"/>
        <v>#DIV/0!</v>
      </c>
    </row>
    <row r="19" spans="1:4" x14ac:dyDescent="0.2">
      <c r="A19" s="8">
        <v>43927</v>
      </c>
      <c r="B19" s="57"/>
      <c r="C19" s="26" t="e">
        <f t="shared" si="1"/>
        <v>#DIV/0!</v>
      </c>
      <c r="D19" s="39" t="e">
        <f t="shared" si="0"/>
        <v>#DIV/0!</v>
      </c>
    </row>
    <row r="20" spans="1:4" x14ac:dyDescent="0.2">
      <c r="A20" s="8">
        <v>43928</v>
      </c>
      <c r="B20" s="36"/>
      <c r="C20" s="26" t="e">
        <f t="shared" si="1"/>
        <v>#DIV/0!</v>
      </c>
      <c r="D20" s="39" t="e">
        <f t="shared" si="0"/>
        <v>#DIV/0!</v>
      </c>
    </row>
    <row r="21" spans="1:4" x14ac:dyDescent="0.2">
      <c r="A21" s="8">
        <v>43929</v>
      </c>
      <c r="B21" s="57"/>
      <c r="C21" s="26" t="e">
        <f t="shared" si="1"/>
        <v>#DIV/0!</v>
      </c>
      <c r="D21" s="39" t="e">
        <f t="shared" si="0"/>
        <v>#DIV/0!</v>
      </c>
    </row>
    <row r="22" spans="1:4" x14ac:dyDescent="0.2">
      <c r="A22" s="8">
        <v>43930</v>
      </c>
      <c r="B22" s="57"/>
      <c r="C22" s="26" t="e">
        <f t="shared" si="1"/>
        <v>#DIV/0!</v>
      </c>
      <c r="D22" s="39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2"/>
  <sheetViews>
    <sheetView workbookViewId="0">
      <selection sqref="A1:B22"/>
    </sheetView>
  </sheetViews>
  <sheetFormatPr baseColWidth="10" defaultRowHeight="16" x14ac:dyDescent="0.2"/>
  <sheetData>
    <row r="1" spans="1:4" x14ac:dyDescent="0.2">
      <c r="A1" s="9" t="s">
        <v>42</v>
      </c>
      <c r="B1" s="9" t="s">
        <v>49</v>
      </c>
      <c r="C1" s="28"/>
      <c r="D1" s="40"/>
    </row>
    <row r="2" spans="1:4" x14ac:dyDescent="0.2">
      <c r="A2" s="9" t="s">
        <v>43</v>
      </c>
      <c r="B2" s="62">
        <v>21477737</v>
      </c>
      <c r="C2" s="28"/>
      <c r="D2" s="40"/>
    </row>
    <row r="3" spans="1:4" x14ac:dyDescent="0.2">
      <c r="A3" s="9" t="s">
        <v>45</v>
      </c>
      <c r="B3" s="12" t="s">
        <v>36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57">
        <v>1096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57">
        <v>1330</v>
      </c>
      <c r="C6" s="26">
        <f>(B6-B5)/B5</f>
        <v>0.21350364963503649</v>
      </c>
      <c r="D6" s="39">
        <f t="shared" si="0"/>
        <v>3.5819383953620183</v>
      </c>
    </row>
    <row r="7" spans="1:4" x14ac:dyDescent="0.2">
      <c r="A7" s="8">
        <v>43915</v>
      </c>
      <c r="B7" s="57">
        <v>1583</v>
      </c>
      <c r="C7" s="26">
        <f t="shared" ref="C7:C21" si="1">(B7-B6)/B6</f>
        <v>0.19022556390977444</v>
      </c>
      <c r="D7" s="39">
        <f t="shared" si="0"/>
        <v>3.9803369801069528</v>
      </c>
    </row>
    <row r="8" spans="1:4" x14ac:dyDescent="0.2">
      <c r="A8" s="8">
        <v>43916</v>
      </c>
      <c r="B8" s="57">
        <v>2235</v>
      </c>
      <c r="C8" s="26">
        <f t="shared" si="1"/>
        <v>0.41187618445988627</v>
      </c>
      <c r="D8" s="39">
        <f t="shared" si="0"/>
        <v>2.0095914749191643</v>
      </c>
    </row>
    <row r="9" spans="1:4" x14ac:dyDescent="0.2">
      <c r="A9" s="8">
        <v>43917</v>
      </c>
      <c r="B9" s="57">
        <v>3198</v>
      </c>
      <c r="C9" s="26">
        <f t="shared" si="1"/>
        <v>0.43087248322147653</v>
      </c>
      <c r="D9" s="39">
        <f t="shared" si="0"/>
        <v>1.9346284878016375</v>
      </c>
    </row>
    <row r="10" spans="1:4" x14ac:dyDescent="0.2">
      <c r="A10" s="8">
        <v>43918</v>
      </c>
      <c r="B10" s="57">
        <v>3763</v>
      </c>
      <c r="C10" s="26">
        <f t="shared" si="1"/>
        <v>0.1766729205753596</v>
      </c>
      <c r="D10" s="39">
        <f t="shared" si="0"/>
        <v>4.260516061386098</v>
      </c>
    </row>
    <row r="11" spans="1:4" x14ac:dyDescent="0.2">
      <c r="A11" s="8">
        <v>43919</v>
      </c>
      <c r="B11" s="57">
        <v>4246</v>
      </c>
      <c r="C11" s="26">
        <f t="shared" si="1"/>
        <v>0.12835503587563116</v>
      </c>
      <c r="D11" s="39">
        <f t="shared" si="0"/>
        <v>5.7398334888813487</v>
      </c>
    </row>
    <row r="12" spans="1:4" x14ac:dyDescent="0.2">
      <c r="A12" s="8">
        <v>43920</v>
      </c>
      <c r="B12" s="57">
        <v>5473</v>
      </c>
      <c r="C12" s="26">
        <f t="shared" si="1"/>
        <v>0.28897786151672161</v>
      </c>
      <c r="D12" s="39">
        <f t="shared" si="0"/>
        <v>2.7305432828862481</v>
      </c>
    </row>
    <row r="13" spans="1:4" x14ac:dyDescent="0.2">
      <c r="A13" s="8">
        <v>43921</v>
      </c>
      <c r="B13" s="57">
        <v>6338</v>
      </c>
      <c r="C13" s="26">
        <f t="shared" si="1"/>
        <v>0.15804860222912478</v>
      </c>
      <c r="D13" s="39">
        <f t="shared" si="0"/>
        <v>4.7237592101650918</v>
      </c>
    </row>
    <row r="14" spans="1:4" x14ac:dyDescent="0.2">
      <c r="A14" s="8">
        <v>43922</v>
      </c>
      <c r="B14" s="57">
        <v>6954</v>
      </c>
      <c r="C14" s="26">
        <f t="shared" si="1"/>
        <v>9.7191543073524775E-2</v>
      </c>
      <c r="D14" s="39">
        <f t="shared" si="0"/>
        <v>7.4729810254126727</v>
      </c>
    </row>
    <row r="15" spans="1:4" x14ac:dyDescent="0.2">
      <c r="A15" s="8">
        <v>43923</v>
      </c>
      <c r="B15" s="57">
        <v>8010</v>
      </c>
      <c r="C15" s="26">
        <f t="shared" si="1"/>
        <v>0.15185504745470232</v>
      </c>
      <c r="D15" s="39">
        <f t="shared" si="0"/>
        <v>4.9029419598944255</v>
      </c>
    </row>
    <row r="16" spans="1:4" x14ac:dyDescent="0.2">
      <c r="A16" s="8">
        <v>43924</v>
      </c>
      <c r="B16" s="57">
        <v>9585</v>
      </c>
      <c r="C16" s="26">
        <f t="shared" si="1"/>
        <v>0.19662921348314608</v>
      </c>
      <c r="D16" s="39">
        <f t="shared" si="0"/>
        <v>3.8613588487017529</v>
      </c>
    </row>
    <row r="17" spans="1:4" x14ac:dyDescent="0.2">
      <c r="A17" s="8">
        <v>43925</v>
      </c>
      <c r="B17" s="57">
        <v>11111</v>
      </c>
      <c r="C17" s="26">
        <f t="shared" si="1"/>
        <v>0.15920709441836203</v>
      </c>
      <c r="D17" s="39">
        <f t="shared" si="0"/>
        <v>4.6917886742282757</v>
      </c>
    </row>
    <row r="18" spans="1:4" x14ac:dyDescent="0.2">
      <c r="A18" s="8">
        <v>43926</v>
      </c>
      <c r="B18" s="57">
        <v>12151</v>
      </c>
      <c r="C18" s="26">
        <f t="shared" si="1"/>
        <v>9.3600936009360092E-2</v>
      </c>
      <c r="D18" s="39">
        <f t="shared" si="0"/>
        <v>7.7467504928348845</v>
      </c>
    </row>
    <row r="19" spans="1:4" x14ac:dyDescent="0.2">
      <c r="A19" s="8">
        <v>43927</v>
      </c>
      <c r="B19" s="57">
        <v>13324</v>
      </c>
      <c r="C19" s="26">
        <f t="shared" si="1"/>
        <v>9.6535264587276765E-2</v>
      </c>
      <c r="D19" s="39">
        <f t="shared" si="0"/>
        <v>7.5214996512474244</v>
      </c>
    </row>
    <row r="20" spans="1:4" x14ac:dyDescent="0.2">
      <c r="A20" s="8">
        <v>43928</v>
      </c>
      <c r="B20" s="57">
        <v>14504</v>
      </c>
      <c r="C20" s="26">
        <f t="shared" si="1"/>
        <v>8.8561993395376765E-2</v>
      </c>
      <c r="D20" s="39">
        <f t="shared" si="0"/>
        <v>8.1683616256365585</v>
      </c>
    </row>
    <row r="21" spans="1:4" x14ac:dyDescent="0.2">
      <c r="A21" s="8">
        <v>43929</v>
      </c>
      <c r="B21" s="57">
        <v>15456</v>
      </c>
      <c r="C21" s="26">
        <f t="shared" si="1"/>
        <v>6.5637065637065631E-2</v>
      </c>
      <c r="D21" s="39">
        <f t="shared" si="0"/>
        <v>10.903202891096551</v>
      </c>
    </row>
    <row r="22" spans="1:4" x14ac:dyDescent="0.2">
      <c r="A22" s="8">
        <v>43930</v>
      </c>
      <c r="B22" s="57">
        <v>16364</v>
      </c>
      <c r="C22" s="26">
        <f t="shared" ref="C22" si="2">(B22-B21)/B21</f>
        <v>5.8747412008281576E-2</v>
      </c>
      <c r="D22" s="39">
        <f t="shared" ref="D22" si="3">(LN(2)/LN(B22/B21))</f>
        <v>12.142045951078709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21"/>
  <sheetViews>
    <sheetView workbookViewId="0">
      <selection activeCell="K20" sqref="K20"/>
    </sheetView>
  </sheetViews>
  <sheetFormatPr baseColWidth="10" defaultRowHeight="16" x14ac:dyDescent="0.2"/>
  <sheetData>
    <row r="1" spans="1:4" x14ac:dyDescent="0.2">
      <c r="A1" s="9" t="s">
        <v>42</v>
      </c>
      <c r="B1" s="9" t="s">
        <v>49</v>
      </c>
      <c r="C1" s="28"/>
      <c r="D1" s="40"/>
    </row>
    <row r="2" spans="1:4" x14ac:dyDescent="0.2">
      <c r="A2" s="9" t="s">
        <v>43</v>
      </c>
      <c r="B2" s="62">
        <v>21477737</v>
      </c>
      <c r="C2" s="28"/>
      <c r="D2" s="40"/>
    </row>
    <row r="3" spans="1:4" x14ac:dyDescent="0.2">
      <c r="A3" s="9" t="s">
        <v>45</v>
      </c>
      <c r="B3" s="12" t="s">
        <v>37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57">
        <v>1147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57">
        <v>1379</v>
      </c>
      <c r="C6" s="26">
        <f>(B6-B5)/B5</f>
        <v>0.20226678291194419</v>
      </c>
      <c r="D6" s="39">
        <f t="shared" si="0"/>
        <v>3.7628350468331795</v>
      </c>
    </row>
    <row r="7" spans="1:4" x14ac:dyDescent="0.2">
      <c r="A7" s="8">
        <v>43915</v>
      </c>
      <c r="B7" s="57">
        <v>1867</v>
      </c>
      <c r="C7" s="26">
        <f t="shared" ref="C7:C21" si="1">(B7-B6)/B6</f>
        <v>0.3538796229151559</v>
      </c>
      <c r="D7" s="39">
        <f t="shared" si="0"/>
        <v>2.2878087643770719</v>
      </c>
    </row>
    <row r="8" spans="1:4" x14ac:dyDescent="0.2">
      <c r="A8" s="8">
        <v>43916</v>
      </c>
      <c r="B8" s="57">
        <v>2484</v>
      </c>
      <c r="C8" s="26">
        <f t="shared" si="1"/>
        <v>0.33047670058918049</v>
      </c>
      <c r="D8" s="39">
        <f t="shared" si="0"/>
        <v>2.4275188626684923</v>
      </c>
    </row>
    <row r="9" spans="1:4" x14ac:dyDescent="0.2">
      <c r="A9" s="8">
        <v>43917</v>
      </c>
      <c r="B9" s="57">
        <v>3198</v>
      </c>
      <c r="C9" s="26">
        <f t="shared" si="1"/>
        <v>0.28743961352657005</v>
      </c>
      <c r="D9" s="39">
        <f t="shared" si="0"/>
        <v>2.7434483587261567</v>
      </c>
    </row>
    <row r="10" spans="1:4" x14ac:dyDescent="0.2">
      <c r="A10" s="8">
        <v>43918</v>
      </c>
      <c r="B10" s="57">
        <v>4038</v>
      </c>
      <c r="C10" s="26">
        <f t="shared" si="1"/>
        <v>0.26266416510318952</v>
      </c>
      <c r="D10" s="39">
        <f t="shared" si="0"/>
        <v>2.9720245835721353</v>
      </c>
    </row>
    <row r="11" spans="1:4" x14ac:dyDescent="0.2">
      <c r="A11" s="8">
        <v>43919</v>
      </c>
      <c r="B11" s="57">
        <v>4950</v>
      </c>
      <c r="C11" s="26">
        <f t="shared" si="1"/>
        <v>0.22585438335809807</v>
      </c>
      <c r="D11" s="39">
        <f t="shared" si="0"/>
        <v>3.4038194619745781</v>
      </c>
    </row>
    <row r="12" spans="1:4" x14ac:dyDescent="0.2">
      <c r="A12" s="8">
        <v>43920</v>
      </c>
      <c r="B12" s="57">
        <v>5704</v>
      </c>
      <c r="C12" s="26">
        <f t="shared" si="1"/>
        <v>0.15232323232323233</v>
      </c>
      <c r="D12" s="39">
        <f t="shared" si="0"/>
        <v>4.8888888400323909</v>
      </c>
    </row>
    <row r="13" spans="1:4" x14ac:dyDescent="0.2">
      <c r="A13" s="8">
        <v>43921</v>
      </c>
      <c r="B13" s="57">
        <v>6741</v>
      </c>
      <c r="C13" s="26">
        <f t="shared" si="1"/>
        <v>0.1818022440392707</v>
      </c>
      <c r="D13" s="39">
        <f t="shared" si="0"/>
        <v>4.149573131970862</v>
      </c>
    </row>
    <row r="14" spans="1:4" x14ac:dyDescent="0.2">
      <c r="A14" s="8">
        <v>43922</v>
      </c>
      <c r="B14" s="57">
        <v>7773</v>
      </c>
      <c r="C14" s="26">
        <f t="shared" si="1"/>
        <v>0.15309301290609703</v>
      </c>
      <c r="D14" s="39">
        <f t="shared" si="0"/>
        <v>4.8659695214796796</v>
      </c>
    </row>
    <row r="15" spans="1:4" x14ac:dyDescent="0.2">
      <c r="A15" s="8">
        <v>43923</v>
      </c>
      <c r="B15" s="57">
        <v>9008</v>
      </c>
      <c r="C15" s="26">
        <f t="shared" si="1"/>
        <v>0.15888331403576483</v>
      </c>
      <c r="D15" s="39">
        <f t="shared" si="0"/>
        <v>4.7006770735803105</v>
      </c>
    </row>
    <row r="16" spans="1:4" x14ac:dyDescent="0.2">
      <c r="A16" s="8">
        <v>43924</v>
      </c>
      <c r="B16" s="57">
        <v>10268</v>
      </c>
      <c r="C16" s="26">
        <f t="shared" si="1"/>
        <v>0.13987566607460036</v>
      </c>
      <c r="D16" s="39">
        <f t="shared" si="0"/>
        <v>5.2944657847913597</v>
      </c>
    </row>
    <row r="17" spans="1:4" x14ac:dyDescent="0.2">
      <c r="A17" s="8">
        <v>43925</v>
      </c>
      <c r="B17" s="57">
        <v>11545</v>
      </c>
      <c r="C17" s="26">
        <f t="shared" si="1"/>
        <v>0.12436696532917803</v>
      </c>
      <c r="D17" s="39">
        <f t="shared" si="0"/>
        <v>5.9132069389160344</v>
      </c>
    </row>
    <row r="18" spans="1:4" x14ac:dyDescent="0.2">
      <c r="A18" s="8">
        <v>43926</v>
      </c>
      <c r="B18" s="57">
        <v>12350</v>
      </c>
      <c r="C18" s="26">
        <f t="shared" si="1"/>
        <v>6.9727154612386308E-2</v>
      </c>
      <c r="D18" s="39">
        <f t="shared" si="0"/>
        <v>10.283530436626666</v>
      </c>
    </row>
    <row r="19" spans="1:4" x14ac:dyDescent="0.2">
      <c r="A19" s="8">
        <v>43927</v>
      </c>
      <c r="B19" s="57">
        <v>13629</v>
      </c>
      <c r="C19" s="26">
        <f t="shared" si="1"/>
        <v>0.10356275303643725</v>
      </c>
      <c r="D19" s="39">
        <f t="shared" si="0"/>
        <v>7.0338985663313718</v>
      </c>
    </row>
    <row r="20" spans="1:4" x14ac:dyDescent="0.2">
      <c r="A20" s="8">
        <v>43928</v>
      </c>
      <c r="B20" s="57">
        <v>14747</v>
      </c>
      <c r="C20" s="26">
        <f t="shared" si="1"/>
        <v>8.2030963386895583E-2</v>
      </c>
      <c r="D20" s="39">
        <f t="shared" si="0"/>
        <v>8.7918438211140977</v>
      </c>
    </row>
    <row r="21" spans="1:4" x14ac:dyDescent="0.2">
      <c r="A21" s="8">
        <v>43929</v>
      </c>
      <c r="B21" s="57">
        <v>15698</v>
      </c>
      <c r="C21" s="26">
        <f t="shared" si="1"/>
        <v>6.4487692412016004E-2</v>
      </c>
      <c r="D21" s="39">
        <f t="shared" si="0"/>
        <v>11.091482948530885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7"/>
  <sheetViews>
    <sheetView tabSelected="1" workbookViewId="0">
      <selection activeCell="B19" sqref="B19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42</v>
      </c>
      <c r="B1" s="1" t="s">
        <v>53</v>
      </c>
      <c r="C1" s="28"/>
      <c r="D1" s="40"/>
    </row>
    <row r="2" spans="1:4" ht="17" x14ac:dyDescent="0.2">
      <c r="A2" s="1" t="s">
        <v>43</v>
      </c>
      <c r="B2" s="58">
        <v>2231647</v>
      </c>
      <c r="C2" s="28"/>
      <c r="D2" s="40"/>
    </row>
    <row r="3" spans="1:4" x14ac:dyDescent="0.2">
      <c r="A3" s="1" t="s">
        <v>45</v>
      </c>
      <c r="B3" s="55" t="s">
        <v>54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9" t="e">
        <f t="shared" si="0"/>
        <v>#DIV/0!</v>
      </c>
    </row>
    <row r="7" spans="1:4" x14ac:dyDescent="0.2">
      <c r="A7" s="8">
        <v>43915</v>
      </c>
      <c r="B7" s="9"/>
      <c r="C7" s="26" t="e">
        <f t="shared" ref="C7:C21" si="1">(B7-B6)/B6</f>
        <v>#DIV/0!</v>
      </c>
      <c r="D7" s="39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9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9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9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9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9" t="e">
        <f t="shared" si="0"/>
        <v>#DIV/0!</v>
      </c>
    </row>
    <row r="13" spans="1:4" x14ac:dyDescent="0.2">
      <c r="A13" s="8">
        <v>43921</v>
      </c>
      <c r="B13" s="57"/>
      <c r="C13" s="26" t="e">
        <f t="shared" si="1"/>
        <v>#DIV/0!</v>
      </c>
      <c r="D13" s="39" t="e">
        <f t="shared" si="0"/>
        <v>#DIV/0!</v>
      </c>
    </row>
    <row r="14" spans="1:4" x14ac:dyDescent="0.2">
      <c r="A14" s="8">
        <v>43922</v>
      </c>
      <c r="B14" s="57"/>
      <c r="C14" s="26" t="e">
        <f t="shared" si="1"/>
        <v>#DIV/0!</v>
      </c>
      <c r="D14" s="39" t="e">
        <f t="shared" si="0"/>
        <v>#DIV/0!</v>
      </c>
    </row>
    <row r="15" spans="1:4" x14ac:dyDescent="0.2">
      <c r="A15" s="8">
        <v>43923</v>
      </c>
      <c r="B15" s="57"/>
      <c r="C15" s="26" t="e">
        <f t="shared" si="1"/>
        <v>#DIV/0!</v>
      </c>
      <c r="D15" s="39" t="e">
        <f t="shared" si="0"/>
        <v>#DIV/0!</v>
      </c>
    </row>
    <row r="16" spans="1:4" x14ac:dyDescent="0.2">
      <c r="A16" s="8">
        <v>43924</v>
      </c>
      <c r="B16" s="57"/>
      <c r="C16" s="26" t="e">
        <f t="shared" si="1"/>
        <v>#DIV/0!</v>
      </c>
      <c r="D16" s="39" t="e">
        <f t="shared" si="0"/>
        <v>#DIV/0!</v>
      </c>
    </row>
    <row r="17" spans="1:4" x14ac:dyDescent="0.2">
      <c r="A17" s="8">
        <v>43925</v>
      </c>
      <c r="B17" s="57"/>
      <c r="C17" s="26" t="e">
        <f t="shared" si="1"/>
        <v>#DIV/0!</v>
      </c>
      <c r="D17" s="39" t="e">
        <f t="shared" si="0"/>
        <v>#DIV/0!</v>
      </c>
    </row>
    <row r="18" spans="1:4" x14ac:dyDescent="0.2">
      <c r="A18" s="8">
        <v>43926</v>
      </c>
      <c r="B18" s="57">
        <v>1608</v>
      </c>
      <c r="C18" s="26" t="e">
        <f t="shared" si="1"/>
        <v>#DIV/0!</v>
      </c>
      <c r="D18" s="39" t="e">
        <f t="shared" si="0"/>
        <v>#DIV/0!</v>
      </c>
    </row>
    <row r="19" spans="1:4" x14ac:dyDescent="0.2">
      <c r="A19" s="8">
        <v>43927</v>
      </c>
      <c r="B19" s="57">
        <v>1734</v>
      </c>
      <c r="C19" s="26">
        <f t="shared" si="1"/>
        <v>7.8358208955223885E-2</v>
      </c>
      <c r="D19" s="39">
        <f t="shared" si="0"/>
        <v>9.1880947394534846</v>
      </c>
    </row>
    <row r="20" spans="1:4" x14ac:dyDescent="0.2">
      <c r="A20" s="8">
        <v>43928</v>
      </c>
      <c r="B20" s="36">
        <v>1878</v>
      </c>
      <c r="C20" s="26">
        <f t="shared" si="1"/>
        <v>8.3044982698961933E-2</v>
      </c>
      <c r="D20" s="39">
        <f t="shared" si="0"/>
        <v>8.6886133067559541</v>
      </c>
    </row>
    <row r="21" spans="1:4" x14ac:dyDescent="0.2">
      <c r="A21" s="8">
        <v>43929</v>
      </c>
      <c r="B21" s="9">
        <v>2009</v>
      </c>
      <c r="C21" s="26">
        <f t="shared" si="1"/>
        <v>6.9755058572949946E-2</v>
      </c>
      <c r="D21" s="39">
        <f t="shared" si="0"/>
        <v>10.27955231421552</v>
      </c>
    </row>
    <row r="22" spans="1:4" x14ac:dyDescent="0.2">
      <c r="B22" s="9"/>
    </row>
    <row r="23" spans="1:4" x14ac:dyDescent="0.2">
      <c r="B23" s="9"/>
    </row>
    <row r="24" spans="1:4" x14ac:dyDescent="0.2">
      <c r="B24" s="9"/>
    </row>
    <row r="25" spans="1:4" x14ac:dyDescent="0.2">
      <c r="B25" s="9"/>
    </row>
    <row r="26" spans="1:4" x14ac:dyDescent="0.2">
      <c r="B26" s="9"/>
    </row>
    <row r="27" spans="1:4" x14ac:dyDescent="0.2">
      <c r="B27" s="9"/>
    </row>
    <row r="28" spans="1:4" x14ac:dyDescent="0.2">
      <c r="B28" s="57"/>
    </row>
    <row r="29" spans="1:4" x14ac:dyDescent="0.2">
      <c r="B29" s="57"/>
    </row>
    <row r="30" spans="1:4" x14ac:dyDescent="0.2">
      <c r="B30" s="57"/>
    </row>
    <row r="31" spans="1:4" x14ac:dyDescent="0.2">
      <c r="B31" s="57"/>
    </row>
    <row r="32" spans="1:4" x14ac:dyDescent="0.2">
      <c r="B32" s="57"/>
    </row>
    <row r="33" spans="2:2" x14ac:dyDescent="0.2">
      <c r="B33" s="57"/>
    </row>
    <row r="34" spans="2:2" x14ac:dyDescent="0.2">
      <c r="B34" s="57"/>
    </row>
    <row r="35" spans="2:2" x14ac:dyDescent="0.2">
      <c r="B35" s="36"/>
    </row>
    <row r="36" spans="2:2" x14ac:dyDescent="0.2">
      <c r="B36" s="57"/>
    </row>
    <row r="37" spans="2:2" x14ac:dyDescent="0.2">
      <c r="B37" s="57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Cases</vt:lpstr>
      <vt:lpstr>% Increase</vt:lpstr>
      <vt:lpstr>Doubling Time</vt:lpstr>
      <vt:lpstr>Number of Infections</vt:lpstr>
      <vt:lpstr>Infection Percentage</vt:lpstr>
      <vt:lpstr>Infection Odds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2020-04-09T21:35:05Z</dcterms:modified>
</cp:coreProperties>
</file>