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CoV2/"/>
    </mc:Choice>
  </mc:AlternateContent>
  <xr:revisionPtr revIDLastSave="0" documentId="13_ncr:1_{90A60AC0-5EEF-0647-90C1-2B3DD9C5E038}" xr6:coauthVersionLast="45" xr6:coauthVersionMax="45" xr10:uidLastSave="{00000000-0000-0000-0000-000000000000}"/>
  <bookViews>
    <workbookView xWindow="0" yWindow="460" windowWidth="28800" windowHeight="17540" firstSheet="2" activeTab="8" xr2:uid="{5746141D-E7E8-714E-A98D-1CE69C8603B7}"/>
  </bookViews>
  <sheets>
    <sheet name="Cases" sheetId="5" r:id="rId1"/>
    <sheet name="% Increase" sheetId="17" r:id="rId2"/>
    <sheet name="Doubling Time" sheetId="8" r:id="rId3"/>
    <sheet name="Number of Infections" sheetId="3" r:id="rId4"/>
    <sheet name="Case Percentage" sheetId="23" r:id="rId5"/>
    <sheet name="Infection Projection" sheetId="4" r:id="rId6"/>
    <sheet name="Infection Odds" sheetId="2" r:id="rId7"/>
    <sheet name="dashboard" sheetId="6" r:id="rId8"/>
    <sheet name="compute" sheetId="1" r:id="rId9"/>
    <sheet name="Miami Beach morning" sheetId="9" r:id="rId10"/>
    <sheet name="Miami Beach evening" sheetId="10" r:id="rId11"/>
    <sheet name="Miami morning" sheetId="11" r:id="rId12"/>
    <sheet name="Miami evening" sheetId="12" r:id="rId13"/>
    <sheet name="Melbourne morning" sheetId="13" r:id="rId14"/>
    <sheet name="Melbourne evening" sheetId="14" r:id="rId15"/>
    <sheet name="Dade morning" sheetId="18" r:id="rId16"/>
    <sheet name="Dade evening" sheetId="19" r:id="rId17"/>
    <sheet name="Florida morning" sheetId="15" r:id="rId18"/>
    <sheet name="Florida evening" sheetId="16" r:id="rId19"/>
    <sheet name="Clark (NV) daily" sheetId="20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1" l="1"/>
  <c r="D27" i="1"/>
  <c r="E27" i="1"/>
  <c r="F27" i="1"/>
  <c r="G27" i="1"/>
  <c r="H27" i="1"/>
  <c r="I27" i="1"/>
  <c r="J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C26" i="1"/>
  <c r="D26" i="1"/>
  <c r="E26" i="1"/>
  <c r="F26" i="1"/>
  <c r="G26" i="1"/>
  <c r="H26" i="1"/>
  <c r="I26" i="1" s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J26" i="1" l="1"/>
  <c r="T12" i="1"/>
  <c r="U34" i="1" s="1"/>
  <c r="C25" i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C24" i="1"/>
  <c r="D24" i="1"/>
  <c r="E24" i="1"/>
  <c r="G24" i="1"/>
  <c r="H24" i="1"/>
  <c r="C24" i="9"/>
  <c r="D24" i="9"/>
  <c r="C24" i="11"/>
  <c r="D24" i="11"/>
  <c r="C24" i="15"/>
  <c r="D24" i="15"/>
  <c r="C13" i="1"/>
  <c r="C14" i="1"/>
  <c r="C15" i="1"/>
  <c r="C16" i="1"/>
  <c r="C17" i="1"/>
  <c r="C18" i="1"/>
  <c r="C19" i="1"/>
  <c r="C20" i="1"/>
  <c r="C21" i="1"/>
  <c r="C22" i="1"/>
  <c r="C23" i="1"/>
  <c r="C5" i="1"/>
  <c r="C6" i="1"/>
  <c r="C7" i="1"/>
  <c r="C8" i="1"/>
  <c r="C9" i="1"/>
  <c r="C10" i="1"/>
  <c r="C11" i="1"/>
  <c r="C12" i="1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T6" i="1"/>
  <c r="U28" i="1" s="1"/>
  <c r="T9" i="1"/>
  <c r="C6" i="6" s="1"/>
  <c r="W6" i="1"/>
  <c r="S9" i="1"/>
  <c r="S6" i="1"/>
  <c r="K27" i="1" l="1"/>
  <c r="L27" i="1"/>
  <c r="P27" i="1"/>
  <c r="O27" i="1"/>
  <c r="K26" i="1"/>
  <c r="O26" i="1"/>
  <c r="L26" i="1"/>
  <c r="P26" i="1"/>
  <c r="L25" i="1"/>
  <c r="K25" i="1"/>
  <c r="P25" i="1"/>
  <c r="O25" i="1"/>
  <c r="L24" i="1"/>
  <c r="P24" i="1"/>
  <c r="K24" i="1"/>
  <c r="O24" i="1"/>
  <c r="K23" i="1"/>
  <c r="P23" i="1"/>
  <c r="L23" i="1"/>
  <c r="O23" i="1"/>
  <c r="K16" i="1"/>
  <c r="O16" i="1"/>
  <c r="K17" i="1"/>
  <c r="O18" i="1"/>
  <c r="L19" i="1"/>
  <c r="K20" i="1"/>
  <c r="P20" i="1"/>
  <c r="O21" i="1"/>
  <c r="L22" i="1"/>
  <c r="L18" i="1"/>
  <c r="P19" i="1"/>
  <c r="K21" i="1"/>
  <c r="O20" i="1"/>
  <c r="K22" i="1"/>
  <c r="L16" i="1"/>
  <c r="P16" i="1"/>
  <c r="L17" i="1"/>
  <c r="K18" i="1"/>
  <c r="P18" i="1"/>
  <c r="O19" i="1"/>
  <c r="L20" i="1"/>
  <c r="P21" i="1"/>
  <c r="O17" i="1"/>
  <c r="O22" i="1"/>
  <c r="P17" i="1"/>
  <c r="K19" i="1"/>
  <c r="L21" i="1"/>
  <c r="P22" i="1"/>
  <c r="R22" i="1" s="1"/>
  <c r="U32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N27" i="1" l="1"/>
  <c r="Q27" i="1"/>
  <c r="R27" i="1"/>
  <c r="M27" i="1"/>
  <c r="M26" i="1"/>
  <c r="Q26" i="1"/>
  <c r="R26" i="1"/>
  <c r="N26" i="1"/>
  <c r="M25" i="1"/>
  <c r="Q25" i="1"/>
  <c r="R25" i="1"/>
  <c r="N24" i="1"/>
  <c r="N25" i="1"/>
  <c r="Q24" i="1"/>
  <c r="R24" i="1"/>
  <c r="M24" i="1"/>
  <c r="N21" i="1"/>
  <c r="R23" i="1"/>
  <c r="Q22" i="1"/>
  <c r="Q18" i="1"/>
  <c r="N23" i="1"/>
  <c r="M16" i="1"/>
  <c r="M23" i="1"/>
  <c r="N19" i="1"/>
  <c r="Q23" i="1"/>
  <c r="R20" i="1"/>
  <c r="N17" i="1"/>
  <c r="R19" i="1"/>
  <c r="Q19" i="1"/>
  <c r="M21" i="1"/>
  <c r="Q17" i="1"/>
  <c r="R17" i="1"/>
  <c r="R18" i="1"/>
  <c r="N18" i="1"/>
  <c r="M18" i="1"/>
  <c r="Q16" i="1"/>
  <c r="R16" i="1"/>
  <c r="R21" i="1"/>
  <c r="Q21" i="1"/>
  <c r="N20" i="1"/>
  <c r="M20" i="1"/>
  <c r="M17" i="1"/>
  <c r="Q20" i="1"/>
  <c r="N22" i="1"/>
  <c r="M22" i="1"/>
  <c r="M19" i="1"/>
  <c r="N16" i="1"/>
  <c r="T21" i="1"/>
  <c r="U40" i="1" s="1"/>
  <c r="C8" i="6" s="1"/>
  <c r="T30" i="1"/>
  <c r="U42" i="1" s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L5" i="1"/>
  <c r="L6" i="1"/>
  <c r="L7" i="1"/>
  <c r="L8" i="1"/>
  <c r="L9" i="1"/>
  <c r="L10" i="1"/>
  <c r="L11" i="1"/>
  <c r="L12" i="1"/>
  <c r="L13" i="1"/>
  <c r="L14" i="1"/>
  <c r="L15" i="1"/>
  <c r="K5" i="1"/>
  <c r="K6" i="1"/>
  <c r="K7" i="1"/>
  <c r="K8" i="1"/>
  <c r="K9" i="1"/>
  <c r="K10" i="1"/>
  <c r="J11" i="1"/>
  <c r="K12" i="1"/>
  <c r="K13" i="1"/>
  <c r="K14" i="1"/>
  <c r="J15" i="1"/>
  <c r="N12" i="1" l="1"/>
  <c r="N8" i="1"/>
  <c r="N7" i="1"/>
  <c r="G8" i="6"/>
  <c r="U44" i="1"/>
  <c r="N9" i="1"/>
  <c r="Q10" i="1"/>
  <c r="R12" i="1"/>
  <c r="Q9" i="1"/>
  <c r="R11" i="1"/>
  <c r="Q5" i="1"/>
  <c r="R7" i="1"/>
  <c r="R9" i="1"/>
  <c r="Q11" i="1"/>
  <c r="R13" i="1"/>
  <c r="R15" i="1"/>
  <c r="Q15" i="1"/>
  <c r="R5" i="1"/>
  <c r="Q7" i="1"/>
  <c r="Q13" i="1"/>
  <c r="R10" i="1"/>
  <c r="Q12" i="1"/>
  <c r="R14" i="1"/>
  <c r="N5" i="1"/>
  <c r="Q14" i="1"/>
  <c r="M13" i="1"/>
  <c r="N13" i="1"/>
  <c r="M9" i="1"/>
  <c r="M12" i="1"/>
  <c r="M8" i="1"/>
  <c r="N14" i="1"/>
  <c r="N10" i="1"/>
  <c r="N6" i="1"/>
  <c r="M7" i="1"/>
  <c r="K15" i="1"/>
  <c r="N15" i="1" s="1"/>
  <c r="K11" i="1"/>
  <c r="N11" i="1" s="1"/>
  <c r="M14" i="1"/>
  <c r="M10" i="1"/>
  <c r="M6" i="1"/>
  <c r="M5" i="1"/>
  <c r="R6" i="1"/>
  <c r="J14" i="1"/>
  <c r="J10" i="1"/>
  <c r="J6" i="1"/>
  <c r="I13" i="1"/>
  <c r="I9" i="1"/>
  <c r="J5" i="1"/>
  <c r="Q6" i="1"/>
  <c r="R8" i="1"/>
  <c r="Q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T15" i="1" l="1"/>
  <c r="U36" i="1" s="1"/>
  <c r="T18" i="1"/>
  <c r="U38" i="1" s="1"/>
  <c r="M11" i="1"/>
  <c r="M15" i="1"/>
  <c r="C14" i="6" l="1"/>
  <c r="G6" i="6"/>
  <c r="G14" i="6"/>
</calcChain>
</file>

<file path=xl/sharedStrings.xml><?xml version="1.0" encoding="utf-8"?>
<sst xmlns="http://schemas.openxmlformats.org/spreadsheetml/2006/main" count="162" uniqueCount="62">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</sst>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20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</cellXfs>
  <cellStyles count="3">
    <cellStyle name="Heading 3" xfId="1" builtinId="18"/>
    <cellStyle name="Normal" xfId="0" builtinId="0"/>
    <cellStyle name="Percent" xfId="2" builtin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02295475777393"/>
          <c:y val="0.15932203389830507"/>
          <c:w val="0.85718910983584684"/>
          <c:h val="0.72242946750300285"/>
        </c:manualLayout>
      </c:layout>
      <c:lineChart>
        <c:grouping val="standard"/>
        <c:varyColors val="0"/>
        <c:ser>
          <c:idx val="3"/>
          <c:order val="0"/>
          <c:tx>
            <c:strRef>
              <c:f>compute!$B$4</c:f>
              <c:strCache>
                <c:ptCount val="1"/>
                <c:pt idx="0">
                  <c:v>cases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BB1-2147-99CA-ED8FAC8546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BB1-2147-99CA-ED8FAC8546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BB1-2147-99CA-ED8FAC85464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B1-2147-99CA-ED8FAC85464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B1-2147-99CA-ED8FAC85464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B1-2147-99CA-ED8FAC85464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B1-2147-99CA-ED8FAC85464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B1-2147-99CA-ED8FAC85464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B1-2147-99CA-ED8FAC85464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B1-2147-99CA-ED8FAC85464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B1-2147-99CA-ED8FAC85464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B1-2147-99CA-ED8FAC85464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B1-2147-99CA-ED8FAC85464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B1-2147-99CA-ED8FAC85464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B1-2147-99CA-ED8FAC85464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B1-2147-99CA-ED8FAC854646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BB1-2147-99CA-ED8FAC85464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65-4F45-8804-2792797754A3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A6-BF47-9A65-569AA747079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9F8-D441-BE88-F1074230DF7C}"/>
                </c:ext>
              </c:extLst>
            </c:dLbl>
            <c:dLbl>
              <c:idx val="20"/>
              <c:layout>
                <c:manualLayout>
                  <c:x val="-0.10501788335780061"/>
                  <c:y val="-2.71186440677966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F8-D441-BE88-F1074230DF7C}"/>
                </c:ext>
              </c:extLst>
            </c:dLbl>
            <c:dLbl>
              <c:idx val="21"/>
              <c:layout>
                <c:manualLayout>
                  <c:x val="-0.10320726010943547"/>
                  <c:y val="-2.88116909115174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F8-D441-BE88-F1074230DF7C}"/>
                </c:ext>
              </c:extLst>
            </c:dLbl>
            <c:dLbl>
              <c:idx val="22"/>
              <c:layout>
                <c:manualLayout>
                  <c:x val="-7.796610169491526E-2"/>
                  <c:y val="-5.2542372881355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F8-D441-BE88-F1074230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compute!$B$5:$B$10009</c:f>
              <c:numCache>
                <c:formatCode>General</c:formatCode>
                <c:ptCount val="10005"/>
                <c:pt idx="0">
                  <c:v>33</c:v>
                </c:pt>
                <c:pt idx="1">
                  <c:v>45</c:v>
                </c:pt>
                <c:pt idx="2">
                  <c:v>50</c:v>
                </c:pt>
                <c:pt idx="3">
                  <c:v>74</c:v>
                </c:pt>
                <c:pt idx="4">
                  <c:v>90</c:v>
                </c:pt>
                <c:pt idx="5">
                  <c:v>115</c:v>
                </c:pt>
                <c:pt idx="6">
                  <c:v>123</c:v>
                </c:pt>
                <c:pt idx="7">
                  <c:v>194</c:v>
                </c:pt>
                <c:pt idx="8">
                  <c:v>236</c:v>
                </c:pt>
                <c:pt idx="9">
                  <c:v>252</c:v>
                </c:pt>
                <c:pt idx="10">
                  <c:v>268</c:v>
                </c:pt>
                <c:pt idx="11">
                  <c:v>302</c:v>
                </c:pt>
                <c:pt idx="12">
                  <c:v>341</c:v>
                </c:pt>
                <c:pt idx="13">
                  <c:v>361</c:v>
                </c:pt>
                <c:pt idx="14">
                  <c:v>383</c:v>
                </c:pt>
                <c:pt idx="15">
                  <c:v>426</c:v>
                </c:pt>
                <c:pt idx="16">
                  <c:v>453</c:v>
                </c:pt>
                <c:pt idx="17">
                  <c:v>464</c:v>
                </c:pt>
                <c:pt idx="18">
                  <c:v>479</c:v>
                </c:pt>
                <c:pt idx="19">
                  <c:v>516</c:v>
                </c:pt>
                <c:pt idx="20">
                  <c:v>523</c:v>
                </c:pt>
                <c:pt idx="21">
                  <c:v>553</c:v>
                </c:pt>
                <c:pt idx="22">
                  <c:v>562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4015828106232482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cat>
            <c:numRef>
              <c:f>compute!$A$6:$A$10009</c:f>
              <c:numCache>
                <c:formatCode>d\-mmm</c:formatCode>
                <c:ptCount val="1000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</c:numCache>
            </c:numRef>
          </c:cat>
          <c:val>
            <c:numRef>
              <c:f>compute!$D$6:$D$10009</c:f>
              <c:numCache>
                <c:formatCode>0.0%</c:formatCode>
                <c:ptCount val="10004"/>
                <c:pt idx="0">
                  <c:v>0.36363636363636365</c:v>
                </c:pt>
                <c:pt idx="1">
                  <c:v>0.1111111111111111</c:v>
                </c:pt>
                <c:pt idx="2">
                  <c:v>0.48</c:v>
                </c:pt>
                <c:pt idx="3">
                  <c:v>0.21621621621621623</c:v>
                </c:pt>
                <c:pt idx="4">
                  <c:v>0.27777777777777779</c:v>
                </c:pt>
                <c:pt idx="5">
                  <c:v>6.9565217391304349E-2</c:v>
                </c:pt>
                <c:pt idx="6">
                  <c:v>0.57723577235772361</c:v>
                </c:pt>
                <c:pt idx="7">
                  <c:v>0.21649484536082475</c:v>
                </c:pt>
                <c:pt idx="8">
                  <c:v>6.7796610169491525E-2</c:v>
                </c:pt>
                <c:pt idx="9">
                  <c:v>6.3492063492063489E-2</c:v>
                </c:pt>
                <c:pt idx="10">
                  <c:v>0.12686567164179105</c:v>
                </c:pt>
                <c:pt idx="11">
                  <c:v>0.12913907284768211</c:v>
                </c:pt>
                <c:pt idx="12">
                  <c:v>5.865102639296188E-2</c:v>
                </c:pt>
                <c:pt idx="13">
                  <c:v>6.0941828254847646E-2</c:v>
                </c:pt>
                <c:pt idx="14">
                  <c:v>0.1122715404699739</c:v>
                </c:pt>
                <c:pt idx="15">
                  <c:v>6.3380281690140844E-2</c:v>
                </c:pt>
                <c:pt idx="16">
                  <c:v>2.4282560706401765E-2</c:v>
                </c:pt>
                <c:pt idx="17">
                  <c:v>3.2327586206896554E-2</c:v>
                </c:pt>
                <c:pt idx="18">
                  <c:v>7.724425887265135E-2</c:v>
                </c:pt>
                <c:pt idx="19">
                  <c:v>1.3565891472868217E-2</c:v>
                </c:pt>
                <c:pt idx="20">
                  <c:v>5.736137667304015E-2</c:v>
                </c:pt>
                <c:pt idx="21">
                  <c:v>1.62748643761302E-2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35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43026825036692E-2"/>
          <c:y val="0.14237288135593221"/>
          <c:w val="0.86219217936740955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forward val="1"/>
            <c:dispRSqr val="0"/>
            <c:dispEq val="0"/>
          </c:trendline>
          <c:cat>
            <c:numRef>
              <c:f>compute!$A$6:$A$10009</c:f>
              <c:numCache>
                <c:formatCode>d\-mmm</c:formatCode>
                <c:ptCount val="1000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</c:numCache>
            </c:numRef>
          </c:cat>
          <c:val>
            <c:numRef>
              <c:f>compute!$E$6:$E$10009</c:f>
              <c:numCache>
                <c:formatCode>0.0</c:formatCode>
                <c:ptCount val="10004"/>
                <c:pt idx="0">
                  <c:v>2.2348417429656711</c:v>
                </c:pt>
                <c:pt idx="1">
                  <c:v>6.5788134789605808</c:v>
                </c:pt>
                <c:pt idx="2">
                  <c:v>1.768042774417488</c:v>
                </c:pt>
                <c:pt idx="3">
                  <c:v>3.5410798640589243</c:v>
                </c:pt>
                <c:pt idx="4">
                  <c:v>2.8277587705434639</c:v>
                </c:pt>
                <c:pt idx="5">
                  <c:v>10.30667996266442</c:v>
                </c:pt>
                <c:pt idx="6">
                  <c:v>1.5211477485550517</c:v>
                </c:pt>
                <c:pt idx="7">
                  <c:v>3.5369407817893648</c:v>
                </c:pt>
                <c:pt idx="8">
                  <c:v>10.566705727632121</c:v>
                </c:pt>
                <c:pt idx="9">
                  <c:v>11.26008618531381</c:v>
                </c:pt>
                <c:pt idx="10">
                  <c:v>5.803306820384857</c:v>
                </c:pt>
                <c:pt idx="11">
                  <c:v>5.7070071702111713</c:v>
                </c:pt>
                <c:pt idx="12">
                  <c:v>12.161441008974148</c:v>
                </c:pt>
                <c:pt idx="13">
                  <c:v>11.717071844658532</c:v>
                </c:pt>
                <c:pt idx="14">
                  <c:v>6.5142744106049149</c:v>
                </c:pt>
                <c:pt idx="15">
                  <c:v>11.27934634412482</c:v>
                </c:pt>
                <c:pt idx="16">
                  <c:v>28.890248909722647</c:v>
                </c:pt>
                <c:pt idx="17">
                  <c:v>21.78608863977048</c:v>
                </c:pt>
                <c:pt idx="18">
                  <c:v>9.3157220501103151</c:v>
                </c:pt>
                <c:pt idx="19">
                  <c:v>51.440644573371593</c:v>
                </c:pt>
                <c:pt idx="20">
                  <c:v>12.427217825939763</c:v>
                </c:pt>
                <c:pt idx="21">
                  <c:v>42.935684516821048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35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53983718136928"/>
          <c:y val="0.14576271186440679"/>
          <c:w val="0.80642946750300282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compute!$G$5:$G$10009</c:f>
              <c:numCache>
                <c:formatCode>#,##0</c:formatCode>
                <c:ptCount val="10005"/>
                <c:pt idx="0">
                  <c:v>122.22222222222223</c:v>
                </c:pt>
                <c:pt idx="1">
                  <c:v>166.66666666666666</c:v>
                </c:pt>
                <c:pt idx="2">
                  <c:v>185.18518518518519</c:v>
                </c:pt>
                <c:pt idx="3">
                  <c:v>274.07407407407408</c:v>
                </c:pt>
                <c:pt idx="4">
                  <c:v>333.33333333333331</c:v>
                </c:pt>
                <c:pt idx="5">
                  <c:v>425.92592592592592</c:v>
                </c:pt>
                <c:pt idx="6">
                  <c:v>455.55555555555554</c:v>
                </c:pt>
                <c:pt idx="7">
                  <c:v>718.51851851851848</c:v>
                </c:pt>
                <c:pt idx="8">
                  <c:v>874.07407407407402</c:v>
                </c:pt>
                <c:pt idx="9">
                  <c:v>933.33333333333337</c:v>
                </c:pt>
                <c:pt idx="10">
                  <c:v>992.59259259259261</c:v>
                </c:pt>
                <c:pt idx="11">
                  <c:v>1118.5185185185185</c:v>
                </c:pt>
                <c:pt idx="12">
                  <c:v>1262.962962962963</c:v>
                </c:pt>
                <c:pt idx="13">
                  <c:v>1337.037037037037</c:v>
                </c:pt>
                <c:pt idx="14">
                  <c:v>1418.5185185185185</c:v>
                </c:pt>
                <c:pt idx="15">
                  <c:v>1577.7777777777778</c:v>
                </c:pt>
                <c:pt idx="16">
                  <c:v>1677.7777777777778</c:v>
                </c:pt>
                <c:pt idx="17">
                  <c:v>1718.5185185185185</c:v>
                </c:pt>
                <c:pt idx="18">
                  <c:v>1774.0740740740741</c:v>
                </c:pt>
                <c:pt idx="19">
                  <c:v>1911.1111111111111</c:v>
                </c:pt>
                <c:pt idx="20">
                  <c:v>1937.037037037037</c:v>
                </c:pt>
                <c:pt idx="21">
                  <c:v>2048.1481481481483</c:v>
                </c:pt>
                <c:pt idx="22">
                  <c:v>2081.4814814814813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compute!$I$5:$I$10009</c:f>
              <c:numCache>
                <c:formatCode>#,##0</c:formatCode>
                <c:ptCount val="10005"/>
                <c:pt idx="0">
                  <c:v>214.5124716553288</c:v>
                </c:pt>
                <c:pt idx="1">
                  <c:v>292.51700680272108</c:v>
                </c:pt>
                <c:pt idx="2">
                  <c:v>325.0188964474678</c:v>
                </c:pt>
                <c:pt idx="3">
                  <c:v>481.02796674225243</c:v>
                </c:pt>
                <c:pt idx="4">
                  <c:v>585.03401360544217</c:v>
                </c:pt>
                <c:pt idx="5">
                  <c:v>747.54346182917607</c:v>
                </c:pt>
                <c:pt idx="6">
                  <c:v>799.54648526077096</c:v>
                </c:pt>
                <c:pt idx="7">
                  <c:v>1261.0733182161753</c:v>
                </c:pt>
                <c:pt idx="8">
                  <c:v>1534.0891912320485</c:v>
                </c:pt>
                <c:pt idx="9">
                  <c:v>1638.0952380952376</c:v>
                </c:pt>
                <c:pt idx="10">
                  <c:v>1742.1012849584276</c:v>
                </c:pt>
                <c:pt idx="11">
                  <c:v>1963.1141345427056</c:v>
                </c:pt>
                <c:pt idx="12">
                  <c:v>2216.6288737717305</c:v>
                </c:pt>
                <c:pt idx="13">
                  <c:v>2346.6364323507178</c:v>
                </c:pt>
                <c:pt idx="14">
                  <c:v>2489.6447467876033</c:v>
                </c:pt>
                <c:pt idx="15">
                  <c:v>2769.1609977324256</c:v>
                </c:pt>
                <c:pt idx="16">
                  <c:v>2944.6712018140583</c:v>
                </c:pt>
                <c:pt idx="17">
                  <c:v>3016.1753590325015</c:v>
                </c:pt>
                <c:pt idx="18">
                  <c:v>3113.6810279667425</c:v>
                </c:pt>
                <c:pt idx="19">
                  <c:v>3354.195011337868</c:v>
                </c:pt>
                <c:pt idx="20">
                  <c:v>3399.6976568405139</c:v>
                </c:pt>
                <c:pt idx="21">
                  <c:v>3594.7089947089939</c:v>
                </c:pt>
                <c:pt idx="22">
                  <c:v>3653.2123960695385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compute!$F$5:$F$10009</c:f>
              <c:numCache>
                <c:formatCode>#,##0</c:formatCode>
                <c:ptCount val="10005"/>
                <c:pt idx="0">
                  <c:v>275</c:v>
                </c:pt>
                <c:pt idx="1">
                  <c:v>375</c:v>
                </c:pt>
                <c:pt idx="2">
                  <c:v>416.66666666666669</c:v>
                </c:pt>
                <c:pt idx="3">
                  <c:v>616.66666666666663</c:v>
                </c:pt>
                <c:pt idx="4">
                  <c:v>750</c:v>
                </c:pt>
                <c:pt idx="5">
                  <c:v>958.33333333333337</c:v>
                </c:pt>
                <c:pt idx="6">
                  <c:v>1025</c:v>
                </c:pt>
                <c:pt idx="7">
                  <c:v>1616.6666666666667</c:v>
                </c:pt>
                <c:pt idx="8">
                  <c:v>1966.6666666666667</c:v>
                </c:pt>
                <c:pt idx="9">
                  <c:v>2100</c:v>
                </c:pt>
                <c:pt idx="10">
                  <c:v>2233.3333333333335</c:v>
                </c:pt>
                <c:pt idx="11">
                  <c:v>2516.6666666666665</c:v>
                </c:pt>
                <c:pt idx="12">
                  <c:v>2841.6666666666665</c:v>
                </c:pt>
                <c:pt idx="13">
                  <c:v>3008.3333333333335</c:v>
                </c:pt>
                <c:pt idx="14">
                  <c:v>3191.6666666666665</c:v>
                </c:pt>
                <c:pt idx="15">
                  <c:v>3550</c:v>
                </c:pt>
                <c:pt idx="16">
                  <c:v>3775</c:v>
                </c:pt>
                <c:pt idx="17">
                  <c:v>3866.6666666666665</c:v>
                </c:pt>
                <c:pt idx="18">
                  <c:v>3991.6666666666665</c:v>
                </c:pt>
                <c:pt idx="19">
                  <c:v>4300</c:v>
                </c:pt>
                <c:pt idx="20">
                  <c:v>4358.333333333333</c:v>
                </c:pt>
                <c:pt idx="21">
                  <c:v>4608.333333333333</c:v>
                </c:pt>
                <c:pt idx="22">
                  <c:v>4683.333333333333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compute!$C$5:$C$28</c:f>
              <c:numCache>
                <c:formatCode>0.0%</c:formatCode>
                <c:ptCount val="24"/>
                <c:pt idx="0">
                  <c:v>3.5979851283281364E-4</c:v>
                </c:pt>
                <c:pt idx="1">
                  <c:v>4.9063433568110953E-4</c:v>
                </c:pt>
                <c:pt idx="2">
                  <c:v>5.4514926186789942E-4</c:v>
                </c:pt>
                <c:pt idx="3">
                  <c:v>8.068209075644912E-4</c:v>
                </c:pt>
                <c:pt idx="4">
                  <c:v>9.8126867136221906E-4</c:v>
                </c:pt>
                <c:pt idx="5">
                  <c:v>1.2538433022961687E-3</c:v>
                </c:pt>
                <c:pt idx="6">
                  <c:v>1.3410671841950325E-3</c:v>
                </c:pt>
                <c:pt idx="7">
                  <c:v>2.1151791360474498E-3</c:v>
                </c:pt>
                <c:pt idx="8">
                  <c:v>2.5731045160164853E-3</c:v>
                </c:pt>
                <c:pt idx="9">
                  <c:v>2.7475522798142129E-3</c:v>
                </c:pt>
                <c:pt idx="10">
                  <c:v>2.922000043611941E-3</c:v>
                </c:pt>
                <c:pt idx="11">
                  <c:v>3.2927015416821127E-3</c:v>
                </c:pt>
                <c:pt idx="12">
                  <c:v>3.7179179659390742E-3</c:v>
                </c:pt>
                <c:pt idx="13">
                  <c:v>3.9359776706862342E-3</c:v>
                </c:pt>
                <c:pt idx="14">
                  <c:v>4.1758433459081097E-3</c:v>
                </c:pt>
                <c:pt idx="15">
                  <c:v>4.6446717111145027E-3</c:v>
                </c:pt>
                <c:pt idx="16">
                  <c:v>4.939052312523169E-3</c:v>
                </c:pt>
                <c:pt idx="17">
                  <c:v>5.0589851501341068E-3</c:v>
                </c:pt>
                <c:pt idx="18">
                  <c:v>5.2225299286944764E-3</c:v>
                </c:pt>
                <c:pt idx="19">
                  <c:v>5.6259403824767224E-3</c:v>
                </c:pt>
                <c:pt idx="20">
                  <c:v>5.7022612791382283E-3</c:v>
                </c:pt>
                <c:pt idx="21">
                  <c:v>6.0293508362589676E-3</c:v>
                </c:pt>
                <c:pt idx="22">
                  <c:v>6.1274777033951894E-3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compute!$C$5:$C$28</c:f>
              <c:numCache>
                <c:formatCode>0.0%</c:formatCode>
                <c:ptCount val="24"/>
                <c:pt idx="0">
                  <c:v>3.5979851283281364E-4</c:v>
                </c:pt>
                <c:pt idx="1">
                  <c:v>4.9063433568110953E-4</c:v>
                </c:pt>
                <c:pt idx="2">
                  <c:v>5.4514926186789942E-4</c:v>
                </c:pt>
                <c:pt idx="3">
                  <c:v>8.068209075644912E-4</c:v>
                </c:pt>
                <c:pt idx="4">
                  <c:v>9.8126867136221906E-4</c:v>
                </c:pt>
                <c:pt idx="5">
                  <c:v>1.2538433022961687E-3</c:v>
                </c:pt>
                <c:pt idx="6">
                  <c:v>1.3410671841950325E-3</c:v>
                </c:pt>
                <c:pt idx="7">
                  <c:v>2.1151791360474498E-3</c:v>
                </c:pt>
                <c:pt idx="8">
                  <c:v>2.5731045160164853E-3</c:v>
                </c:pt>
                <c:pt idx="9">
                  <c:v>2.7475522798142129E-3</c:v>
                </c:pt>
                <c:pt idx="10">
                  <c:v>2.922000043611941E-3</c:v>
                </c:pt>
                <c:pt idx="11">
                  <c:v>3.2927015416821127E-3</c:v>
                </c:pt>
                <c:pt idx="12">
                  <c:v>3.7179179659390742E-3</c:v>
                </c:pt>
                <c:pt idx="13">
                  <c:v>3.9359776706862342E-3</c:v>
                </c:pt>
                <c:pt idx="14">
                  <c:v>4.1758433459081097E-3</c:v>
                </c:pt>
                <c:pt idx="15">
                  <c:v>4.6446717111145027E-3</c:v>
                </c:pt>
                <c:pt idx="16">
                  <c:v>4.939052312523169E-3</c:v>
                </c:pt>
                <c:pt idx="17">
                  <c:v>5.0589851501341068E-3</c:v>
                </c:pt>
                <c:pt idx="18">
                  <c:v>5.2225299286944764E-3</c:v>
                </c:pt>
                <c:pt idx="19">
                  <c:v>5.6259403824767224E-3</c:v>
                </c:pt>
                <c:pt idx="20">
                  <c:v>5.7022612791382283E-3</c:v>
                </c:pt>
                <c:pt idx="21">
                  <c:v>6.0293508362589676E-3</c:v>
                </c:pt>
                <c:pt idx="22">
                  <c:v>6.1274777033951894E-3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529374082476991"/>
          <c:h val="0.74294915254237293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compute!$N$4</c:f>
              <c:strCache>
                <c:ptCount val="1"/>
                <c:pt idx="0">
                  <c:v>average infection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72-1848-8D14-2279B6F7C74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72-1848-8D14-2279B6F7C74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72-1848-8D14-2279B6F7C74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98-8A45-B605-B9194C49FAB8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72-1848-8D14-2279B6F7C74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98-8A45-B605-B9194C49FAB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E6-984F-B4E4-5660F27577B3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E6-984F-B4E4-5660F27577B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E6-984F-B4E4-5660F27577B3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E6-984F-B4E4-5660F27577B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E6-984F-B4E4-5660F27577B3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98-8A45-B605-B9194C49FAB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E6-984F-B4E4-5660F27577B3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E6-984F-B4E4-5660F27577B3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72-1848-8D14-2279B6F7C74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98-8A45-B605-B9194C49FAB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7A-5E43-94E1-C998BAEA117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87-6A46-90CD-4BF42EF8077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87-6A46-90CD-4BF42EF80777}"/>
                </c:ext>
              </c:extLst>
            </c:dLbl>
            <c:dLbl>
              <c:idx val="19"/>
              <c:layout>
                <c:manualLayout>
                  <c:x val="-5.9322033898305086E-2"/>
                  <c:y val="-0.105084745762711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ED-2D40-BB0C-D5284EA7E8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compute!$N$5:$N$10009</c:f>
              <c:numCache>
                <c:formatCode>0.0%</c:formatCode>
                <c:ptCount val="10005"/>
                <c:pt idx="0">
                  <c:v>2.5020002404095884E-3</c:v>
                </c:pt>
                <c:pt idx="1">
                  <c:v>3.4118185096494386E-3</c:v>
                </c:pt>
                <c:pt idx="2">
                  <c:v>3.7909094551660423E-3</c:v>
                </c:pt>
                <c:pt idx="3">
                  <c:v>5.6105459936457436E-3</c:v>
                </c:pt>
                <c:pt idx="4">
                  <c:v>6.8236370192988772E-3</c:v>
                </c:pt>
                <c:pt idx="5">
                  <c:v>8.7190917468818983E-3</c:v>
                </c:pt>
                <c:pt idx="6">
                  <c:v>9.325637259708466E-3</c:v>
                </c:pt>
                <c:pt idx="7">
                  <c:v>1.4708728686044246E-2</c:v>
                </c:pt>
                <c:pt idx="8">
                  <c:v>1.7893092628383723E-2</c:v>
                </c:pt>
                <c:pt idx="9">
                  <c:v>1.9106183654036855E-2</c:v>
                </c:pt>
                <c:pt idx="10">
                  <c:v>2.031927467968999E-2</c:v>
                </c:pt>
                <c:pt idx="11">
                  <c:v>2.2897093109202897E-2</c:v>
                </c:pt>
                <c:pt idx="12">
                  <c:v>2.5854002484232409E-2</c:v>
                </c:pt>
                <c:pt idx="13">
                  <c:v>2.7370366266298827E-2</c:v>
                </c:pt>
                <c:pt idx="14">
                  <c:v>2.9038366426571885E-2</c:v>
                </c:pt>
                <c:pt idx="15">
                  <c:v>3.2298548558014686E-2</c:v>
                </c:pt>
                <c:pt idx="16">
                  <c:v>3.4345639663804342E-2</c:v>
                </c:pt>
                <c:pt idx="17">
                  <c:v>3.5179639743940873E-2</c:v>
                </c:pt>
                <c:pt idx="18">
                  <c:v>3.631691258049069E-2</c:v>
                </c:pt>
                <c:pt idx="19">
                  <c:v>3.9122185577313562E-2</c:v>
                </c:pt>
                <c:pt idx="20">
                  <c:v>3.9652912901036806E-2</c:v>
                </c:pt>
                <c:pt idx="21">
                  <c:v>4.1927458574136434E-2</c:v>
                </c:pt>
                <c:pt idx="22">
                  <c:v>4.2609822276066314E-2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165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50"/>
        <c:majorTimeUnit val="days"/>
      </c:dateAx>
      <c:valAx>
        <c:axId val="120760081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7575150140130786"/>
          <c:h val="0.75989830508474576"/>
        </c:manualLayout>
      </c:layout>
      <c:areaChart>
        <c:grouping val="stacked"/>
        <c:varyColors val="0"/>
        <c:ser>
          <c:idx val="3"/>
          <c:order val="0"/>
          <c:tx>
            <c:strRef>
              <c:f>compute!$P$4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compute!$P$5:$P$10009</c:f>
              <c:numCache>
                <c:formatCode>0</c:formatCode>
                <c:ptCount val="10005"/>
                <c:pt idx="0">
                  <c:v>397.04761904761904</c:v>
                </c:pt>
                <c:pt idx="1">
                  <c:v>291.16825396825396</c:v>
                </c:pt>
                <c:pt idx="2">
                  <c:v>262.05142857142857</c:v>
                </c:pt>
                <c:pt idx="3">
                  <c:v>177.06177606177607</c:v>
                </c:pt>
                <c:pt idx="4">
                  <c:v>145.58412698412698</c:v>
                </c:pt>
                <c:pt idx="5">
                  <c:v>113.93540372670807</c:v>
                </c:pt>
                <c:pt idx="6">
                  <c:v>106.52497096399536</c:v>
                </c:pt>
                <c:pt idx="7">
                  <c:v>67.539027982326957</c:v>
                </c:pt>
                <c:pt idx="8">
                  <c:v>55.519370460048428</c:v>
                </c:pt>
                <c:pt idx="9">
                  <c:v>51.994331065759638</c:v>
                </c:pt>
                <c:pt idx="10">
                  <c:v>48.890191897654582</c:v>
                </c:pt>
                <c:pt idx="11">
                  <c:v>43.385998107852416</c:v>
                </c:pt>
                <c:pt idx="12">
                  <c:v>38.423963133640555</c:v>
                </c:pt>
                <c:pt idx="13">
                  <c:v>36.295211713494261</c:v>
                </c:pt>
                <c:pt idx="14">
                  <c:v>34.210369265199553</c:v>
                </c:pt>
                <c:pt idx="15">
                  <c:v>30.757209926224011</c:v>
                </c:pt>
                <c:pt idx="16">
                  <c:v>28.923998738568276</c:v>
                </c:pt>
                <c:pt idx="17">
                  <c:v>28.238300492610836</c:v>
                </c:pt>
                <c:pt idx="18">
                  <c:v>27.354011333134505</c:v>
                </c:pt>
                <c:pt idx="19">
                  <c:v>25.392580287929125</c:v>
                </c:pt>
                <c:pt idx="20">
                  <c:v>25.052717836656651</c:v>
                </c:pt>
                <c:pt idx="21">
                  <c:v>23.693619219839835</c:v>
                </c:pt>
                <c:pt idx="22">
                  <c:v>23.314184036603965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compute!$Q$4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compute!$Q$5:$Q$10009</c:f>
              <c:numCache>
                <c:formatCode>0</c:formatCode>
                <c:ptCount val="10005"/>
                <c:pt idx="0">
                  <c:v>158.81904761904764</c:v>
                </c:pt>
                <c:pt idx="1">
                  <c:v>116.46730158730162</c:v>
                </c:pt>
                <c:pt idx="2">
                  <c:v>104.82057142857144</c:v>
                </c:pt>
                <c:pt idx="3">
                  <c:v>70.824710424710418</c:v>
                </c:pt>
                <c:pt idx="4">
                  <c:v>58.23365079365081</c:v>
                </c:pt>
                <c:pt idx="5">
                  <c:v>45.574161490683224</c:v>
                </c:pt>
                <c:pt idx="6">
                  <c:v>42.609988385598129</c:v>
                </c:pt>
                <c:pt idx="7">
                  <c:v>27.015611192930777</c:v>
                </c:pt>
                <c:pt idx="8">
                  <c:v>22.207748184019373</c:v>
                </c:pt>
                <c:pt idx="9">
                  <c:v>20.797732426303853</c:v>
                </c:pt>
                <c:pt idx="10">
                  <c:v>19.556076759061831</c:v>
                </c:pt>
                <c:pt idx="11">
                  <c:v>17.354399243140961</c:v>
                </c:pt>
                <c:pt idx="12">
                  <c:v>15.369585253456222</c:v>
                </c:pt>
                <c:pt idx="13">
                  <c:v>14.518084685397703</c:v>
                </c:pt>
                <c:pt idx="14">
                  <c:v>13.68414770607982</c:v>
                </c:pt>
                <c:pt idx="15">
                  <c:v>12.302883970489606</c:v>
                </c:pt>
                <c:pt idx="16">
                  <c:v>11.569599495427308</c:v>
                </c:pt>
                <c:pt idx="17">
                  <c:v>11.295320197044337</c:v>
                </c:pt>
                <c:pt idx="18">
                  <c:v>10.941604533253805</c:v>
                </c:pt>
                <c:pt idx="19">
                  <c:v>10.157032115171649</c:v>
                </c:pt>
                <c:pt idx="20">
                  <c:v>10.021087134662661</c:v>
                </c:pt>
                <c:pt idx="21">
                  <c:v>9.477447687935932</c:v>
                </c:pt>
                <c:pt idx="22">
                  <c:v>9.325673614641584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compute!$R$4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layout>
                <c:manualLayout>
                  <c:x val="-5.4237288135593344E-2"/>
                  <c:y val="-6.44067796610169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compute!$A$5:$A$10009</c:f>
              <c:numCache>
                <c:formatCode>d\-mmm</c:formatCode>
                <c:ptCount val="1000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</c:numCache>
            </c:numRef>
          </c:cat>
          <c:val>
            <c:numRef>
              <c:f>compute!$R$5:$R$10009</c:f>
              <c:numCache>
                <c:formatCode>0</c:formatCode>
                <c:ptCount val="10005"/>
                <c:pt idx="0">
                  <c:v>476.45714285714286</c:v>
                </c:pt>
                <c:pt idx="1">
                  <c:v>349.4019047619048</c:v>
                </c:pt>
                <c:pt idx="2">
                  <c:v>314.46171428571427</c:v>
                </c:pt>
                <c:pt idx="3">
                  <c:v>212.47413127413128</c:v>
                </c:pt>
                <c:pt idx="4">
                  <c:v>174.7009523809524</c:v>
                </c:pt>
                <c:pt idx="5">
                  <c:v>136.7224844720497</c:v>
                </c:pt>
                <c:pt idx="6">
                  <c:v>127.82996515679443</c:v>
                </c:pt>
                <c:pt idx="7">
                  <c:v>81.046833578792345</c:v>
                </c:pt>
                <c:pt idx="8">
                  <c:v>66.623244552058111</c:v>
                </c:pt>
                <c:pt idx="9">
                  <c:v>62.393197278911565</c:v>
                </c:pt>
                <c:pt idx="10">
                  <c:v>58.668230277185501</c:v>
                </c:pt>
                <c:pt idx="11">
                  <c:v>52.063197729422896</c:v>
                </c:pt>
                <c:pt idx="12">
                  <c:v>46.108755760368666</c:v>
                </c:pt>
                <c:pt idx="13">
                  <c:v>43.554254056193116</c:v>
                </c:pt>
                <c:pt idx="14">
                  <c:v>41.052443118239466</c:v>
                </c:pt>
                <c:pt idx="15">
                  <c:v>36.908651911468816</c:v>
                </c:pt>
                <c:pt idx="16">
                  <c:v>34.708798486281928</c:v>
                </c:pt>
                <c:pt idx="17">
                  <c:v>33.885960591133006</c:v>
                </c:pt>
                <c:pt idx="18">
                  <c:v>32.824813599761406</c:v>
                </c:pt>
                <c:pt idx="19">
                  <c:v>30.471096345514951</c:v>
                </c:pt>
                <c:pt idx="20">
                  <c:v>30.06326140398798</c:v>
                </c:pt>
                <c:pt idx="21">
                  <c:v>28.432343063807799</c:v>
                </c:pt>
                <c:pt idx="22">
                  <c:v>27.977020843924755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U$28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4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0.19153</cdr:x>
      <cdr:y>0.29322</cdr:y>
    </cdr:from>
    <cdr:to>
      <cdr:x>0.45763</cdr:x>
      <cdr:y>0.5322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DCF19DA-C04D-3642-83C0-C3A5DDFB8902}"/>
            </a:ext>
          </a:extLst>
        </cdr:cNvPr>
        <cdr:cNvSpPr txBox="1"/>
      </cdr:nvSpPr>
      <cdr:spPr>
        <a:xfrm xmlns:a="http://schemas.openxmlformats.org/drawingml/2006/main">
          <a:off x="1435100" y="2197100"/>
          <a:ext cx="1993900" cy="1790700"/>
        </a:xfrm>
        <a:prstGeom xmlns:a="http://schemas.openxmlformats.org/drawingml/2006/main" prst="roundRect">
          <a:avLst>
            <a:gd name="adj" fmla="val 5363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The number of cases continues to increase, but it is not increasing exponentially.  We have slowed the spread.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U$2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U$2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0.25085</cdr:x>
      <cdr:y>0.34407</cdr:y>
    </cdr:from>
    <cdr:to>
      <cdr:x>0.57627</cdr:x>
      <cdr:y>0.52373</cdr:y>
    </cdr:to>
    <cdr:sp macro="" textlink="compute!$U$34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DF3BFB61-C5E4-624F-9591-5EF8EC0509E9}"/>
            </a:ext>
          </a:extLst>
        </cdr:cNvPr>
        <cdr:cNvSpPr txBox="1"/>
      </cdr:nvSpPr>
      <cdr:spPr>
        <a:xfrm xmlns:a="http://schemas.openxmlformats.org/drawingml/2006/main">
          <a:off x="1879605" y="2578099"/>
          <a:ext cx="2438395" cy="1346201"/>
        </a:xfrm>
        <a:prstGeom xmlns:a="http://schemas.openxmlformats.org/drawingml/2006/main" prst="roundRect">
          <a:avLst>
            <a:gd name="adj" fmla="val 717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7E67BFC-B66B-6E47-A8B5-B0078C99A391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Around 5,000 people in Miami Beach may have already been infected with the SARS-CoV-2 virus.</a:t>
          </a:fld>
          <a:endParaRPr lang="en-US" sz="18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28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9" name="Rectangle 18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5" name="Picture 24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U$2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0.22881</cdr:x>
      <cdr:y>0.48136</cdr:y>
    </cdr:from>
    <cdr:to>
      <cdr:x>0.45932</cdr:x>
      <cdr:y>0.56611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714473" y="3606794"/>
          <a:ext cx="1727212" cy="63503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0.5678</cdr:x>
      <cdr:y>0.4661</cdr:y>
    </cdr:from>
    <cdr:to>
      <cdr:x>0.90509</cdr:x>
      <cdr:y>0.57627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254490" y="3492470"/>
          <a:ext cx="2527314" cy="8255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9" name="Rectangle 18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2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U$2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0.22644</cdr:x>
      <cdr:y>0.22386</cdr:y>
    </cdr:from>
    <cdr:to>
      <cdr:x>0.82305</cdr:x>
      <cdr:y>0.34081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696750" y="1677373"/>
          <a:ext cx="4470401" cy="8762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20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 that herd protection for COVID-19 is between 50% and 66%.</a:t>
          </a:r>
          <a:endParaRPr lang="en-US" sz="20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0.29153</cdr:x>
      <cdr:y>0.42373</cdr:y>
    </cdr:from>
    <cdr:to>
      <cdr:x>0.74345</cdr:x>
      <cdr:y>0.5428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2184400" y="3175000"/>
          <a:ext cx="3386282" cy="89219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20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20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6" name="Rectangle 15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8" name="Picture 17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9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0.32203</cdr:x>
      <cdr:y>0.27094</cdr:y>
    </cdr:from>
    <cdr:to>
      <cdr:x>0.74746</cdr:x>
      <cdr:y>0.44576</cdr:y>
    </cdr:to>
    <cdr:sp macro="" textlink="compute!$U$3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412977" y="2030136"/>
          <a:ext cx="3187723" cy="1309964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Beach having been infected with SARS-CoV-2 is currently estimated to be around one in 28.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0.76489</cdr:x>
      <cdr:y>0.7889</cdr:y>
    </cdr:from>
    <cdr:to>
      <cdr:x>0.91405</cdr:x>
      <cdr:y>0.82104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731299" y="5911202"/>
          <a:ext cx="1117656" cy="240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28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8" name="Picture 17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0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U28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14, 2020, morning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 editAs="oneCell">
    <xdr:from>
      <xdr:col>6</xdr:col>
      <xdr:colOff>2761720</xdr:colOff>
      <xdr:row>18</xdr:row>
      <xdr:rowOff>87933</xdr:rowOff>
    </xdr:from>
    <xdr:to>
      <xdr:col>6</xdr:col>
      <xdr:colOff>2987736</xdr:colOff>
      <xdr:row>18</xdr:row>
      <xdr:rowOff>310723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8519714-BD67-0549-9186-9E476B39E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9529" y="7196897"/>
          <a:ext cx="226016" cy="222790"/>
        </a:xfrm>
        <a:prstGeom prst="rect">
          <a:avLst/>
        </a:prstGeom>
      </xdr:spPr>
    </xdr:pic>
    <xdr:clientData/>
  </xdr:twoCellAnchor>
  <xdr:twoCellAnchor editAs="oneCell">
    <xdr:from>
      <xdr:col>6</xdr:col>
      <xdr:colOff>3006436</xdr:colOff>
      <xdr:row>18</xdr:row>
      <xdr:rowOff>58747</xdr:rowOff>
    </xdr:from>
    <xdr:to>
      <xdr:col>8</xdr:col>
      <xdr:colOff>41266</xdr:colOff>
      <xdr:row>18</xdr:row>
      <xdr:rowOff>342540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CB78546-61B2-F147-BE9A-6488295B6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54245" y="7167711"/>
          <a:ext cx="288256" cy="283793"/>
        </a:xfrm>
        <a:prstGeom prst="rect">
          <a:avLst/>
        </a:prstGeom>
      </xdr:spPr>
    </xdr:pic>
    <xdr:clientData/>
  </xdr:twoCellAnchor>
  <xdr:twoCellAnchor>
    <xdr:from>
      <xdr:col>6</xdr:col>
      <xdr:colOff>481158</xdr:colOff>
      <xdr:row>18</xdr:row>
      <xdr:rowOff>77840</xdr:rowOff>
    </xdr:from>
    <xdr:to>
      <xdr:col>6</xdr:col>
      <xdr:colOff>2679717</xdr:colOff>
      <xdr:row>19</xdr:row>
      <xdr:rowOff>5005</xdr:rowOff>
    </xdr:to>
    <xdr:sp macro="" textlink="">
      <xdr:nvSpPr>
        <xdr:cNvPr id="13" name="TextBox 3">
          <a:extLst>
            <a:ext uri="{FF2B5EF4-FFF2-40B4-BE49-F238E27FC236}">
              <a16:creationId xmlns:a16="http://schemas.microsoft.com/office/drawing/2014/main" id="{970D30E2-4478-7040-8565-2332431848C5}"/>
            </a:ext>
          </a:extLst>
        </xdr:cNvPr>
        <xdr:cNvSpPr txBox="1"/>
      </xdr:nvSpPr>
      <xdr:spPr>
        <a:xfrm>
          <a:off x="4528967" y="7186804"/>
          <a:ext cx="2198559" cy="306647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2307251</xdr:colOff>
      <xdr:row>18</xdr:row>
      <xdr:rowOff>77788</xdr:rowOff>
    </xdr:from>
    <xdr:to>
      <xdr:col>6</xdr:col>
      <xdr:colOff>631605</xdr:colOff>
      <xdr:row>18</xdr:row>
      <xdr:rowOff>370903</xdr:rowOff>
    </xdr:to>
    <xdr:sp macro="" textlink="">
      <xdr:nvSpPr>
        <xdr:cNvPr id="14" name="TextBox 1">
          <a:extLst>
            <a:ext uri="{FF2B5EF4-FFF2-40B4-BE49-F238E27FC236}">
              <a16:creationId xmlns:a16="http://schemas.microsoft.com/office/drawing/2014/main" id="{FD0A8590-7A21-364E-8612-513F25D09B8F}"/>
            </a:ext>
          </a:extLst>
        </xdr:cNvPr>
        <xdr:cNvSpPr txBox="1"/>
      </xdr:nvSpPr>
      <xdr:spPr>
        <a:xfrm>
          <a:off x="2666494" y="7186752"/>
          <a:ext cx="2012920" cy="293115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212777</xdr:colOff>
      <xdr:row>18</xdr:row>
      <xdr:rowOff>81537</xdr:rowOff>
    </xdr:from>
    <xdr:to>
      <xdr:col>2</xdr:col>
      <xdr:colOff>1389530</xdr:colOff>
      <xdr:row>18</xdr:row>
      <xdr:rowOff>310680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DD3B736-40A5-DA4C-8AE5-3220B2DE2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77" y="7190501"/>
          <a:ext cx="1535996" cy="22914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U27" totalsRowShown="0" headerRowDxfId="22" dataDxfId="21" headerRowCellStyle="Heading 3">
  <autoFilter ref="A4:U27" xr:uid="{550F0C45-D7F8-B94B-924D-6E337BF889A7}"/>
  <tableColumns count="21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0" dataCellStyle="Percent">
      <calculatedColumnFormula>Table2[[#This Row],[cases]]/$B$2</calculatedColumnFormula>
    </tableColumn>
    <tableColumn id="20" xr3:uid="{583731BA-1864-EF40-AEF7-A80834F00231}" name="% increase" dataDxfId="19">
      <calculatedColumnFormula>(Table2[[#This Row],[cases]]-B4)/B4</calculatedColumnFormula>
    </tableColumn>
    <tableColumn id="19" xr3:uid="{C3C6B808-3CB5-8B45-A4B9-4A6CDF5E27BE}" name="doubling time (days)" dataDxfId="7">
      <calculatedColumnFormula>(LN(2)/LN(B5/B4))</calculatedColumnFormula>
    </tableColumn>
    <tableColumn id="22" xr3:uid="{90069003-40F0-4A42-B540-85A67A611F36}" name="estimated infections" dataDxfId="6">
      <calculatedColumnFormula>Table2[[#This Row],[cases]]*100/$S$19</calculatedColumnFormula>
    </tableColumn>
    <tableColumn id="8" xr3:uid="{C899EFA6-17F8-B447-A1DB-6D7083A2F531}" name="infection count, low end of estimate range" dataDxfId="5">
      <calculatedColumnFormula>Table2[[#This Row],[cases]]*100/$S$13</calculatedColumnFormula>
    </tableColumn>
    <tableColumn id="9" xr3:uid="{9DA1C9E0-36F7-DE43-8448-4D8CE8B57839}" name="infection count, high end of estimate range" dataDxfId="4">
      <calculatedColumnFormula>Table2[[#This Row],[cases]]*100/$S$16</calculatedColumnFormula>
    </tableColumn>
    <tableColumn id="11" xr3:uid="{DF5E18EF-399D-9948-A8F2-9862C2232353}" name="infection count difference" dataDxfId="3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2">
      <calculatedColumnFormula>(Table2[[#This Row],[infection count, low end of estimate range]]+Table2[[#This Row],[infection count, high end of estimate range]])/2</calculatedColumnFormula>
    </tableColumn>
    <tableColumn id="12" xr3:uid="{8AB0CE19-F28B-1B41-B08C-6F528E4C628D}" name="infection percentage, low end of estimate range" dataDxfId="18">
      <calculatedColumnFormula>Table2[[#This Row],[infection count, low end of estimate range]]/$S$6</calculatedColumnFormula>
    </tableColumn>
    <tableColumn id="13" xr3:uid="{1109EB50-6E0E-5D49-923A-162321C9390D}" name="infection percentage, high end of estimate range" dataDxfId="17">
      <calculatedColumnFormula>Table2[[#This Row],[infection count, high end of estimate range]]/$S$6</calculatedColumnFormula>
    </tableColumn>
    <tableColumn id="14" xr3:uid="{238DA9D3-166B-A04A-B1CF-89D64E5C9BCE}" name="infection percentage difference" dataDxfId="16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15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14">
      <calculatedColumnFormula>$S$6/(Table2[[#This Row],[cases]]*5)</calculatedColumnFormula>
    </tableColumn>
    <tableColumn id="4" xr3:uid="{244EEAB7-EA2F-9142-A896-C40C6D4A9BE9}" name="1-in-X odds, estimating 7x cases infected" dataDxfId="13">
      <calculatedColumnFormula>$S$6/(Table2[[#This Row],[cases]]*7)</calculatedColumnFormula>
    </tableColumn>
    <tableColumn id="5" xr3:uid="{8F986CA1-2145-0B4C-AAAE-6153D0E4F495}" name="1-in-X odds difference" dataDxfId="12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11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10"/>
    <tableColumn id="17" xr3:uid="{B5DA71D5-91C3-F54E-9A79-5F7DD2472B6E}" name="computed" dataDxfId="9"/>
    <tableColumn id="18" xr3:uid="{22EA3CBE-6B18-9845-9A5C-8FD79B240D43}" name="Column1" dataDxfId="8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A1"/>
  <sheetViews>
    <sheetView zoomScaleNormal="100" workbookViewId="0">
      <selection activeCell="K12" sqref="K12"/>
    </sheetView>
  </sheetViews>
  <sheetFormatPr baseColWidth="10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L32" sqref="L32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N30" sqref="N30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O20" sqref="O20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K1" sqref="K1:M396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6">
        <v>43913</v>
      </c>
      <c r="L3" s="70">
        <v>0.2</v>
      </c>
      <c r="M3" s="70">
        <v>1</v>
      </c>
    </row>
    <row r="4" spans="11:13" x14ac:dyDescent="0.2">
      <c r="K4" s="76">
        <v>43914</v>
      </c>
      <c r="L4" s="70">
        <v>0.2</v>
      </c>
      <c r="M4" s="70">
        <v>1</v>
      </c>
    </row>
    <row r="5" spans="11:13" x14ac:dyDescent="0.2">
      <c r="K5" s="76">
        <v>43915</v>
      </c>
      <c r="L5" s="70">
        <v>0.2</v>
      </c>
      <c r="M5" s="70">
        <v>1</v>
      </c>
    </row>
    <row r="6" spans="11:13" x14ac:dyDescent="0.2">
      <c r="K6" s="76">
        <v>43916</v>
      </c>
      <c r="L6" s="70">
        <v>0.2</v>
      </c>
      <c r="M6" s="70">
        <v>1</v>
      </c>
    </row>
    <row r="7" spans="11:13" x14ac:dyDescent="0.2">
      <c r="K7" s="76">
        <v>43917</v>
      </c>
      <c r="L7" s="70">
        <v>0.2</v>
      </c>
      <c r="M7" s="70">
        <v>1</v>
      </c>
    </row>
    <row r="8" spans="11:13" x14ac:dyDescent="0.2">
      <c r="K8" s="76">
        <v>43918</v>
      </c>
      <c r="L8" s="70">
        <v>0.2</v>
      </c>
      <c r="M8" s="70">
        <v>1</v>
      </c>
    </row>
    <row r="9" spans="11:13" x14ac:dyDescent="0.2">
      <c r="K9" s="76">
        <v>43919</v>
      </c>
      <c r="L9" s="70">
        <v>0.2</v>
      </c>
      <c r="M9" s="70">
        <v>1</v>
      </c>
    </row>
    <row r="10" spans="11:13" x14ac:dyDescent="0.2">
      <c r="K10" s="76">
        <v>43920</v>
      </c>
      <c r="L10" s="70">
        <v>0.2</v>
      </c>
      <c r="M10" s="70">
        <v>1</v>
      </c>
    </row>
    <row r="11" spans="11:13" x14ac:dyDescent="0.2">
      <c r="K11" s="76">
        <v>43921</v>
      </c>
      <c r="L11" s="70">
        <v>0.2</v>
      </c>
      <c r="M11" s="70">
        <v>1</v>
      </c>
    </row>
    <row r="12" spans="11:13" x14ac:dyDescent="0.2">
      <c r="K12" s="76">
        <v>43922</v>
      </c>
      <c r="L12" s="70">
        <v>0.2</v>
      </c>
      <c r="M12" s="70">
        <v>1</v>
      </c>
    </row>
    <row r="13" spans="11:13" x14ac:dyDescent="0.2">
      <c r="K13" s="76">
        <v>43923</v>
      </c>
      <c r="L13" s="70">
        <v>0.2</v>
      </c>
      <c r="M13" s="70">
        <v>1</v>
      </c>
    </row>
    <row r="14" spans="11:13" x14ac:dyDescent="0.2">
      <c r="K14" s="76">
        <v>43924</v>
      </c>
      <c r="L14" s="70">
        <v>0.2</v>
      </c>
      <c r="M14" s="70">
        <v>1</v>
      </c>
    </row>
    <row r="15" spans="11:13" x14ac:dyDescent="0.2">
      <c r="K15" s="76">
        <v>43925</v>
      </c>
      <c r="L15" s="70">
        <v>0.2</v>
      </c>
      <c r="M15" s="70">
        <v>1</v>
      </c>
    </row>
    <row r="16" spans="11:13" x14ac:dyDescent="0.2">
      <c r="K16" s="76">
        <v>43926</v>
      </c>
      <c r="L16" s="70">
        <v>0.2</v>
      </c>
      <c r="M16" s="70">
        <v>1</v>
      </c>
    </row>
    <row r="17" spans="11:13" x14ac:dyDescent="0.2">
      <c r="K17" s="76">
        <v>43927</v>
      </c>
      <c r="L17" s="70">
        <v>0.2</v>
      </c>
      <c r="M17" s="70">
        <v>1</v>
      </c>
    </row>
    <row r="18" spans="11:13" x14ac:dyDescent="0.2">
      <c r="K18" s="76">
        <v>43928</v>
      </c>
      <c r="L18" s="70">
        <v>0.2</v>
      </c>
      <c r="M18" s="70">
        <v>1</v>
      </c>
    </row>
    <row r="19" spans="11:13" x14ac:dyDescent="0.2">
      <c r="K19" s="76">
        <v>43929</v>
      </c>
      <c r="L19" s="70">
        <v>0.2</v>
      </c>
      <c r="M19" s="70">
        <v>1</v>
      </c>
    </row>
    <row r="20" spans="11:13" x14ac:dyDescent="0.2">
      <c r="K20" s="76">
        <v>43930</v>
      </c>
      <c r="L20" s="70">
        <v>0.2</v>
      </c>
      <c r="M20" s="70">
        <v>1</v>
      </c>
    </row>
    <row r="21" spans="11:13" x14ac:dyDescent="0.2">
      <c r="K21" s="76">
        <v>43931</v>
      </c>
      <c r="L21" s="70">
        <v>0.2</v>
      </c>
      <c r="M21" s="70">
        <v>1</v>
      </c>
    </row>
    <row r="22" spans="11:13" x14ac:dyDescent="0.2">
      <c r="K22" s="76">
        <v>43932</v>
      </c>
      <c r="L22" s="70">
        <v>0.2</v>
      </c>
      <c r="M22" s="70">
        <v>1</v>
      </c>
    </row>
    <row r="23" spans="11:13" x14ac:dyDescent="0.2">
      <c r="K23" s="76">
        <v>43933</v>
      </c>
      <c r="L23" s="70">
        <v>0.2</v>
      </c>
      <c r="M23" s="70">
        <v>1</v>
      </c>
    </row>
    <row r="24" spans="11:13" x14ac:dyDescent="0.2">
      <c r="K24" s="76">
        <v>43934</v>
      </c>
      <c r="L24" s="70">
        <v>0.2</v>
      </c>
      <c r="M24" s="70">
        <v>1</v>
      </c>
    </row>
    <row r="25" spans="11:13" x14ac:dyDescent="0.2">
      <c r="K25" s="76">
        <v>43935</v>
      </c>
      <c r="L25" s="70">
        <v>0.2</v>
      </c>
      <c r="M25" s="70">
        <v>1</v>
      </c>
    </row>
    <row r="26" spans="11:13" x14ac:dyDescent="0.2">
      <c r="K26" s="76">
        <v>43936</v>
      </c>
      <c r="L26" s="70">
        <v>0.2</v>
      </c>
      <c r="M26" s="70">
        <v>1</v>
      </c>
    </row>
    <row r="27" spans="11:13" x14ac:dyDescent="0.2">
      <c r="K27" s="76">
        <v>43937</v>
      </c>
      <c r="L27" s="70">
        <v>0.2</v>
      </c>
      <c r="M27" s="70">
        <v>1</v>
      </c>
    </row>
    <row r="28" spans="11:13" x14ac:dyDescent="0.2">
      <c r="K28" s="76">
        <v>43938</v>
      </c>
      <c r="L28" s="70">
        <v>0.2</v>
      </c>
      <c r="M28" s="70">
        <v>1</v>
      </c>
    </row>
    <row r="29" spans="11:13" x14ac:dyDescent="0.2">
      <c r="K29" s="76">
        <v>43939</v>
      </c>
      <c r="L29" s="70">
        <v>0.2</v>
      </c>
      <c r="M29" s="70">
        <v>1</v>
      </c>
    </row>
    <row r="30" spans="11:13" x14ac:dyDescent="0.2">
      <c r="K30" s="76">
        <v>43940</v>
      </c>
      <c r="L30" s="70">
        <v>0.2</v>
      </c>
      <c r="M30" s="70">
        <v>1</v>
      </c>
    </row>
    <row r="31" spans="11:13" x14ac:dyDescent="0.2">
      <c r="K31" s="76">
        <v>43941</v>
      </c>
      <c r="L31" s="70">
        <v>0.2</v>
      </c>
      <c r="M31" s="70">
        <v>1</v>
      </c>
    </row>
    <row r="32" spans="11:13" x14ac:dyDescent="0.2">
      <c r="K32" s="76">
        <v>43942</v>
      </c>
      <c r="L32" s="70">
        <v>0.2</v>
      </c>
      <c r="M32" s="70">
        <v>1</v>
      </c>
    </row>
    <row r="33" spans="11:13" x14ac:dyDescent="0.2">
      <c r="K33" s="76">
        <v>43943</v>
      </c>
      <c r="L33" s="70">
        <v>0.2</v>
      </c>
      <c r="M33" s="70">
        <v>1</v>
      </c>
    </row>
    <row r="34" spans="11:13" x14ac:dyDescent="0.2">
      <c r="K34" s="76">
        <v>43944</v>
      </c>
      <c r="L34" s="70">
        <v>0.2</v>
      </c>
      <c r="M34" s="70">
        <v>1</v>
      </c>
    </row>
    <row r="35" spans="11:13" x14ac:dyDescent="0.2">
      <c r="K35" s="76">
        <v>43945</v>
      </c>
      <c r="L35" s="70">
        <v>0.2</v>
      </c>
      <c r="M35" s="70">
        <v>1</v>
      </c>
    </row>
    <row r="36" spans="11:13" x14ac:dyDescent="0.2">
      <c r="K36" s="76">
        <v>43946</v>
      </c>
      <c r="L36" s="70">
        <v>0.2</v>
      </c>
      <c r="M36" s="70">
        <v>1</v>
      </c>
    </row>
    <row r="37" spans="11:13" x14ac:dyDescent="0.2">
      <c r="K37" s="76">
        <v>43947</v>
      </c>
      <c r="L37" s="70">
        <v>0.2</v>
      </c>
      <c r="M37" s="70">
        <v>1</v>
      </c>
    </row>
    <row r="38" spans="11:13" x14ac:dyDescent="0.2">
      <c r="K38" s="76">
        <v>43948</v>
      </c>
      <c r="L38" s="70">
        <v>0.2</v>
      </c>
      <c r="M38" s="70">
        <v>1</v>
      </c>
    </row>
    <row r="39" spans="11:13" x14ac:dyDescent="0.2">
      <c r="K39" s="76">
        <v>43949</v>
      </c>
      <c r="L39" s="70">
        <v>0.2</v>
      </c>
      <c r="M39" s="70">
        <v>1</v>
      </c>
    </row>
    <row r="40" spans="11:13" x14ac:dyDescent="0.2">
      <c r="K40" s="76">
        <v>43950</v>
      </c>
      <c r="L40" s="70">
        <v>0.2</v>
      </c>
      <c r="M40" s="70">
        <v>1</v>
      </c>
    </row>
    <row r="41" spans="11:13" x14ac:dyDescent="0.2">
      <c r="K41" s="76">
        <v>43951</v>
      </c>
      <c r="L41" s="70">
        <v>0.2</v>
      </c>
      <c r="M41" s="70">
        <v>1</v>
      </c>
    </row>
    <row r="42" spans="11:13" x14ac:dyDescent="0.2">
      <c r="K42" s="76">
        <v>43952</v>
      </c>
      <c r="L42" s="70">
        <v>0.2</v>
      </c>
      <c r="M42" s="70">
        <v>1</v>
      </c>
    </row>
    <row r="43" spans="11:13" x14ac:dyDescent="0.2">
      <c r="K43" s="76">
        <v>43953</v>
      </c>
      <c r="L43" s="70">
        <v>0.2</v>
      </c>
      <c r="M43" s="70">
        <v>1</v>
      </c>
    </row>
    <row r="44" spans="11:13" x14ac:dyDescent="0.2">
      <c r="K44" s="76">
        <v>43954</v>
      </c>
      <c r="L44" s="70">
        <v>0.2</v>
      </c>
      <c r="M44" s="70">
        <v>1</v>
      </c>
    </row>
    <row r="45" spans="11:13" x14ac:dyDescent="0.2">
      <c r="K45" s="76">
        <v>43955</v>
      </c>
      <c r="L45" s="70">
        <v>0.2</v>
      </c>
      <c r="M45" s="70">
        <v>1</v>
      </c>
    </row>
    <row r="46" spans="11:13" x14ac:dyDescent="0.2">
      <c r="K46" s="76">
        <v>43956</v>
      </c>
      <c r="L46" s="70">
        <v>0.2</v>
      </c>
      <c r="M46" s="70">
        <v>1</v>
      </c>
    </row>
    <row r="47" spans="11:13" x14ac:dyDescent="0.2">
      <c r="K47" s="76">
        <v>43957</v>
      </c>
      <c r="L47" s="70">
        <v>0.2</v>
      </c>
      <c r="M47" s="70">
        <v>1</v>
      </c>
    </row>
    <row r="48" spans="11:13" x14ac:dyDescent="0.2">
      <c r="K48" s="76">
        <v>43958</v>
      </c>
      <c r="L48" s="70">
        <v>0.2</v>
      </c>
      <c r="M48" s="70">
        <v>1</v>
      </c>
    </row>
    <row r="49" spans="11:13" x14ac:dyDescent="0.2">
      <c r="K49" s="76">
        <v>43959</v>
      </c>
      <c r="L49" s="70">
        <v>0.2</v>
      </c>
      <c r="M49" s="70">
        <v>1</v>
      </c>
    </row>
    <row r="50" spans="11:13" x14ac:dyDescent="0.2">
      <c r="K50" s="76">
        <v>43960</v>
      </c>
      <c r="L50" s="70">
        <v>0.2</v>
      </c>
      <c r="M50" s="70">
        <v>1</v>
      </c>
    </row>
    <row r="51" spans="11:13" x14ac:dyDescent="0.2">
      <c r="K51" s="76">
        <v>43961</v>
      </c>
      <c r="L51" s="70">
        <v>0.2</v>
      </c>
      <c r="M51" s="70">
        <v>1</v>
      </c>
    </row>
    <row r="52" spans="11:13" x14ac:dyDescent="0.2">
      <c r="K52" s="76">
        <v>43962</v>
      </c>
      <c r="L52" s="70">
        <v>0.2</v>
      </c>
      <c r="M52" s="70">
        <v>1</v>
      </c>
    </row>
    <row r="53" spans="11:13" x14ac:dyDescent="0.2">
      <c r="K53" s="76">
        <v>43963</v>
      </c>
      <c r="L53" s="70">
        <v>0.2</v>
      </c>
      <c r="M53" s="70">
        <v>1</v>
      </c>
    </row>
    <row r="54" spans="11:13" x14ac:dyDescent="0.2">
      <c r="K54" s="76">
        <v>43964</v>
      </c>
      <c r="L54" s="70">
        <v>0.2</v>
      </c>
      <c r="M54" s="70">
        <v>1</v>
      </c>
    </row>
    <row r="55" spans="11:13" x14ac:dyDescent="0.2">
      <c r="K55" s="76">
        <v>43965</v>
      </c>
      <c r="L55" s="70">
        <v>0.2</v>
      </c>
      <c r="M55" s="70">
        <v>1</v>
      </c>
    </row>
    <row r="56" spans="11:13" x14ac:dyDescent="0.2">
      <c r="K56" s="76">
        <v>43966</v>
      </c>
      <c r="L56" s="70">
        <v>0.2</v>
      </c>
      <c r="M56" s="70">
        <v>1</v>
      </c>
    </row>
    <row r="57" spans="11:13" x14ac:dyDescent="0.2">
      <c r="K57" s="76">
        <v>43967</v>
      </c>
      <c r="L57" s="70">
        <v>0.2</v>
      </c>
      <c r="M57" s="70">
        <v>1</v>
      </c>
    </row>
    <row r="58" spans="11:13" x14ac:dyDescent="0.2">
      <c r="K58" s="76">
        <v>43968</v>
      </c>
      <c r="L58" s="70">
        <v>0.2</v>
      </c>
      <c r="M58" s="70">
        <v>1</v>
      </c>
    </row>
    <row r="59" spans="11:13" x14ac:dyDescent="0.2">
      <c r="K59" s="76">
        <v>43969</v>
      </c>
      <c r="L59" s="70">
        <v>0.2</v>
      </c>
      <c r="M59" s="70">
        <v>1</v>
      </c>
    </row>
    <row r="60" spans="11:13" x14ac:dyDescent="0.2">
      <c r="K60" s="76">
        <v>43970</v>
      </c>
      <c r="L60" s="70">
        <v>0.2</v>
      </c>
      <c r="M60" s="70">
        <v>1</v>
      </c>
    </row>
    <row r="61" spans="11:13" x14ac:dyDescent="0.2">
      <c r="K61" s="76">
        <v>43971</v>
      </c>
      <c r="L61" s="70">
        <v>0.2</v>
      </c>
      <c r="M61" s="70">
        <v>1</v>
      </c>
    </row>
    <row r="62" spans="11:13" x14ac:dyDescent="0.2">
      <c r="K62" s="76">
        <v>43972</v>
      </c>
      <c r="L62" s="70">
        <v>0.2</v>
      </c>
      <c r="M62" s="70">
        <v>1</v>
      </c>
    </row>
    <row r="63" spans="11:13" x14ac:dyDescent="0.2">
      <c r="K63" s="76">
        <v>43973</v>
      </c>
      <c r="L63" s="70">
        <v>0.2</v>
      </c>
      <c r="M63" s="70">
        <v>1</v>
      </c>
    </row>
    <row r="64" spans="11:13" x14ac:dyDescent="0.2">
      <c r="K64" s="76">
        <v>43974</v>
      </c>
      <c r="L64" s="70">
        <v>0.2</v>
      </c>
      <c r="M64" s="70">
        <v>1</v>
      </c>
    </row>
    <row r="65" spans="11:13" x14ac:dyDescent="0.2">
      <c r="K65" s="76">
        <v>43975</v>
      </c>
      <c r="L65" s="70">
        <v>0.2</v>
      </c>
      <c r="M65" s="70">
        <v>1</v>
      </c>
    </row>
    <row r="66" spans="11:13" x14ac:dyDescent="0.2">
      <c r="K66" s="76">
        <v>43976</v>
      </c>
      <c r="L66" s="70">
        <v>0.2</v>
      </c>
      <c r="M66" s="70">
        <v>1</v>
      </c>
    </row>
    <row r="67" spans="11:13" x14ac:dyDescent="0.2">
      <c r="K67" s="76">
        <v>43977</v>
      </c>
      <c r="L67" s="70">
        <v>0.2</v>
      </c>
      <c r="M67" s="70">
        <v>1</v>
      </c>
    </row>
    <row r="68" spans="11:13" x14ac:dyDescent="0.2">
      <c r="K68" s="76">
        <v>43978</v>
      </c>
      <c r="L68" s="70">
        <v>0.2</v>
      </c>
      <c r="M68" s="70">
        <v>1</v>
      </c>
    </row>
    <row r="69" spans="11:13" x14ac:dyDescent="0.2">
      <c r="K69" s="76">
        <v>43979</v>
      </c>
      <c r="L69" s="70">
        <v>0.2</v>
      </c>
      <c r="M69" s="70">
        <v>1</v>
      </c>
    </row>
    <row r="70" spans="11:13" x14ac:dyDescent="0.2">
      <c r="K70" s="76">
        <v>43980</v>
      </c>
      <c r="L70" s="70">
        <v>0.2</v>
      </c>
      <c r="M70" s="70">
        <v>1</v>
      </c>
    </row>
    <row r="71" spans="11:13" x14ac:dyDescent="0.2">
      <c r="K71" s="76">
        <v>43981</v>
      </c>
      <c r="L71" s="70">
        <v>0.2</v>
      </c>
      <c r="M71" s="70">
        <v>1</v>
      </c>
    </row>
    <row r="72" spans="11:13" x14ac:dyDescent="0.2">
      <c r="K72" s="76">
        <v>43982</v>
      </c>
      <c r="L72" s="70">
        <v>0.2</v>
      </c>
      <c r="M72" s="70">
        <v>1</v>
      </c>
    </row>
    <row r="73" spans="11:13" x14ac:dyDescent="0.2">
      <c r="K73" s="76">
        <v>43983</v>
      </c>
      <c r="L73" s="70">
        <v>0.2</v>
      </c>
      <c r="M73" s="70">
        <v>1</v>
      </c>
    </row>
    <row r="74" spans="11:13" x14ac:dyDescent="0.2">
      <c r="K74" s="76">
        <v>43984</v>
      </c>
      <c r="L74" s="70">
        <v>0.2</v>
      </c>
      <c r="M74" s="70">
        <v>1</v>
      </c>
    </row>
    <row r="75" spans="11:13" x14ac:dyDescent="0.2">
      <c r="K75" s="76">
        <v>43985</v>
      </c>
      <c r="L75" s="70">
        <v>0.2</v>
      </c>
      <c r="M75" s="70">
        <v>1</v>
      </c>
    </row>
    <row r="76" spans="11:13" x14ac:dyDescent="0.2">
      <c r="K76" s="76">
        <v>43986</v>
      </c>
      <c r="L76" s="70">
        <v>0.2</v>
      </c>
      <c r="M76" s="70">
        <v>1</v>
      </c>
    </row>
    <row r="77" spans="11:13" x14ac:dyDescent="0.2">
      <c r="K77" s="76">
        <v>43987</v>
      </c>
      <c r="L77" s="70">
        <v>0.2</v>
      </c>
      <c r="M77" s="70">
        <v>1</v>
      </c>
    </row>
    <row r="78" spans="11:13" x14ac:dyDescent="0.2">
      <c r="K78" s="76">
        <v>43988</v>
      </c>
      <c r="L78" s="70">
        <v>0.2</v>
      </c>
      <c r="M78" s="70">
        <v>1</v>
      </c>
    </row>
    <row r="79" spans="11:13" x14ac:dyDescent="0.2">
      <c r="K79" s="76">
        <v>43989</v>
      </c>
      <c r="L79" s="70">
        <v>0.2</v>
      </c>
      <c r="M79" s="70">
        <v>1</v>
      </c>
    </row>
    <row r="80" spans="11:13" x14ac:dyDescent="0.2">
      <c r="K80" s="76">
        <v>43990</v>
      </c>
      <c r="L80" s="70">
        <v>0.2</v>
      </c>
      <c r="M80" s="70">
        <v>1</v>
      </c>
    </row>
    <row r="81" spans="11:13" x14ac:dyDescent="0.2">
      <c r="K81" s="76">
        <v>43991</v>
      </c>
      <c r="L81" s="70">
        <v>0.2</v>
      </c>
      <c r="M81" s="70">
        <v>1</v>
      </c>
    </row>
    <row r="82" spans="11:13" x14ac:dyDescent="0.2">
      <c r="K82" s="76">
        <v>43992</v>
      </c>
      <c r="L82" s="70">
        <v>0.2</v>
      </c>
      <c r="M82" s="70">
        <v>1</v>
      </c>
    </row>
    <row r="83" spans="11:13" x14ac:dyDescent="0.2">
      <c r="K83" s="76">
        <v>43993</v>
      </c>
      <c r="L83" s="70">
        <v>0.2</v>
      </c>
      <c r="M83" s="70">
        <v>1</v>
      </c>
    </row>
    <row r="84" spans="11:13" x14ac:dyDescent="0.2">
      <c r="K84" s="76">
        <v>43994</v>
      </c>
      <c r="L84" s="70">
        <v>0.2</v>
      </c>
      <c r="M84" s="70">
        <v>1</v>
      </c>
    </row>
    <row r="85" spans="11:13" x14ac:dyDescent="0.2">
      <c r="K85" s="76">
        <v>43995</v>
      </c>
      <c r="L85" s="70">
        <v>0.2</v>
      </c>
      <c r="M85" s="70">
        <v>1</v>
      </c>
    </row>
    <row r="86" spans="11:13" x14ac:dyDescent="0.2">
      <c r="K86" s="76">
        <v>43996</v>
      </c>
      <c r="L86" s="70">
        <v>0.2</v>
      </c>
      <c r="M86" s="70">
        <v>1</v>
      </c>
    </row>
    <row r="87" spans="11:13" x14ac:dyDescent="0.2">
      <c r="K87" s="76">
        <v>43997</v>
      </c>
      <c r="L87" s="70">
        <v>0.2</v>
      </c>
      <c r="M87" s="70">
        <v>1</v>
      </c>
    </row>
    <row r="88" spans="11:13" x14ac:dyDescent="0.2">
      <c r="K88" s="76">
        <v>43998</v>
      </c>
      <c r="L88" s="70">
        <v>0.2</v>
      </c>
      <c r="M88" s="70">
        <v>1</v>
      </c>
    </row>
    <row r="89" spans="11:13" x14ac:dyDescent="0.2">
      <c r="K89" s="76">
        <v>43999</v>
      </c>
      <c r="L89" s="70">
        <v>0.2</v>
      </c>
      <c r="M89" s="70">
        <v>1</v>
      </c>
    </row>
    <row r="90" spans="11:13" x14ac:dyDescent="0.2">
      <c r="K90" s="76">
        <v>44000</v>
      </c>
      <c r="L90" s="70">
        <v>0.2</v>
      </c>
      <c r="M90" s="70">
        <v>1</v>
      </c>
    </row>
    <row r="91" spans="11:13" x14ac:dyDescent="0.2">
      <c r="K91" s="76">
        <v>44001</v>
      </c>
      <c r="L91" s="70">
        <v>0.2</v>
      </c>
      <c r="M91" s="70">
        <v>1</v>
      </c>
    </row>
    <row r="92" spans="11:13" x14ac:dyDescent="0.2">
      <c r="K92" s="76">
        <v>44002</v>
      </c>
      <c r="L92" s="70">
        <v>0.2</v>
      </c>
      <c r="M92" s="70">
        <v>1</v>
      </c>
    </row>
    <row r="93" spans="11:13" x14ac:dyDescent="0.2">
      <c r="K93" s="76">
        <v>44003</v>
      </c>
      <c r="L93" s="70">
        <v>0.2</v>
      </c>
      <c r="M93" s="70">
        <v>1</v>
      </c>
    </row>
    <row r="94" spans="11:13" x14ac:dyDescent="0.2">
      <c r="K94" s="76">
        <v>44004</v>
      </c>
      <c r="L94" s="70">
        <v>0.2</v>
      </c>
      <c r="M94" s="70">
        <v>1</v>
      </c>
    </row>
    <row r="95" spans="11:13" x14ac:dyDescent="0.2">
      <c r="K95" s="76">
        <v>44005</v>
      </c>
      <c r="L95" s="70">
        <v>0.2</v>
      </c>
      <c r="M95" s="70">
        <v>1</v>
      </c>
    </row>
    <row r="96" spans="11:13" x14ac:dyDescent="0.2">
      <c r="K96" s="76">
        <v>44006</v>
      </c>
      <c r="L96" s="70">
        <v>0.2</v>
      </c>
      <c r="M96" s="70">
        <v>1</v>
      </c>
    </row>
    <row r="97" spans="11:13" x14ac:dyDescent="0.2">
      <c r="K97" s="76">
        <v>44007</v>
      </c>
      <c r="L97" s="70">
        <v>0.2</v>
      </c>
      <c r="M97" s="70">
        <v>1</v>
      </c>
    </row>
    <row r="98" spans="11:13" x14ac:dyDescent="0.2">
      <c r="K98" s="76">
        <v>44008</v>
      </c>
      <c r="L98" s="70">
        <v>0.2</v>
      </c>
      <c r="M98" s="70">
        <v>1</v>
      </c>
    </row>
    <row r="99" spans="11:13" x14ac:dyDescent="0.2">
      <c r="K99" s="76">
        <v>44009</v>
      </c>
      <c r="L99" s="70">
        <v>0.2</v>
      </c>
      <c r="M99" s="70">
        <v>1</v>
      </c>
    </row>
    <row r="100" spans="11:13" x14ac:dyDescent="0.2">
      <c r="K100" s="76">
        <v>44010</v>
      </c>
      <c r="L100" s="70">
        <v>0.2</v>
      </c>
      <c r="M100" s="70">
        <v>1</v>
      </c>
    </row>
    <row r="101" spans="11:13" x14ac:dyDescent="0.2">
      <c r="K101" s="76">
        <v>44011</v>
      </c>
      <c r="L101" s="70">
        <v>0.2</v>
      </c>
      <c r="M101" s="70">
        <v>1</v>
      </c>
    </row>
    <row r="102" spans="11:13" x14ac:dyDescent="0.2">
      <c r="K102" s="76">
        <v>44012</v>
      </c>
      <c r="L102" s="70">
        <v>0.2</v>
      </c>
      <c r="M102" s="70">
        <v>1</v>
      </c>
    </row>
    <row r="103" spans="11:13" x14ac:dyDescent="0.2">
      <c r="K103" s="76">
        <v>44013</v>
      </c>
      <c r="L103" s="70">
        <v>0.2</v>
      </c>
      <c r="M103" s="70">
        <v>1</v>
      </c>
    </row>
    <row r="104" spans="11:13" x14ac:dyDescent="0.2">
      <c r="K104" s="76">
        <v>44014</v>
      </c>
      <c r="L104" s="70">
        <v>0.2</v>
      </c>
      <c r="M104" s="70">
        <v>1</v>
      </c>
    </row>
    <row r="105" spans="11:13" x14ac:dyDescent="0.2">
      <c r="K105" s="76">
        <v>44015</v>
      </c>
      <c r="L105" s="70">
        <v>0.2</v>
      </c>
      <c r="M105" s="70">
        <v>1</v>
      </c>
    </row>
    <row r="106" spans="11:13" x14ac:dyDescent="0.2">
      <c r="K106" s="76">
        <v>44016</v>
      </c>
      <c r="L106" s="70">
        <v>0.2</v>
      </c>
      <c r="M106" s="70">
        <v>1</v>
      </c>
    </row>
    <row r="107" spans="11:13" x14ac:dyDescent="0.2">
      <c r="K107" s="76">
        <v>44017</v>
      </c>
      <c r="L107" s="70">
        <v>0.2</v>
      </c>
      <c r="M107" s="70">
        <v>1</v>
      </c>
    </row>
    <row r="108" spans="11:13" x14ac:dyDescent="0.2">
      <c r="K108" s="76">
        <v>44018</v>
      </c>
      <c r="L108" s="70">
        <v>0.2</v>
      </c>
      <c r="M108" s="70">
        <v>1</v>
      </c>
    </row>
    <row r="109" spans="11:13" x14ac:dyDescent="0.2">
      <c r="K109" s="76">
        <v>44019</v>
      </c>
      <c r="L109" s="70">
        <v>0.2</v>
      </c>
      <c r="M109" s="70">
        <v>1</v>
      </c>
    </row>
    <row r="110" spans="11:13" x14ac:dyDescent="0.2">
      <c r="K110" s="76">
        <v>44020</v>
      </c>
      <c r="L110" s="70">
        <v>0.2</v>
      </c>
      <c r="M110" s="70">
        <v>1</v>
      </c>
    </row>
    <row r="111" spans="11:13" x14ac:dyDescent="0.2">
      <c r="K111" s="76">
        <v>44021</v>
      </c>
      <c r="L111" s="70">
        <v>0.2</v>
      </c>
      <c r="M111" s="70">
        <v>1</v>
      </c>
    </row>
    <row r="112" spans="11:13" x14ac:dyDescent="0.2">
      <c r="K112" s="76">
        <v>44022</v>
      </c>
      <c r="L112" s="70">
        <v>0.2</v>
      </c>
      <c r="M112" s="70">
        <v>1</v>
      </c>
    </row>
    <row r="113" spans="11:13" x14ac:dyDescent="0.2">
      <c r="K113" s="76">
        <v>44023</v>
      </c>
      <c r="L113" s="70">
        <v>0.2</v>
      </c>
      <c r="M113" s="70">
        <v>1</v>
      </c>
    </row>
    <row r="114" spans="11:13" x14ac:dyDescent="0.2">
      <c r="K114" s="76">
        <v>44024</v>
      </c>
      <c r="L114" s="70">
        <v>0.2</v>
      </c>
      <c r="M114" s="70">
        <v>1</v>
      </c>
    </row>
    <row r="115" spans="11:13" x14ac:dyDescent="0.2">
      <c r="K115" s="76">
        <v>44025</v>
      </c>
      <c r="L115" s="70">
        <v>0.2</v>
      </c>
      <c r="M115" s="70">
        <v>1</v>
      </c>
    </row>
    <row r="116" spans="11:13" x14ac:dyDescent="0.2">
      <c r="K116" s="76">
        <v>44026</v>
      </c>
      <c r="L116" s="70">
        <v>0.2</v>
      </c>
      <c r="M116" s="70">
        <v>1</v>
      </c>
    </row>
    <row r="117" spans="11:13" x14ac:dyDescent="0.2">
      <c r="K117" s="76">
        <v>44027</v>
      </c>
      <c r="L117" s="70">
        <v>0.2</v>
      </c>
      <c r="M117" s="70">
        <v>1</v>
      </c>
    </row>
    <row r="118" spans="11:13" x14ac:dyDescent="0.2">
      <c r="K118" s="76">
        <v>44028</v>
      </c>
      <c r="L118" s="70">
        <v>0.2</v>
      </c>
      <c r="M118" s="70">
        <v>1</v>
      </c>
    </row>
    <row r="119" spans="11:13" x14ac:dyDescent="0.2">
      <c r="K119" s="76">
        <v>44029</v>
      </c>
      <c r="L119" s="70">
        <v>0.2</v>
      </c>
      <c r="M119" s="70">
        <v>1</v>
      </c>
    </row>
    <row r="120" spans="11:13" x14ac:dyDescent="0.2">
      <c r="K120" s="76">
        <v>44030</v>
      </c>
      <c r="L120" s="70">
        <v>0.2</v>
      </c>
      <c r="M120" s="70">
        <v>1</v>
      </c>
    </row>
    <row r="121" spans="11:13" x14ac:dyDescent="0.2">
      <c r="K121" s="76">
        <v>44031</v>
      </c>
      <c r="L121" s="70">
        <v>0.2</v>
      </c>
      <c r="M121" s="70">
        <v>1</v>
      </c>
    </row>
    <row r="122" spans="11:13" x14ac:dyDescent="0.2">
      <c r="K122" s="76">
        <v>44032</v>
      </c>
      <c r="L122" s="70">
        <v>0.2</v>
      </c>
      <c r="M122" s="70">
        <v>1</v>
      </c>
    </row>
    <row r="123" spans="11:13" x14ac:dyDescent="0.2">
      <c r="K123" s="76">
        <v>44033</v>
      </c>
      <c r="L123" s="70">
        <v>0.2</v>
      </c>
      <c r="M123" s="70">
        <v>1</v>
      </c>
    </row>
    <row r="124" spans="11:13" x14ac:dyDescent="0.2">
      <c r="K124" s="76">
        <v>44034</v>
      </c>
      <c r="L124" s="70">
        <v>0.2</v>
      </c>
      <c r="M124" s="70">
        <v>1</v>
      </c>
    </row>
    <row r="125" spans="11:13" x14ac:dyDescent="0.2">
      <c r="K125" s="76">
        <v>44035</v>
      </c>
      <c r="L125" s="70">
        <v>0.2</v>
      </c>
      <c r="M125" s="70">
        <v>1</v>
      </c>
    </row>
    <row r="126" spans="11:13" x14ac:dyDescent="0.2">
      <c r="K126" s="76">
        <v>44036</v>
      </c>
      <c r="L126" s="70">
        <v>0.2</v>
      </c>
      <c r="M126" s="70">
        <v>1</v>
      </c>
    </row>
    <row r="127" spans="11:13" x14ac:dyDescent="0.2">
      <c r="K127" s="76">
        <v>44037</v>
      </c>
      <c r="L127" s="70">
        <v>0.2</v>
      </c>
      <c r="M127" s="70">
        <v>1</v>
      </c>
    </row>
    <row r="128" spans="11:13" x14ac:dyDescent="0.2">
      <c r="K128" s="76">
        <v>44038</v>
      </c>
      <c r="L128" s="70">
        <v>0.2</v>
      </c>
      <c r="M128" s="70">
        <v>1</v>
      </c>
    </row>
    <row r="129" spans="11:13" x14ac:dyDescent="0.2">
      <c r="K129" s="76">
        <v>44039</v>
      </c>
      <c r="L129" s="70">
        <v>0.2</v>
      </c>
      <c r="M129" s="70">
        <v>1</v>
      </c>
    </row>
    <row r="130" spans="11:13" x14ac:dyDescent="0.2">
      <c r="K130" s="76">
        <v>44040</v>
      </c>
      <c r="L130" s="70">
        <v>0.2</v>
      </c>
      <c r="M130" s="70">
        <v>1</v>
      </c>
    </row>
    <row r="131" spans="11:13" x14ac:dyDescent="0.2">
      <c r="K131" s="76">
        <v>44041</v>
      </c>
      <c r="L131" s="70">
        <v>0.2</v>
      </c>
      <c r="M131" s="70">
        <v>1</v>
      </c>
    </row>
    <row r="132" spans="11:13" x14ac:dyDescent="0.2">
      <c r="K132" s="76">
        <v>44042</v>
      </c>
      <c r="L132" s="70">
        <v>0.2</v>
      </c>
      <c r="M132" s="70">
        <v>1</v>
      </c>
    </row>
    <row r="133" spans="11:13" x14ac:dyDescent="0.2">
      <c r="K133" s="76">
        <v>44043</v>
      </c>
      <c r="L133" s="70">
        <v>0.2</v>
      </c>
      <c r="M133" s="70">
        <v>1</v>
      </c>
    </row>
    <row r="134" spans="11:13" x14ac:dyDescent="0.2">
      <c r="K134" s="76">
        <v>44044</v>
      </c>
      <c r="L134" s="70">
        <v>0.2</v>
      </c>
      <c r="M134" s="70">
        <v>1</v>
      </c>
    </row>
    <row r="135" spans="11:13" x14ac:dyDescent="0.2">
      <c r="K135" s="76">
        <v>44045</v>
      </c>
      <c r="L135" s="70">
        <v>0.2</v>
      </c>
      <c r="M135" s="70">
        <v>1</v>
      </c>
    </row>
    <row r="136" spans="11:13" x14ac:dyDescent="0.2">
      <c r="K136" s="76">
        <v>44046</v>
      </c>
      <c r="L136" s="70">
        <v>0.2</v>
      </c>
      <c r="M136" s="70">
        <v>1</v>
      </c>
    </row>
    <row r="137" spans="11:13" x14ac:dyDescent="0.2">
      <c r="K137" s="76">
        <v>44047</v>
      </c>
      <c r="L137" s="70">
        <v>0.2</v>
      </c>
      <c r="M137" s="70">
        <v>1</v>
      </c>
    </row>
    <row r="138" spans="11:13" x14ac:dyDescent="0.2">
      <c r="K138" s="76">
        <v>44048</v>
      </c>
      <c r="L138" s="70">
        <v>0.2</v>
      </c>
      <c r="M138" s="70">
        <v>1</v>
      </c>
    </row>
    <row r="139" spans="11:13" x14ac:dyDescent="0.2">
      <c r="K139" s="76">
        <v>44049</v>
      </c>
      <c r="L139" s="70">
        <v>0.2</v>
      </c>
      <c r="M139" s="70">
        <v>1</v>
      </c>
    </row>
    <row r="140" spans="11:13" x14ac:dyDescent="0.2">
      <c r="K140" s="76">
        <v>44050</v>
      </c>
      <c r="L140" s="70">
        <v>0.2</v>
      </c>
      <c r="M140" s="70">
        <v>1</v>
      </c>
    </row>
    <row r="141" spans="11:13" x14ac:dyDescent="0.2">
      <c r="K141" s="76">
        <v>44051</v>
      </c>
      <c r="L141" s="70">
        <v>0.2</v>
      </c>
      <c r="M141" s="70">
        <v>1</v>
      </c>
    </row>
    <row r="142" spans="11:13" x14ac:dyDescent="0.2">
      <c r="K142" s="76">
        <v>44052</v>
      </c>
      <c r="L142" s="70">
        <v>0.2</v>
      </c>
      <c r="M142" s="70">
        <v>1</v>
      </c>
    </row>
    <row r="143" spans="11:13" x14ac:dyDescent="0.2">
      <c r="K143" s="76">
        <v>44053</v>
      </c>
      <c r="L143" s="70">
        <v>0.2</v>
      </c>
      <c r="M143" s="70">
        <v>1</v>
      </c>
    </row>
    <row r="144" spans="11:13" x14ac:dyDescent="0.2">
      <c r="K144" s="76">
        <v>44054</v>
      </c>
      <c r="L144" s="70">
        <v>0.2</v>
      </c>
      <c r="M144" s="70">
        <v>1</v>
      </c>
    </row>
    <row r="145" spans="11:13" x14ac:dyDescent="0.2">
      <c r="K145" s="76">
        <v>44055</v>
      </c>
      <c r="L145" s="70">
        <v>0.2</v>
      </c>
      <c r="M145" s="70">
        <v>1</v>
      </c>
    </row>
    <row r="146" spans="11:13" x14ac:dyDescent="0.2">
      <c r="K146" s="76">
        <v>44056</v>
      </c>
      <c r="L146" s="70">
        <v>0.2</v>
      </c>
      <c r="M146" s="70">
        <v>1</v>
      </c>
    </row>
    <row r="147" spans="11:13" x14ac:dyDescent="0.2">
      <c r="K147" s="76">
        <v>44057</v>
      </c>
      <c r="L147" s="70">
        <v>0.2</v>
      </c>
      <c r="M147" s="70">
        <v>1</v>
      </c>
    </row>
    <row r="148" spans="11:13" x14ac:dyDescent="0.2">
      <c r="K148" s="76">
        <v>44058</v>
      </c>
      <c r="L148" s="70">
        <v>0.2</v>
      </c>
      <c r="M148" s="70">
        <v>1</v>
      </c>
    </row>
    <row r="149" spans="11:13" x14ac:dyDescent="0.2">
      <c r="K149" s="76">
        <v>44059</v>
      </c>
      <c r="L149" s="70">
        <v>0.2</v>
      </c>
      <c r="M149" s="70">
        <v>1</v>
      </c>
    </row>
    <row r="150" spans="11:13" x14ac:dyDescent="0.2">
      <c r="K150" s="76">
        <v>44060</v>
      </c>
      <c r="L150" s="70">
        <v>0.2</v>
      </c>
      <c r="M150" s="70">
        <v>1</v>
      </c>
    </row>
    <row r="151" spans="11:13" x14ac:dyDescent="0.2">
      <c r="K151" s="76">
        <v>44061</v>
      </c>
      <c r="L151" s="70">
        <v>0.2</v>
      </c>
      <c r="M151" s="70">
        <v>1</v>
      </c>
    </row>
    <row r="152" spans="11:13" x14ac:dyDescent="0.2">
      <c r="K152" s="76">
        <v>44062</v>
      </c>
      <c r="L152" s="70">
        <v>0.2</v>
      </c>
      <c r="M152" s="70">
        <v>1</v>
      </c>
    </row>
    <row r="153" spans="11:13" x14ac:dyDescent="0.2">
      <c r="K153" s="76">
        <v>44063</v>
      </c>
      <c r="L153" s="70">
        <v>0.2</v>
      </c>
      <c r="M153" s="70">
        <v>1</v>
      </c>
    </row>
    <row r="154" spans="11:13" x14ac:dyDescent="0.2">
      <c r="K154" s="76">
        <v>44064</v>
      </c>
      <c r="L154" s="70">
        <v>0.2</v>
      </c>
      <c r="M154" s="70">
        <v>1</v>
      </c>
    </row>
    <row r="155" spans="11:13" x14ac:dyDescent="0.2">
      <c r="K155" s="76">
        <v>44065</v>
      </c>
      <c r="L155" s="70">
        <v>0.2</v>
      </c>
      <c r="M155" s="70">
        <v>1</v>
      </c>
    </row>
    <row r="156" spans="11:13" x14ac:dyDescent="0.2">
      <c r="K156" s="76">
        <v>44066</v>
      </c>
      <c r="L156" s="70">
        <v>0.2</v>
      </c>
      <c r="M156" s="70">
        <v>1</v>
      </c>
    </row>
    <row r="157" spans="11:13" x14ac:dyDescent="0.2">
      <c r="K157" s="76">
        <v>44067</v>
      </c>
      <c r="L157" s="70">
        <v>0.2</v>
      </c>
      <c r="M157" s="70">
        <v>1</v>
      </c>
    </row>
    <row r="158" spans="11:13" x14ac:dyDescent="0.2">
      <c r="K158" s="76">
        <v>44068</v>
      </c>
      <c r="L158" s="70">
        <v>0.2</v>
      </c>
      <c r="M158" s="70">
        <v>1</v>
      </c>
    </row>
    <row r="159" spans="11:13" x14ac:dyDescent="0.2">
      <c r="K159" s="76">
        <v>44069</v>
      </c>
      <c r="L159" s="70">
        <v>0.2</v>
      </c>
      <c r="M159" s="70">
        <v>1</v>
      </c>
    </row>
    <row r="160" spans="11:13" x14ac:dyDescent="0.2">
      <c r="K160" s="76">
        <v>44070</v>
      </c>
      <c r="L160" s="70">
        <v>0.2</v>
      </c>
      <c r="M160" s="70">
        <v>1</v>
      </c>
    </row>
    <row r="161" spans="11:13" x14ac:dyDescent="0.2">
      <c r="K161" s="76">
        <v>44071</v>
      </c>
      <c r="L161" s="70">
        <v>0.2</v>
      </c>
      <c r="M161" s="70">
        <v>1</v>
      </c>
    </row>
    <row r="162" spans="11:13" x14ac:dyDescent="0.2">
      <c r="K162" s="76">
        <v>44072</v>
      </c>
      <c r="L162" s="70">
        <v>0.2</v>
      </c>
      <c r="M162" s="70">
        <v>1</v>
      </c>
    </row>
    <row r="163" spans="11:13" x14ac:dyDescent="0.2">
      <c r="K163" s="76">
        <v>44073</v>
      </c>
      <c r="L163" s="70">
        <v>0.2</v>
      </c>
      <c r="M163" s="70">
        <v>1</v>
      </c>
    </row>
    <row r="164" spans="11:13" x14ac:dyDescent="0.2">
      <c r="K164" s="76">
        <v>44074</v>
      </c>
      <c r="L164" s="70">
        <v>0.2</v>
      </c>
      <c r="M164" s="70">
        <v>1</v>
      </c>
    </row>
    <row r="165" spans="11:13" x14ac:dyDescent="0.2">
      <c r="K165" s="76">
        <v>44075</v>
      </c>
      <c r="L165" s="70">
        <v>0.2</v>
      </c>
      <c r="M165" s="70">
        <v>1</v>
      </c>
    </row>
    <row r="166" spans="11:13" x14ac:dyDescent="0.2">
      <c r="K166" s="76">
        <v>44076</v>
      </c>
      <c r="L166" s="70">
        <v>0.2</v>
      </c>
      <c r="M166" s="70">
        <v>1</v>
      </c>
    </row>
    <row r="167" spans="11:13" x14ac:dyDescent="0.2">
      <c r="K167" s="76">
        <v>44077</v>
      </c>
      <c r="L167" s="70">
        <v>0.2</v>
      </c>
      <c r="M167" s="70">
        <v>1</v>
      </c>
    </row>
    <row r="168" spans="11:13" x14ac:dyDescent="0.2">
      <c r="K168" s="76">
        <v>44078</v>
      </c>
      <c r="L168" s="70">
        <v>0.2</v>
      </c>
      <c r="M168" s="70">
        <v>1</v>
      </c>
    </row>
    <row r="169" spans="11:13" x14ac:dyDescent="0.2">
      <c r="K169" s="76">
        <v>44079</v>
      </c>
      <c r="L169" s="70">
        <v>0.2</v>
      </c>
      <c r="M169" s="70">
        <v>1</v>
      </c>
    </row>
    <row r="170" spans="11:13" x14ac:dyDescent="0.2">
      <c r="K170" s="76">
        <v>44080</v>
      </c>
      <c r="L170" s="70">
        <v>0.2</v>
      </c>
      <c r="M170" s="70">
        <v>1</v>
      </c>
    </row>
    <row r="171" spans="11:13" x14ac:dyDescent="0.2">
      <c r="K171" s="76">
        <v>44081</v>
      </c>
      <c r="L171" s="70">
        <v>0.2</v>
      </c>
      <c r="M171" s="70">
        <v>1</v>
      </c>
    </row>
    <row r="172" spans="11:13" x14ac:dyDescent="0.2">
      <c r="K172" s="76">
        <v>44082</v>
      </c>
      <c r="L172" s="70">
        <v>0.2</v>
      </c>
      <c r="M172" s="70">
        <v>1</v>
      </c>
    </row>
    <row r="173" spans="11:13" x14ac:dyDescent="0.2">
      <c r="K173" s="76">
        <v>44083</v>
      </c>
      <c r="L173" s="70">
        <v>0.2</v>
      </c>
      <c r="M173" s="70">
        <v>1</v>
      </c>
    </row>
    <row r="174" spans="11:13" x14ac:dyDescent="0.2">
      <c r="K174" s="76">
        <v>44084</v>
      </c>
      <c r="L174" s="70">
        <v>0.2</v>
      </c>
      <c r="M174" s="70">
        <v>1</v>
      </c>
    </row>
    <row r="175" spans="11:13" x14ac:dyDescent="0.2">
      <c r="K175" s="76">
        <v>44085</v>
      </c>
      <c r="L175" s="70">
        <v>0.2</v>
      </c>
      <c r="M175" s="70">
        <v>1</v>
      </c>
    </row>
    <row r="176" spans="11:13" x14ac:dyDescent="0.2">
      <c r="K176" s="76">
        <v>44086</v>
      </c>
      <c r="L176" s="70">
        <v>0.2</v>
      </c>
      <c r="M176" s="70">
        <v>1</v>
      </c>
    </row>
    <row r="177" spans="11:13" x14ac:dyDescent="0.2">
      <c r="K177" s="76">
        <v>44087</v>
      </c>
      <c r="L177" s="70">
        <v>0.2</v>
      </c>
      <c r="M177" s="70">
        <v>1</v>
      </c>
    </row>
    <row r="178" spans="11:13" x14ac:dyDescent="0.2">
      <c r="K178" s="76">
        <v>44088</v>
      </c>
      <c r="L178" s="70">
        <v>0.2</v>
      </c>
      <c r="M178" s="70">
        <v>1</v>
      </c>
    </row>
    <row r="179" spans="11:13" x14ac:dyDescent="0.2">
      <c r="K179" s="76">
        <v>44089</v>
      </c>
      <c r="L179" s="70">
        <v>0.2</v>
      </c>
      <c r="M179" s="70">
        <v>1</v>
      </c>
    </row>
    <row r="180" spans="11:13" x14ac:dyDescent="0.2">
      <c r="K180" s="76">
        <v>44090</v>
      </c>
      <c r="L180" s="70">
        <v>0.2</v>
      </c>
      <c r="M180" s="70">
        <v>1</v>
      </c>
    </row>
    <row r="181" spans="11:13" x14ac:dyDescent="0.2">
      <c r="K181" s="76">
        <v>44091</v>
      </c>
      <c r="L181" s="70">
        <v>0.2</v>
      </c>
      <c r="M181" s="70">
        <v>1</v>
      </c>
    </row>
    <row r="182" spans="11:13" x14ac:dyDescent="0.2">
      <c r="K182" s="76">
        <v>44092</v>
      </c>
      <c r="L182" s="70">
        <v>0.2</v>
      </c>
      <c r="M182" s="70">
        <v>1</v>
      </c>
    </row>
    <row r="183" spans="11:13" x14ac:dyDescent="0.2">
      <c r="K183" s="76">
        <v>44093</v>
      </c>
      <c r="L183" s="70">
        <v>0.2</v>
      </c>
      <c r="M183" s="70">
        <v>1</v>
      </c>
    </row>
    <row r="184" spans="11:13" x14ac:dyDescent="0.2">
      <c r="K184" s="76">
        <v>44094</v>
      </c>
      <c r="L184" s="70">
        <v>0.2</v>
      </c>
      <c r="M184" s="70">
        <v>1</v>
      </c>
    </row>
    <row r="185" spans="11:13" x14ac:dyDescent="0.2">
      <c r="K185" s="76">
        <v>44095</v>
      </c>
      <c r="L185" s="70">
        <v>0.2</v>
      </c>
      <c r="M185" s="70">
        <v>1</v>
      </c>
    </row>
    <row r="186" spans="11:13" x14ac:dyDescent="0.2">
      <c r="K186" s="76">
        <v>44096</v>
      </c>
      <c r="L186" s="70">
        <v>0.2</v>
      </c>
      <c r="M186" s="70">
        <v>1</v>
      </c>
    </row>
    <row r="187" spans="11:13" x14ac:dyDescent="0.2">
      <c r="K187" s="76">
        <v>44097</v>
      </c>
      <c r="L187" s="70">
        <v>0.2</v>
      </c>
      <c r="M187" s="70">
        <v>1</v>
      </c>
    </row>
    <row r="188" spans="11:13" x14ac:dyDescent="0.2">
      <c r="K188" s="76">
        <v>44098</v>
      </c>
      <c r="L188" s="70">
        <v>0.2</v>
      </c>
      <c r="M188" s="70">
        <v>1</v>
      </c>
    </row>
    <row r="189" spans="11:13" x14ac:dyDescent="0.2">
      <c r="K189" s="76">
        <v>44099</v>
      </c>
      <c r="L189" s="70">
        <v>0.2</v>
      </c>
      <c r="M189" s="70">
        <v>1</v>
      </c>
    </row>
    <row r="190" spans="11:13" x14ac:dyDescent="0.2">
      <c r="K190" s="76">
        <v>44100</v>
      </c>
      <c r="L190" s="70">
        <v>0.2</v>
      </c>
      <c r="M190" s="70">
        <v>1</v>
      </c>
    </row>
    <row r="191" spans="11:13" x14ac:dyDescent="0.2">
      <c r="K191" s="76">
        <v>44101</v>
      </c>
      <c r="L191" s="70">
        <v>0.2</v>
      </c>
      <c r="M191" s="70">
        <v>1</v>
      </c>
    </row>
    <row r="192" spans="11:13" x14ac:dyDescent="0.2">
      <c r="K192" s="76">
        <v>44102</v>
      </c>
      <c r="L192" s="70">
        <v>0.2</v>
      </c>
      <c r="M192" s="70">
        <v>1</v>
      </c>
    </row>
    <row r="193" spans="11:13" x14ac:dyDescent="0.2">
      <c r="K193" s="76">
        <v>44103</v>
      </c>
      <c r="L193" s="70">
        <v>0.2</v>
      </c>
      <c r="M193" s="70">
        <v>1</v>
      </c>
    </row>
    <row r="194" spans="11:13" x14ac:dyDescent="0.2">
      <c r="K194" s="76">
        <v>44104</v>
      </c>
      <c r="L194" s="70">
        <v>0.2</v>
      </c>
      <c r="M194" s="70">
        <v>1</v>
      </c>
    </row>
    <row r="195" spans="11:13" x14ac:dyDescent="0.2">
      <c r="K195" s="76">
        <v>44105</v>
      </c>
      <c r="L195" s="70">
        <v>0.2</v>
      </c>
      <c r="M195" s="70">
        <v>1</v>
      </c>
    </row>
    <row r="196" spans="11:13" x14ac:dyDescent="0.2">
      <c r="K196" s="76">
        <v>44106</v>
      </c>
      <c r="L196" s="70">
        <v>0.2</v>
      </c>
      <c r="M196" s="70">
        <v>1</v>
      </c>
    </row>
    <row r="197" spans="11:13" x14ac:dyDescent="0.2">
      <c r="K197" s="76">
        <v>44107</v>
      </c>
      <c r="L197" s="70">
        <v>0.2</v>
      </c>
      <c r="M197" s="70">
        <v>1</v>
      </c>
    </row>
    <row r="198" spans="11:13" x14ac:dyDescent="0.2">
      <c r="K198" s="76">
        <v>44108</v>
      </c>
      <c r="L198" s="70">
        <v>0.2</v>
      </c>
      <c r="M198" s="70">
        <v>1</v>
      </c>
    </row>
    <row r="199" spans="11:13" x14ac:dyDescent="0.2">
      <c r="K199" s="76">
        <v>44109</v>
      </c>
      <c r="L199" s="70">
        <v>0.2</v>
      </c>
      <c r="M199" s="70">
        <v>1</v>
      </c>
    </row>
    <row r="200" spans="11:13" x14ac:dyDescent="0.2">
      <c r="K200" s="76">
        <v>44110</v>
      </c>
      <c r="L200" s="70">
        <v>0.2</v>
      </c>
      <c r="M200" s="70">
        <v>1</v>
      </c>
    </row>
    <row r="201" spans="11:13" x14ac:dyDescent="0.2">
      <c r="K201" s="76">
        <v>44111</v>
      </c>
      <c r="L201" s="70">
        <v>0.2</v>
      </c>
      <c r="M201" s="70">
        <v>1</v>
      </c>
    </row>
    <row r="202" spans="11:13" x14ac:dyDescent="0.2">
      <c r="K202" s="76">
        <v>44112</v>
      </c>
      <c r="L202" s="70">
        <v>0.2</v>
      </c>
      <c r="M202" s="70">
        <v>1</v>
      </c>
    </row>
    <row r="203" spans="11:13" x14ac:dyDescent="0.2">
      <c r="K203" s="76">
        <v>44113</v>
      </c>
      <c r="L203" s="70">
        <v>0.2</v>
      </c>
      <c r="M203" s="70">
        <v>1</v>
      </c>
    </row>
    <row r="204" spans="11:13" x14ac:dyDescent="0.2">
      <c r="K204" s="76">
        <v>44114</v>
      </c>
      <c r="L204" s="70">
        <v>0.2</v>
      </c>
      <c r="M204" s="70">
        <v>1</v>
      </c>
    </row>
    <row r="205" spans="11:13" x14ac:dyDescent="0.2">
      <c r="K205" s="76">
        <v>44115</v>
      </c>
      <c r="L205" s="70">
        <v>0.2</v>
      </c>
      <c r="M205" s="70">
        <v>1</v>
      </c>
    </row>
    <row r="206" spans="11:13" x14ac:dyDescent="0.2">
      <c r="K206" s="76">
        <v>44116</v>
      </c>
      <c r="L206" s="70">
        <v>0.2</v>
      </c>
      <c r="M206" s="70">
        <v>1</v>
      </c>
    </row>
    <row r="207" spans="11:13" x14ac:dyDescent="0.2">
      <c r="K207" s="76">
        <v>44117</v>
      </c>
      <c r="L207" s="70">
        <v>0.2</v>
      </c>
      <c r="M207" s="70">
        <v>1</v>
      </c>
    </row>
    <row r="208" spans="11:13" x14ac:dyDescent="0.2">
      <c r="K208" s="76">
        <v>44118</v>
      </c>
      <c r="L208" s="70">
        <v>0.2</v>
      </c>
      <c r="M208" s="70">
        <v>1</v>
      </c>
    </row>
    <row r="209" spans="11:13" x14ac:dyDescent="0.2">
      <c r="K209" s="76">
        <v>44119</v>
      </c>
      <c r="L209" s="70">
        <v>0.2</v>
      </c>
      <c r="M209" s="70">
        <v>1</v>
      </c>
    </row>
    <row r="210" spans="11:13" x14ac:dyDescent="0.2">
      <c r="K210" s="76">
        <v>44120</v>
      </c>
      <c r="L210" s="70">
        <v>0.2</v>
      </c>
      <c r="M210" s="70">
        <v>1</v>
      </c>
    </row>
    <row r="211" spans="11:13" x14ac:dyDescent="0.2">
      <c r="K211" s="76">
        <v>44121</v>
      </c>
      <c r="L211" s="70">
        <v>0.2</v>
      </c>
      <c r="M211" s="70">
        <v>1</v>
      </c>
    </row>
    <row r="212" spans="11:13" x14ac:dyDescent="0.2">
      <c r="K212" s="76">
        <v>44122</v>
      </c>
      <c r="L212" s="70">
        <v>0.2</v>
      </c>
      <c r="M212" s="70">
        <v>1</v>
      </c>
    </row>
    <row r="213" spans="11:13" x14ac:dyDescent="0.2">
      <c r="K213" s="76">
        <v>44123</v>
      </c>
      <c r="L213" s="70">
        <v>0.2</v>
      </c>
      <c r="M213" s="70">
        <v>1</v>
      </c>
    </row>
    <row r="214" spans="11:13" x14ac:dyDescent="0.2">
      <c r="K214" s="76">
        <v>44124</v>
      </c>
      <c r="L214" s="70">
        <v>0.2</v>
      </c>
      <c r="M214" s="70">
        <v>1</v>
      </c>
    </row>
    <row r="215" spans="11:13" x14ac:dyDescent="0.2">
      <c r="K215" s="76">
        <v>44125</v>
      </c>
      <c r="L215" s="70">
        <v>0.2</v>
      </c>
      <c r="M215" s="70">
        <v>1</v>
      </c>
    </row>
    <row r="216" spans="11:13" x14ac:dyDescent="0.2">
      <c r="K216" s="76">
        <v>44126</v>
      </c>
      <c r="L216" s="70">
        <v>0.2</v>
      </c>
      <c r="M216" s="70">
        <v>1</v>
      </c>
    </row>
    <row r="217" spans="11:13" x14ac:dyDescent="0.2">
      <c r="K217" s="76">
        <v>44127</v>
      </c>
      <c r="L217" s="70">
        <v>0.2</v>
      </c>
      <c r="M217" s="70">
        <v>1</v>
      </c>
    </row>
    <row r="218" spans="11:13" x14ac:dyDescent="0.2">
      <c r="K218" s="76">
        <v>44128</v>
      </c>
      <c r="L218" s="70">
        <v>0.2</v>
      </c>
      <c r="M218" s="70">
        <v>1</v>
      </c>
    </row>
    <row r="219" spans="11:13" x14ac:dyDescent="0.2">
      <c r="K219" s="76">
        <v>44129</v>
      </c>
      <c r="L219" s="70">
        <v>0.2</v>
      </c>
      <c r="M219" s="70">
        <v>1</v>
      </c>
    </row>
    <row r="220" spans="11:13" x14ac:dyDescent="0.2">
      <c r="K220" s="76">
        <v>44130</v>
      </c>
      <c r="L220" s="70">
        <v>0.2</v>
      </c>
      <c r="M220" s="70">
        <v>1</v>
      </c>
    </row>
    <row r="221" spans="11:13" x14ac:dyDescent="0.2">
      <c r="K221" s="76">
        <v>44131</v>
      </c>
      <c r="L221" s="70">
        <v>0.2</v>
      </c>
      <c r="M221" s="70">
        <v>1</v>
      </c>
    </row>
    <row r="222" spans="11:13" x14ac:dyDescent="0.2">
      <c r="K222" s="76">
        <v>44132</v>
      </c>
      <c r="L222" s="70">
        <v>0.2</v>
      </c>
      <c r="M222" s="70">
        <v>1</v>
      </c>
    </row>
    <row r="223" spans="11:13" x14ac:dyDescent="0.2">
      <c r="K223" s="76">
        <v>44133</v>
      </c>
      <c r="L223" s="70">
        <v>0.2</v>
      </c>
      <c r="M223" s="70">
        <v>1</v>
      </c>
    </row>
    <row r="224" spans="11:13" x14ac:dyDescent="0.2">
      <c r="K224" s="76">
        <v>44134</v>
      </c>
      <c r="L224" s="70">
        <v>0.2</v>
      </c>
      <c r="M224" s="70">
        <v>1</v>
      </c>
    </row>
    <row r="225" spans="11:13" x14ac:dyDescent="0.2">
      <c r="K225" s="76">
        <v>44135</v>
      </c>
      <c r="L225" s="70">
        <v>0.2</v>
      </c>
      <c r="M225" s="70">
        <v>1</v>
      </c>
    </row>
    <row r="226" spans="11:13" x14ac:dyDescent="0.2">
      <c r="K226" s="76">
        <v>44136</v>
      </c>
      <c r="L226" s="70">
        <v>0.2</v>
      </c>
      <c r="M226" s="70">
        <v>1</v>
      </c>
    </row>
    <row r="227" spans="11:13" x14ac:dyDescent="0.2">
      <c r="K227" s="76">
        <v>44137</v>
      </c>
      <c r="L227" s="70">
        <v>0.2</v>
      </c>
      <c r="M227" s="70">
        <v>1</v>
      </c>
    </row>
    <row r="228" spans="11:13" x14ac:dyDescent="0.2">
      <c r="K228" s="76">
        <v>44138</v>
      </c>
      <c r="L228" s="70">
        <v>0.2</v>
      </c>
      <c r="M228" s="70">
        <v>1</v>
      </c>
    </row>
    <row r="229" spans="11:13" x14ac:dyDescent="0.2">
      <c r="K229" s="76">
        <v>44139</v>
      </c>
      <c r="L229" s="70">
        <v>0.2</v>
      </c>
      <c r="M229" s="70">
        <v>1</v>
      </c>
    </row>
    <row r="230" spans="11:13" x14ac:dyDescent="0.2">
      <c r="K230" s="76">
        <v>44140</v>
      </c>
      <c r="L230" s="70">
        <v>0.2</v>
      </c>
      <c r="M230" s="70">
        <v>1</v>
      </c>
    </row>
    <row r="231" spans="11:13" x14ac:dyDescent="0.2">
      <c r="K231" s="76">
        <v>44141</v>
      </c>
      <c r="L231" s="70">
        <v>0.2</v>
      </c>
      <c r="M231" s="70">
        <v>1</v>
      </c>
    </row>
    <row r="232" spans="11:13" x14ac:dyDescent="0.2">
      <c r="K232" s="76">
        <v>44142</v>
      </c>
      <c r="L232" s="70">
        <v>0.2</v>
      </c>
      <c r="M232" s="70">
        <v>1</v>
      </c>
    </row>
    <row r="233" spans="11:13" x14ac:dyDescent="0.2">
      <c r="K233" s="76">
        <v>44143</v>
      </c>
      <c r="L233" s="70">
        <v>0.2</v>
      </c>
      <c r="M233" s="70">
        <v>1</v>
      </c>
    </row>
    <row r="234" spans="11:13" x14ac:dyDescent="0.2">
      <c r="K234" s="76">
        <v>44144</v>
      </c>
      <c r="L234" s="70">
        <v>0.2</v>
      </c>
      <c r="M234" s="70">
        <v>1</v>
      </c>
    </row>
    <row r="235" spans="11:13" x14ac:dyDescent="0.2">
      <c r="K235" s="76">
        <v>44145</v>
      </c>
      <c r="L235" s="70">
        <v>0.2</v>
      </c>
      <c r="M235" s="70">
        <v>1</v>
      </c>
    </row>
    <row r="236" spans="11:13" x14ac:dyDescent="0.2">
      <c r="K236" s="76">
        <v>44146</v>
      </c>
      <c r="L236" s="70">
        <v>0.2</v>
      </c>
      <c r="M236" s="70">
        <v>1</v>
      </c>
    </row>
    <row r="237" spans="11:13" x14ac:dyDescent="0.2">
      <c r="K237" s="76">
        <v>44147</v>
      </c>
      <c r="L237" s="70">
        <v>0.2</v>
      </c>
      <c r="M237" s="70">
        <v>1</v>
      </c>
    </row>
    <row r="238" spans="11:13" x14ac:dyDescent="0.2">
      <c r="K238" s="76">
        <v>44148</v>
      </c>
      <c r="L238" s="70">
        <v>0.2</v>
      </c>
      <c r="M238" s="70">
        <v>1</v>
      </c>
    </row>
    <row r="239" spans="11:13" x14ac:dyDescent="0.2">
      <c r="K239" s="76">
        <v>44149</v>
      </c>
      <c r="L239" s="70">
        <v>0.2</v>
      </c>
      <c r="M239" s="70">
        <v>1</v>
      </c>
    </row>
    <row r="240" spans="11:13" x14ac:dyDescent="0.2">
      <c r="K240" s="76">
        <v>44150</v>
      </c>
      <c r="L240" s="70">
        <v>0.2</v>
      </c>
      <c r="M240" s="70">
        <v>1</v>
      </c>
    </row>
    <row r="241" spans="11:13" x14ac:dyDescent="0.2">
      <c r="K241" s="76">
        <v>44151</v>
      </c>
      <c r="L241" s="70">
        <v>0.2</v>
      </c>
      <c r="M241" s="70">
        <v>1</v>
      </c>
    </row>
    <row r="242" spans="11:13" x14ac:dyDescent="0.2">
      <c r="K242" s="76">
        <v>44152</v>
      </c>
      <c r="L242" s="70">
        <v>0.2</v>
      </c>
      <c r="M242" s="70">
        <v>1</v>
      </c>
    </row>
    <row r="243" spans="11:13" x14ac:dyDescent="0.2">
      <c r="K243" s="76">
        <v>44153</v>
      </c>
      <c r="L243" s="70">
        <v>0.2</v>
      </c>
      <c r="M243" s="70">
        <v>1</v>
      </c>
    </row>
    <row r="244" spans="11:13" x14ac:dyDescent="0.2">
      <c r="K244" s="76">
        <v>44154</v>
      </c>
      <c r="L244" s="70">
        <v>0.2</v>
      </c>
      <c r="M244" s="70">
        <v>1</v>
      </c>
    </row>
    <row r="245" spans="11:13" x14ac:dyDescent="0.2">
      <c r="K245" s="76">
        <v>44155</v>
      </c>
      <c r="L245" s="70">
        <v>0.2</v>
      </c>
      <c r="M245" s="70">
        <v>1</v>
      </c>
    </row>
    <row r="246" spans="11:13" x14ac:dyDescent="0.2">
      <c r="K246" s="76">
        <v>44156</v>
      </c>
      <c r="L246" s="70">
        <v>0.2</v>
      </c>
      <c r="M246" s="70">
        <v>1</v>
      </c>
    </row>
    <row r="247" spans="11:13" x14ac:dyDescent="0.2">
      <c r="K247" s="76">
        <v>44157</v>
      </c>
      <c r="L247" s="70">
        <v>0.2</v>
      </c>
      <c r="M247" s="70">
        <v>1</v>
      </c>
    </row>
    <row r="248" spans="11:13" x14ac:dyDescent="0.2">
      <c r="K248" s="76">
        <v>44158</v>
      </c>
      <c r="L248" s="70">
        <v>0.2</v>
      </c>
      <c r="M248" s="70">
        <v>1</v>
      </c>
    </row>
    <row r="249" spans="11:13" x14ac:dyDescent="0.2">
      <c r="K249" s="76">
        <v>44159</v>
      </c>
      <c r="L249" s="70">
        <v>0.2</v>
      </c>
      <c r="M249" s="70">
        <v>1</v>
      </c>
    </row>
    <row r="250" spans="11:13" x14ac:dyDescent="0.2">
      <c r="K250" s="76">
        <v>44160</v>
      </c>
      <c r="L250" s="70">
        <v>0.2</v>
      </c>
      <c r="M250" s="70">
        <v>1</v>
      </c>
    </row>
    <row r="251" spans="11:13" x14ac:dyDescent="0.2">
      <c r="K251" s="76">
        <v>44161</v>
      </c>
      <c r="L251" s="70">
        <v>0.2</v>
      </c>
      <c r="M251" s="70">
        <v>1</v>
      </c>
    </row>
    <row r="252" spans="11:13" x14ac:dyDescent="0.2">
      <c r="K252" s="76">
        <v>44162</v>
      </c>
      <c r="L252" s="70">
        <v>0.2</v>
      </c>
      <c r="M252" s="70">
        <v>1</v>
      </c>
    </row>
    <row r="253" spans="11:13" x14ac:dyDescent="0.2">
      <c r="K253" s="76">
        <v>44163</v>
      </c>
      <c r="L253" s="70">
        <v>0.2</v>
      </c>
      <c r="M253" s="70">
        <v>1</v>
      </c>
    </row>
    <row r="254" spans="11:13" x14ac:dyDescent="0.2">
      <c r="K254" s="76">
        <v>44164</v>
      </c>
      <c r="L254" s="70">
        <v>0.2</v>
      </c>
      <c r="M254" s="70">
        <v>1</v>
      </c>
    </row>
    <row r="255" spans="11:13" x14ac:dyDescent="0.2">
      <c r="K255" s="76">
        <v>44165</v>
      </c>
      <c r="L255" s="70">
        <v>0.2</v>
      </c>
      <c r="M255" s="70">
        <v>1</v>
      </c>
    </row>
    <row r="256" spans="11:13" x14ac:dyDescent="0.2">
      <c r="K256" s="76">
        <v>44166</v>
      </c>
      <c r="L256" s="70">
        <v>0.2</v>
      </c>
      <c r="M256" s="70">
        <v>1</v>
      </c>
    </row>
    <row r="257" spans="11:13" x14ac:dyDescent="0.2">
      <c r="K257" s="76">
        <v>44167</v>
      </c>
      <c r="L257" s="70">
        <v>0.2</v>
      </c>
      <c r="M257" s="70">
        <v>1</v>
      </c>
    </row>
    <row r="258" spans="11:13" x14ac:dyDescent="0.2">
      <c r="K258" s="76">
        <v>44168</v>
      </c>
      <c r="L258" s="70">
        <v>0.2</v>
      </c>
      <c r="M258" s="70">
        <v>1</v>
      </c>
    </row>
    <row r="259" spans="11:13" x14ac:dyDescent="0.2">
      <c r="K259" s="76">
        <v>44169</v>
      </c>
      <c r="L259" s="70">
        <v>0.2</v>
      </c>
      <c r="M259" s="70">
        <v>1</v>
      </c>
    </row>
    <row r="260" spans="11:13" x14ac:dyDescent="0.2">
      <c r="K260" s="76">
        <v>44170</v>
      </c>
      <c r="L260" s="70">
        <v>0.2</v>
      </c>
      <c r="M260" s="70">
        <v>1</v>
      </c>
    </row>
    <row r="261" spans="11:13" x14ac:dyDescent="0.2">
      <c r="K261" s="76">
        <v>44171</v>
      </c>
      <c r="L261" s="70">
        <v>0.2</v>
      </c>
      <c r="M261" s="70">
        <v>1</v>
      </c>
    </row>
    <row r="262" spans="11:13" x14ac:dyDescent="0.2">
      <c r="K262" s="76">
        <v>44172</v>
      </c>
      <c r="L262" s="70">
        <v>0.2</v>
      </c>
      <c r="M262" s="70">
        <v>1</v>
      </c>
    </row>
    <row r="263" spans="11:13" x14ac:dyDescent="0.2">
      <c r="K263" s="76">
        <v>44173</v>
      </c>
      <c r="L263" s="70">
        <v>0.2</v>
      </c>
      <c r="M263" s="70">
        <v>1</v>
      </c>
    </row>
    <row r="264" spans="11:13" x14ac:dyDescent="0.2">
      <c r="K264" s="76">
        <v>44174</v>
      </c>
      <c r="L264" s="70">
        <v>0.2</v>
      </c>
      <c r="M264" s="70">
        <v>1</v>
      </c>
    </row>
    <row r="265" spans="11:13" x14ac:dyDescent="0.2">
      <c r="K265" s="76">
        <v>44175</v>
      </c>
      <c r="L265" s="70">
        <v>0.2</v>
      </c>
      <c r="M265" s="70">
        <v>1</v>
      </c>
    </row>
    <row r="266" spans="11:13" x14ac:dyDescent="0.2">
      <c r="K266" s="76">
        <v>44176</v>
      </c>
      <c r="L266" s="70">
        <v>0.2</v>
      </c>
      <c r="M266" s="70">
        <v>1</v>
      </c>
    </row>
    <row r="267" spans="11:13" x14ac:dyDescent="0.2">
      <c r="K267" s="76">
        <v>44177</v>
      </c>
      <c r="L267" s="70">
        <v>0.2</v>
      </c>
      <c r="M267" s="70">
        <v>1</v>
      </c>
    </row>
    <row r="268" spans="11:13" x14ac:dyDescent="0.2">
      <c r="K268" s="76">
        <v>44178</v>
      </c>
      <c r="L268" s="70">
        <v>0.2</v>
      </c>
      <c r="M268" s="70">
        <v>1</v>
      </c>
    </row>
    <row r="269" spans="11:13" x14ac:dyDescent="0.2">
      <c r="K269" s="76">
        <v>44179</v>
      </c>
      <c r="L269" s="70">
        <v>0.2</v>
      </c>
      <c r="M269" s="70">
        <v>1</v>
      </c>
    </row>
    <row r="270" spans="11:13" x14ac:dyDescent="0.2">
      <c r="K270" s="76">
        <v>44180</v>
      </c>
      <c r="L270" s="70">
        <v>0.2</v>
      </c>
      <c r="M270" s="70">
        <v>1</v>
      </c>
    </row>
    <row r="271" spans="11:13" x14ac:dyDescent="0.2">
      <c r="K271" s="76">
        <v>44181</v>
      </c>
      <c r="L271" s="70">
        <v>0.2</v>
      </c>
      <c r="M271" s="70">
        <v>1</v>
      </c>
    </row>
    <row r="272" spans="11:13" x14ac:dyDescent="0.2">
      <c r="K272" s="76">
        <v>44182</v>
      </c>
      <c r="L272" s="70">
        <v>0.2</v>
      </c>
      <c r="M272" s="70">
        <v>1</v>
      </c>
    </row>
    <row r="273" spans="11:13" x14ac:dyDescent="0.2">
      <c r="K273" s="76">
        <v>44183</v>
      </c>
      <c r="L273" s="70">
        <v>0.2</v>
      </c>
      <c r="M273" s="70">
        <v>1</v>
      </c>
    </row>
    <row r="274" spans="11:13" x14ac:dyDescent="0.2">
      <c r="K274" s="76">
        <v>44184</v>
      </c>
      <c r="L274" s="70">
        <v>0.2</v>
      </c>
      <c r="M274" s="70">
        <v>1</v>
      </c>
    </row>
    <row r="275" spans="11:13" x14ac:dyDescent="0.2">
      <c r="K275" s="76">
        <v>44185</v>
      </c>
      <c r="L275" s="70">
        <v>0.2</v>
      </c>
      <c r="M275" s="70">
        <v>1</v>
      </c>
    </row>
    <row r="276" spans="11:13" x14ac:dyDescent="0.2">
      <c r="K276" s="76">
        <v>44186</v>
      </c>
      <c r="L276" s="70">
        <v>0.2</v>
      </c>
      <c r="M276" s="70">
        <v>1</v>
      </c>
    </row>
    <row r="277" spans="11:13" x14ac:dyDescent="0.2">
      <c r="K277" s="76">
        <v>44187</v>
      </c>
      <c r="L277" s="70">
        <v>0.2</v>
      </c>
      <c r="M277" s="70">
        <v>1</v>
      </c>
    </row>
    <row r="278" spans="11:13" x14ac:dyDescent="0.2">
      <c r="K278" s="76">
        <v>44188</v>
      </c>
      <c r="L278" s="70">
        <v>0.2</v>
      </c>
      <c r="M278" s="70">
        <v>1</v>
      </c>
    </row>
    <row r="279" spans="11:13" x14ac:dyDescent="0.2">
      <c r="K279" s="76">
        <v>44189</v>
      </c>
      <c r="L279" s="70">
        <v>0.2</v>
      </c>
      <c r="M279" s="70">
        <v>1</v>
      </c>
    </row>
    <row r="280" spans="11:13" x14ac:dyDescent="0.2">
      <c r="K280" s="76">
        <v>44190</v>
      </c>
      <c r="L280" s="70">
        <v>0.2</v>
      </c>
      <c r="M280" s="70">
        <v>1</v>
      </c>
    </row>
    <row r="281" spans="11:13" x14ac:dyDescent="0.2">
      <c r="K281" s="76">
        <v>44191</v>
      </c>
      <c r="L281" s="70">
        <v>0.2</v>
      </c>
      <c r="M281" s="70">
        <v>1</v>
      </c>
    </row>
    <row r="282" spans="11:13" x14ac:dyDescent="0.2">
      <c r="K282" s="76">
        <v>44192</v>
      </c>
      <c r="L282" s="70">
        <v>0.2</v>
      </c>
      <c r="M282" s="70">
        <v>1</v>
      </c>
    </row>
    <row r="283" spans="11:13" x14ac:dyDescent="0.2">
      <c r="K283" s="76">
        <v>44193</v>
      </c>
      <c r="L283" s="70">
        <v>0.2</v>
      </c>
      <c r="M283" s="70">
        <v>1</v>
      </c>
    </row>
    <row r="284" spans="11:13" x14ac:dyDescent="0.2">
      <c r="K284" s="76">
        <v>44194</v>
      </c>
      <c r="L284" s="70">
        <v>0.2</v>
      </c>
      <c r="M284" s="70">
        <v>1</v>
      </c>
    </row>
    <row r="285" spans="11:13" x14ac:dyDescent="0.2">
      <c r="K285" s="76">
        <v>44195</v>
      </c>
      <c r="L285" s="70">
        <v>0.2</v>
      </c>
      <c r="M285" s="70">
        <v>1</v>
      </c>
    </row>
    <row r="286" spans="11:13" x14ac:dyDescent="0.2">
      <c r="K286" s="76">
        <v>44196</v>
      </c>
      <c r="L286" s="70">
        <v>0.2</v>
      </c>
      <c r="M286" s="70">
        <v>1</v>
      </c>
    </row>
    <row r="287" spans="11:13" x14ac:dyDescent="0.2">
      <c r="K287" s="76">
        <v>44197</v>
      </c>
      <c r="L287" s="70">
        <v>0.2</v>
      </c>
      <c r="M287" s="70">
        <v>1</v>
      </c>
    </row>
    <row r="288" spans="11:13" x14ac:dyDescent="0.2">
      <c r="K288" s="76">
        <v>44198</v>
      </c>
      <c r="L288" s="70">
        <v>0.2</v>
      </c>
      <c r="M288" s="70">
        <v>1</v>
      </c>
    </row>
    <row r="289" spans="11:13" x14ac:dyDescent="0.2">
      <c r="K289" s="76">
        <v>44199</v>
      </c>
      <c r="L289" s="70">
        <v>0.2</v>
      </c>
      <c r="M289" s="70">
        <v>1</v>
      </c>
    </row>
    <row r="290" spans="11:13" x14ac:dyDescent="0.2">
      <c r="K290" s="76">
        <v>44200</v>
      </c>
      <c r="L290" s="70">
        <v>0.2</v>
      </c>
      <c r="M290" s="70">
        <v>1</v>
      </c>
    </row>
    <row r="291" spans="11:13" x14ac:dyDescent="0.2">
      <c r="K291" s="76">
        <v>44201</v>
      </c>
      <c r="L291" s="70">
        <v>0.2</v>
      </c>
      <c r="M291" s="70">
        <v>1</v>
      </c>
    </row>
    <row r="292" spans="11:13" x14ac:dyDescent="0.2">
      <c r="K292" s="76">
        <v>44202</v>
      </c>
      <c r="L292" s="70">
        <v>0.2</v>
      </c>
      <c r="M292" s="70">
        <v>1</v>
      </c>
    </row>
    <row r="293" spans="11:13" x14ac:dyDescent="0.2">
      <c r="K293" s="76">
        <v>44203</v>
      </c>
      <c r="L293" s="70">
        <v>0.2</v>
      </c>
      <c r="M293" s="70">
        <v>1</v>
      </c>
    </row>
    <row r="294" spans="11:13" x14ac:dyDescent="0.2">
      <c r="K294" s="76">
        <v>44204</v>
      </c>
      <c r="L294" s="70">
        <v>0.2</v>
      </c>
      <c r="M294" s="70">
        <v>1</v>
      </c>
    </row>
    <row r="295" spans="11:13" x14ac:dyDescent="0.2">
      <c r="K295" s="76">
        <v>44205</v>
      </c>
      <c r="L295" s="70">
        <v>0.2</v>
      </c>
      <c r="M295" s="70">
        <v>1</v>
      </c>
    </row>
    <row r="296" spans="11:13" x14ac:dyDescent="0.2">
      <c r="K296" s="76">
        <v>44206</v>
      </c>
      <c r="L296" s="70">
        <v>0.2</v>
      </c>
      <c r="M296" s="70">
        <v>1</v>
      </c>
    </row>
    <row r="297" spans="11:13" x14ac:dyDescent="0.2">
      <c r="K297" s="76">
        <v>44207</v>
      </c>
      <c r="L297" s="70">
        <v>0.2</v>
      </c>
      <c r="M297" s="70">
        <v>1</v>
      </c>
    </row>
    <row r="298" spans="11:13" x14ac:dyDescent="0.2">
      <c r="K298" s="76">
        <v>44208</v>
      </c>
      <c r="L298" s="70">
        <v>0.2</v>
      </c>
      <c r="M298" s="70">
        <v>1</v>
      </c>
    </row>
    <row r="299" spans="11:13" x14ac:dyDescent="0.2">
      <c r="K299" s="76">
        <v>44209</v>
      </c>
      <c r="L299" s="70">
        <v>0.2</v>
      </c>
      <c r="M299" s="70">
        <v>1</v>
      </c>
    </row>
    <row r="300" spans="11:13" x14ac:dyDescent="0.2">
      <c r="K300" s="76">
        <v>44210</v>
      </c>
      <c r="L300" s="70">
        <v>0.2</v>
      </c>
      <c r="M300" s="70">
        <v>1</v>
      </c>
    </row>
    <row r="301" spans="11:13" x14ac:dyDescent="0.2">
      <c r="K301" s="76">
        <v>44211</v>
      </c>
      <c r="L301" s="70">
        <v>0.2</v>
      </c>
      <c r="M301" s="70">
        <v>1</v>
      </c>
    </row>
    <row r="302" spans="11:13" x14ac:dyDescent="0.2">
      <c r="K302" s="76">
        <v>44212</v>
      </c>
      <c r="L302" s="70">
        <v>0.2</v>
      </c>
      <c r="M302" s="70">
        <v>1</v>
      </c>
    </row>
    <row r="303" spans="11:13" x14ac:dyDescent="0.2">
      <c r="K303" s="76">
        <v>44213</v>
      </c>
      <c r="L303" s="70">
        <v>0.2</v>
      </c>
      <c r="M303" s="70">
        <v>1</v>
      </c>
    </row>
    <row r="304" spans="11:13" x14ac:dyDescent="0.2">
      <c r="K304" s="76">
        <v>44214</v>
      </c>
      <c r="L304" s="70">
        <v>0.2</v>
      </c>
      <c r="M304" s="70">
        <v>1</v>
      </c>
    </row>
    <row r="305" spans="11:13" x14ac:dyDescent="0.2">
      <c r="K305" s="76">
        <v>44215</v>
      </c>
      <c r="L305" s="70">
        <v>0.2</v>
      </c>
      <c r="M305" s="70">
        <v>1</v>
      </c>
    </row>
    <row r="306" spans="11:13" x14ac:dyDescent="0.2">
      <c r="K306" s="76">
        <v>44216</v>
      </c>
      <c r="L306" s="70">
        <v>0.2</v>
      </c>
      <c r="M306" s="70">
        <v>1</v>
      </c>
    </row>
    <row r="307" spans="11:13" x14ac:dyDescent="0.2">
      <c r="K307" s="76">
        <v>44217</v>
      </c>
      <c r="L307" s="70">
        <v>0.2</v>
      </c>
      <c r="M307" s="70">
        <v>1</v>
      </c>
    </row>
    <row r="308" spans="11:13" x14ac:dyDescent="0.2">
      <c r="K308" s="76">
        <v>44218</v>
      </c>
      <c r="L308" s="70">
        <v>0.2</v>
      </c>
      <c r="M308" s="70">
        <v>1</v>
      </c>
    </row>
    <row r="309" spans="11:13" x14ac:dyDescent="0.2">
      <c r="K309" s="76">
        <v>44219</v>
      </c>
      <c r="L309" s="70">
        <v>0.2</v>
      </c>
      <c r="M309" s="70">
        <v>1</v>
      </c>
    </row>
    <row r="310" spans="11:13" x14ac:dyDescent="0.2">
      <c r="K310" s="76">
        <v>44220</v>
      </c>
      <c r="L310" s="70">
        <v>0.2</v>
      </c>
      <c r="M310" s="70">
        <v>1</v>
      </c>
    </row>
    <row r="311" spans="11:13" x14ac:dyDescent="0.2">
      <c r="K311" s="76">
        <v>44221</v>
      </c>
      <c r="L311" s="70">
        <v>0.2</v>
      </c>
      <c r="M311" s="70">
        <v>1</v>
      </c>
    </row>
    <row r="312" spans="11:13" x14ac:dyDescent="0.2">
      <c r="K312" s="76">
        <v>44222</v>
      </c>
      <c r="L312" s="70">
        <v>0.2</v>
      </c>
      <c r="M312" s="70">
        <v>1</v>
      </c>
    </row>
    <row r="313" spans="11:13" x14ac:dyDescent="0.2">
      <c r="K313" s="76">
        <v>44223</v>
      </c>
      <c r="L313" s="70">
        <v>0.2</v>
      </c>
      <c r="M313" s="70">
        <v>1</v>
      </c>
    </row>
    <row r="314" spans="11:13" x14ac:dyDescent="0.2">
      <c r="K314" s="76">
        <v>44224</v>
      </c>
      <c r="L314" s="70">
        <v>0.2</v>
      </c>
      <c r="M314" s="70">
        <v>1</v>
      </c>
    </row>
    <row r="315" spans="11:13" x14ac:dyDescent="0.2">
      <c r="K315" s="76">
        <v>44225</v>
      </c>
      <c r="L315" s="70">
        <v>0.2</v>
      </c>
      <c r="M315" s="70">
        <v>1</v>
      </c>
    </row>
    <row r="316" spans="11:13" x14ac:dyDescent="0.2">
      <c r="K316" s="76">
        <v>44226</v>
      </c>
      <c r="L316" s="70">
        <v>0.2</v>
      </c>
      <c r="M316" s="70">
        <v>1</v>
      </c>
    </row>
    <row r="317" spans="11:13" x14ac:dyDescent="0.2">
      <c r="K317" s="76">
        <v>44227</v>
      </c>
      <c r="L317" s="70">
        <v>0.2</v>
      </c>
      <c r="M317" s="70">
        <v>1</v>
      </c>
    </row>
    <row r="318" spans="11:13" x14ac:dyDescent="0.2">
      <c r="K318" s="76">
        <v>44228</v>
      </c>
      <c r="L318" s="70">
        <v>0.2</v>
      </c>
      <c r="M318" s="70">
        <v>1</v>
      </c>
    </row>
    <row r="319" spans="11:13" x14ac:dyDescent="0.2">
      <c r="K319" s="76">
        <v>44229</v>
      </c>
      <c r="L319" s="70">
        <v>0.2</v>
      </c>
      <c r="M319" s="70">
        <v>1</v>
      </c>
    </row>
    <row r="320" spans="11:13" x14ac:dyDescent="0.2">
      <c r="K320" s="76">
        <v>44230</v>
      </c>
      <c r="L320" s="70">
        <v>0.2</v>
      </c>
      <c r="M320" s="70">
        <v>1</v>
      </c>
    </row>
    <row r="321" spans="11:13" x14ac:dyDescent="0.2">
      <c r="K321" s="76">
        <v>44231</v>
      </c>
      <c r="L321" s="70">
        <v>0.2</v>
      </c>
      <c r="M321" s="70">
        <v>1</v>
      </c>
    </row>
    <row r="322" spans="11:13" x14ac:dyDescent="0.2">
      <c r="K322" s="76">
        <v>44232</v>
      </c>
      <c r="L322" s="70">
        <v>0.2</v>
      </c>
      <c r="M322" s="70">
        <v>1</v>
      </c>
    </row>
    <row r="323" spans="11:13" x14ac:dyDescent="0.2">
      <c r="K323" s="76">
        <v>44233</v>
      </c>
      <c r="L323" s="70">
        <v>0.2</v>
      </c>
      <c r="M323" s="70">
        <v>1</v>
      </c>
    </row>
    <row r="324" spans="11:13" x14ac:dyDescent="0.2">
      <c r="K324" s="76">
        <v>44234</v>
      </c>
      <c r="L324" s="70">
        <v>0.2</v>
      </c>
      <c r="M324" s="70">
        <v>1</v>
      </c>
    </row>
    <row r="325" spans="11:13" x14ac:dyDescent="0.2">
      <c r="K325" s="76">
        <v>44235</v>
      </c>
      <c r="L325" s="70">
        <v>0.2</v>
      </c>
      <c r="M325" s="70">
        <v>1</v>
      </c>
    </row>
    <row r="326" spans="11:13" x14ac:dyDescent="0.2">
      <c r="K326" s="76">
        <v>44236</v>
      </c>
      <c r="L326" s="70">
        <v>0.2</v>
      </c>
      <c r="M326" s="70">
        <v>1</v>
      </c>
    </row>
    <row r="327" spans="11:13" x14ac:dyDescent="0.2">
      <c r="K327" s="76">
        <v>44237</v>
      </c>
      <c r="L327" s="70">
        <v>0.2</v>
      </c>
      <c r="M327" s="70">
        <v>1</v>
      </c>
    </row>
    <row r="328" spans="11:13" x14ac:dyDescent="0.2">
      <c r="K328" s="76">
        <v>44238</v>
      </c>
      <c r="L328" s="70">
        <v>0.2</v>
      </c>
      <c r="M328" s="70">
        <v>1</v>
      </c>
    </row>
    <row r="329" spans="11:13" x14ac:dyDescent="0.2">
      <c r="K329" s="76">
        <v>44239</v>
      </c>
      <c r="L329" s="70">
        <v>0.2</v>
      </c>
      <c r="M329" s="70">
        <v>1</v>
      </c>
    </row>
    <row r="330" spans="11:13" x14ac:dyDescent="0.2">
      <c r="K330" s="76">
        <v>44240</v>
      </c>
      <c r="L330" s="70">
        <v>0.2</v>
      </c>
      <c r="M330" s="70">
        <v>1</v>
      </c>
    </row>
    <row r="331" spans="11:13" x14ac:dyDescent="0.2">
      <c r="K331" s="76">
        <v>44241</v>
      </c>
      <c r="L331" s="70">
        <v>0.2</v>
      </c>
      <c r="M331" s="70">
        <v>1</v>
      </c>
    </row>
    <row r="332" spans="11:13" x14ac:dyDescent="0.2">
      <c r="K332" s="76">
        <v>44242</v>
      </c>
      <c r="L332" s="70">
        <v>0.2</v>
      </c>
      <c r="M332" s="70">
        <v>1</v>
      </c>
    </row>
    <row r="333" spans="11:13" x14ac:dyDescent="0.2">
      <c r="K333" s="76">
        <v>44243</v>
      </c>
      <c r="L333" s="70">
        <v>0.2</v>
      </c>
      <c r="M333" s="70">
        <v>1</v>
      </c>
    </row>
    <row r="334" spans="11:13" x14ac:dyDescent="0.2">
      <c r="K334" s="76">
        <v>44244</v>
      </c>
      <c r="L334" s="70">
        <v>0.2</v>
      </c>
      <c r="M334" s="70">
        <v>1</v>
      </c>
    </row>
    <row r="335" spans="11:13" x14ac:dyDescent="0.2">
      <c r="K335" s="76">
        <v>44245</v>
      </c>
      <c r="L335" s="70">
        <v>0.2</v>
      </c>
      <c r="M335" s="70">
        <v>1</v>
      </c>
    </row>
    <row r="336" spans="11:13" x14ac:dyDescent="0.2">
      <c r="K336" s="76">
        <v>44246</v>
      </c>
      <c r="L336" s="70">
        <v>0.2</v>
      </c>
      <c r="M336" s="70">
        <v>1</v>
      </c>
    </row>
    <row r="337" spans="11:13" x14ac:dyDescent="0.2">
      <c r="K337" s="76">
        <v>44247</v>
      </c>
      <c r="L337" s="70">
        <v>0.2</v>
      </c>
      <c r="M337" s="70">
        <v>1</v>
      </c>
    </row>
    <row r="338" spans="11:13" x14ac:dyDescent="0.2">
      <c r="K338" s="76">
        <v>44248</v>
      </c>
      <c r="L338" s="70">
        <v>0.2</v>
      </c>
      <c r="M338" s="70">
        <v>1</v>
      </c>
    </row>
    <row r="339" spans="11:13" x14ac:dyDescent="0.2">
      <c r="K339" s="76">
        <v>44249</v>
      </c>
      <c r="L339" s="70">
        <v>0.2</v>
      </c>
      <c r="M339" s="70">
        <v>1</v>
      </c>
    </row>
    <row r="340" spans="11:13" x14ac:dyDescent="0.2">
      <c r="K340" s="76">
        <v>44250</v>
      </c>
      <c r="L340" s="70">
        <v>0.2</v>
      </c>
      <c r="M340" s="70">
        <v>1</v>
      </c>
    </row>
    <row r="341" spans="11:13" x14ac:dyDescent="0.2">
      <c r="K341" s="76">
        <v>44251</v>
      </c>
      <c r="L341" s="70">
        <v>0.2</v>
      </c>
      <c r="M341" s="70">
        <v>1</v>
      </c>
    </row>
    <row r="342" spans="11:13" x14ac:dyDescent="0.2">
      <c r="K342" s="76">
        <v>44252</v>
      </c>
      <c r="L342" s="70">
        <v>0.2</v>
      </c>
      <c r="M342" s="70">
        <v>1</v>
      </c>
    </row>
    <row r="343" spans="11:13" x14ac:dyDescent="0.2">
      <c r="K343" s="76">
        <v>44253</v>
      </c>
      <c r="L343" s="70">
        <v>0.2</v>
      </c>
      <c r="M343" s="70">
        <v>1</v>
      </c>
    </row>
    <row r="344" spans="11:13" x14ac:dyDescent="0.2">
      <c r="K344" s="76">
        <v>44254</v>
      </c>
      <c r="L344" s="70">
        <v>0.2</v>
      </c>
      <c r="M344" s="70">
        <v>1</v>
      </c>
    </row>
    <row r="345" spans="11:13" x14ac:dyDescent="0.2">
      <c r="K345" s="76">
        <v>44255</v>
      </c>
      <c r="L345" s="70">
        <v>0.2</v>
      </c>
      <c r="M345" s="70">
        <v>1</v>
      </c>
    </row>
    <row r="346" spans="11:13" x14ac:dyDescent="0.2">
      <c r="K346" s="76">
        <v>44256</v>
      </c>
      <c r="L346" s="70">
        <v>0.2</v>
      </c>
      <c r="M346" s="70">
        <v>1</v>
      </c>
    </row>
    <row r="347" spans="11:13" x14ac:dyDescent="0.2">
      <c r="K347" s="76">
        <v>44257</v>
      </c>
      <c r="L347" s="70">
        <v>0.2</v>
      </c>
      <c r="M347" s="70">
        <v>1</v>
      </c>
    </row>
    <row r="348" spans="11:13" x14ac:dyDescent="0.2">
      <c r="K348" s="76">
        <v>44258</v>
      </c>
      <c r="L348" s="70">
        <v>0.2</v>
      </c>
      <c r="M348" s="70">
        <v>1</v>
      </c>
    </row>
    <row r="349" spans="11:13" x14ac:dyDescent="0.2">
      <c r="K349" s="76">
        <v>44259</v>
      </c>
      <c r="L349" s="70">
        <v>0.2</v>
      </c>
      <c r="M349" s="70">
        <v>1</v>
      </c>
    </row>
    <row r="350" spans="11:13" x14ac:dyDescent="0.2">
      <c r="K350" s="76">
        <v>44260</v>
      </c>
      <c r="L350" s="70">
        <v>0.2</v>
      </c>
      <c r="M350" s="70">
        <v>1</v>
      </c>
    </row>
    <row r="351" spans="11:13" x14ac:dyDescent="0.2">
      <c r="K351" s="76">
        <v>44261</v>
      </c>
      <c r="L351" s="70">
        <v>0.2</v>
      </c>
      <c r="M351" s="70">
        <v>1</v>
      </c>
    </row>
    <row r="352" spans="11:13" x14ac:dyDescent="0.2">
      <c r="K352" s="76">
        <v>44262</v>
      </c>
      <c r="L352" s="70">
        <v>0.2</v>
      </c>
      <c r="M352" s="70">
        <v>1</v>
      </c>
    </row>
    <row r="353" spans="11:13" x14ac:dyDescent="0.2">
      <c r="K353" s="76">
        <v>44263</v>
      </c>
      <c r="L353" s="70">
        <v>0.2</v>
      </c>
      <c r="M353" s="70">
        <v>1</v>
      </c>
    </row>
    <row r="354" spans="11:13" x14ac:dyDescent="0.2">
      <c r="K354" s="76">
        <v>44264</v>
      </c>
      <c r="L354" s="70">
        <v>0.2</v>
      </c>
      <c r="M354" s="70">
        <v>1</v>
      </c>
    </row>
    <row r="355" spans="11:13" x14ac:dyDescent="0.2">
      <c r="K355" s="76">
        <v>44265</v>
      </c>
      <c r="L355" s="70">
        <v>0.2</v>
      </c>
      <c r="M355" s="70">
        <v>1</v>
      </c>
    </row>
    <row r="356" spans="11:13" x14ac:dyDescent="0.2">
      <c r="K356" s="76">
        <v>44266</v>
      </c>
      <c r="L356" s="70">
        <v>0.2</v>
      </c>
      <c r="M356" s="70">
        <v>1</v>
      </c>
    </row>
    <row r="357" spans="11:13" x14ac:dyDescent="0.2">
      <c r="K357" s="76">
        <v>44267</v>
      </c>
      <c r="L357" s="70">
        <v>0.2</v>
      </c>
      <c r="M357" s="70">
        <v>1</v>
      </c>
    </row>
    <row r="358" spans="11:13" x14ac:dyDescent="0.2">
      <c r="K358" s="76">
        <v>44268</v>
      </c>
      <c r="L358" s="70">
        <v>0.2</v>
      </c>
      <c r="M358" s="70">
        <v>1</v>
      </c>
    </row>
    <row r="359" spans="11:13" x14ac:dyDescent="0.2">
      <c r="K359" s="76">
        <v>44269</v>
      </c>
      <c r="L359" s="70">
        <v>0.2</v>
      </c>
      <c r="M359" s="70">
        <v>1</v>
      </c>
    </row>
    <row r="360" spans="11:13" x14ac:dyDescent="0.2">
      <c r="K360" s="76">
        <v>44270</v>
      </c>
      <c r="L360" s="70">
        <v>0.2</v>
      </c>
      <c r="M360" s="70">
        <v>1</v>
      </c>
    </row>
    <row r="361" spans="11:13" x14ac:dyDescent="0.2">
      <c r="K361" s="76">
        <v>44271</v>
      </c>
      <c r="L361" s="70">
        <v>0.2</v>
      </c>
      <c r="M361" s="70">
        <v>1</v>
      </c>
    </row>
    <row r="362" spans="11:13" x14ac:dyDescent="0.2">
      <c r="K362" s="76">
        <v>44272</v>
      </c>
      <c r="L362" s="70">
        <v>0.2</v>
      </c>
      <c r="M362" s="70">
        <v>1</v>
      </c>
    </row>
    <row r="363" spans="11:13" x14ac:dyDescent="0.2">
      <c r="K363" s="76">
        <v>44273</v>
      </c>
      <c r="L363" s="70">
        <v>0.2</v>
      </c>
      <c r="M363" s="70">
        <v>1</v>
      </c>
    </row>
    <row r="364" spans="11:13" x14ac:dyDescent="0.2">
      <c r="K364" s="76">
        <v>44274</v>
      </c>
      <c r="L364" s="70">
        <v>0.2</v>
      </c>
      <c r="M364" s="70">
        <v>1</v>
      </c>
    </row>
    <row r="365" spans="11:13" x14ac:dyDescent="0.2">
      <c r="K365" s="76">
        <v>44275</v>
      </c>
      <c r="L365" s="70">
        <v>0.2</v>
      </c>
      <c r="M365" s="70">
        <v>1</v>
      </c>
    </row>
    <row r="366" spans="11:13" x14ac:dyDescent="0.2">
      <c r="K366" s="76">
        <v>44276</v>
      </c>
      <c r="L366" s="70">
        <v>0.2</v>
      </c>
      <c r="M366" s="70">
        <v>1</v>
      </c>
    </row>
    <row r="367" spans="11:13" x14ac:dyDescent="0.2">
      <c r="K367" s="76">
        <v>44277</v>
      </c>
      <c r="L367" s="70">
        <v>0.2</v>
      </c>
      <c r="M367" s="70">
        <v>1</v>
      </c>
    </row>
    <row r="368" spans="11:13" x14ac:dyDescent="0.2">
      <c r="K368" s="76">
        <v>44278</v>
      </c>
      <c r="L368" s="70">
        <v>0.2</v>
      </c>
      <c r="M368" s="70">
        <v>1</v>
      </c>
    </row>
    <row r="369" spans="11:13" x14ac:dyDescent="0.2">
      <c r="K369" s="76">
        <v>44279</v>
      </c>
      <c r="L369" s="70">
        <v>0.2</v>
      </c>
      <c r="M369" s="70">
        <v>1</v>
      </c>
    </row>
    <row r="370" spans="11:13" x14ac:dyDescent="0.2">
      <c r="K370" s="76">
        <v>44280</v>
      </c>
      <c r="L370" s="70">
        <v>0.2</v>
      </c>
      <c r="M370" s="70">
        <v>1</v>
      </c>
    </row>
    <row r="371" spans="11:13" x14ac:dyDescent="0.2">
      <c r="K371" s="76">
        <v>44281</v>
      </c>
      <c r="L371" s="70">
        <v>0.2</v>
      </c>
      <c r="M371" s="70">
        <v>1</v>
      </c>
    </row>
    <row r="372" spans="11:13" x14ac:dyDescent="0.2">
      <c r="K372" s="76">
        <v>44282</v>
      </c>
      <c r="L372" s="70">
        <v>0.2</v>
      </c>
      <c r="M372" s="70">
        <v>1</v>
      </c>
    </row>
    <row r="373" spans="11:13" x14ac:dyDescent="0.2">
      <c r="K373" s="76">
        <v>44283</v>
      </c>
      <c r="L373" s="70">
        <v>0.2</v>
      </c>
      <c r="M373" s="70">
        <v>1</v>
      </c>
    </row>
    <row r="374" spans="11:13" x14ac:dyDescent="0.2">
      <c r="K374" s="76">
        <v>44284</v>
      </c>
      <c r="L374" s="70">
        <v>0.2</v>
      </c>
      <c r="M374" s="70">
        <v>1</v>
      </c>
    </row>
    <row r="375" spans="11:13" x14ac:dyDescent="0.2">
      <c r="K375" s="76">
        <v>44285</v>
      </c>
      <c r="L375" s="70">
        <v>0.2</v>
      </c>
      <c r="M375" s="70">
        <v>1</v>
      </c>
    </row>
    <row r="376" spans="11:13" x14ac:dyDescent="0.2">
      <c r="K376" s="76">
        <v>44286</v>
      </c>
      <c r="L376" s="70">
        <v>0.2</v>
      </c>
      <c r="M376" s="70">
        <v>1</v>
      </c>
    </row>
    <row r="377" spans="11:13" x14ac:dyDescent="0.2">
      <c r="K377" s="76">
        <v>44287</v>
      </c>
      <c r="L377" s="70">
        <v>0.2</v>
      </c>
      <c r="M377" s="70">
        <v>1</v>
      </c>
    </row>
    <row r="378" spans="11:13" x14ac:dyDescent="0.2">
      <c r="K378" s="76">
        <v>44288</v>
      </c>
      <c r="L378" s="70">
        <v>0.2</v>
      </c>
      <c r="M378" s="70">
        <v>1</v>
      </c>
    </row>
    <row r="379" spans="11:13" x14ac:dyDescent="0.2">
      <c r="K379" s="76">
        <v>44289</v>
      </c>
      <c r="L379" s="70">
        <v>0.2</v>
      </c>
      <c r="M379" s="70">
        <v>1</v>
      </c>
    </row>
    <row r="380" spans="11:13" x14ac:dyDescent="0.2">
      <c r="K380" s="76">
        <v>44290</v>
      </c>
      <c r="L380" s="70">
        <v>0.2</v>
      </c>
      <c r="M380" s="70">
        <v>1</v>
      </c>
    </row>
    <row r="381" spans="11:13" x14ac:dyDescent="0.2">
      <c r="K381" s="76">
        <v>44291</v>
      </c>
      <c r="L381" s="70">
        <v>0.2</v>
      </c>
      <c r="M381" s="70">
        <v>1</v>
      </c>
    </row>
    <row r="382" spans="11:13" x14ac:dyDescent="0.2">
      <c r="K382" s="76">
        <v>44292</v>
      </c>
      <c r="L382" s="70">
        <v>0.2</v>
      </c>
      <c r="M382" s="70">
        <v>1</v>
      </c>
    </row>
    <row r="383" spans="11:13" x14ac:dyDescent="0.2">
      <c r="K383" s="76">
        <v>44293</v>
      </c>
      <c r="L383" s="70">
        <v>0.2</v>
      </c>
      <c r="M383" s="70">
        <v>1</v>
      </c>
    </row>
    <row r="384" spans="11:13" x14ac:dyDescent="0.2">
      <c r="K384" s="76">
        <v>44294</v>
      </c>
      <c r="L384" s="70">
        <v>0.2</v>
      </c>
      <c r="M384" s="70">
        <v>1</v>
      </c>
    </row>
    <row r="385" spans="11:13" x14ac:dyDescent="0.2">
      <c r="K385" s="76">
        <v>44295</v>
      </c>
      <c r="L385" s="70">
        <v>0.2</v>
      </c>
      <c r="M385" s="70">
        <v>1</v>
      </c>
    </row>
    <row r="386" spans="11:13" x14ac:dyDescent="0.2">
      <c r="K386" s="76">
        <v>44296</v>
      </c>
      <c r="L386" s="70">
        <v>0.2</v>
      </c>
      <c r="M386" s="70">
        <v>1</v>
      </c>
    </row>
    <row r="387" spans="11:13" x14ac:dyDescent="0.2">
      <c r="K387" s="76">
        <v>44297</v>
      </c>
      <c r="L387" s="70">
        <v>0.2</v>
      </c>
      <c r="M387" s="70">
        <v>1</v>
      </c>
    </row>
    <row r="388" spans="11:13" x14ac:dyDescent="0.2">
      <c r="K388" s="76">
        <v>44298</v>
      </c>
      <c r="L388" s="70">
        <v>0.2</v>
      </c>
      <c r="M388" s="70">
        <v>1</v>
      </c>
    </row>
    <row r="389" spans="11:13" x14ac:dyDescent="0.2">
      <c r="K389" s="76">
        <v>44299</v>
      </c>
      <c r="L389" s="70">
        <v>0.2</v>
      </c>
      <c r="M389" s="70">
        <v>1</v>
      </c>
    </row>
    <row r="390" spans="11:13" x14ac:dyDescent="0.2">
      <c r="K390" s="76">
        <v>44300</v>
      </c>
      <c r="L390" s="70">
        <v>0.2</v>
      </c>
      <c r="M390" s="70">
        <v>1</v>
      </c>
    </row>
    <row r="391" spans="11:13" x14ac:dyDescent="0.2">
      <c r="K391" s="76">
        <v>44301</v>
      </c>
      <c r="L391" s="70">
        <v>0.2</v>
      </c>
      <c r="M391" s="70">
        <v>1</v>
      </c>
    </row>
    <row r="392" spans="11:13" x14ac:dyDescent="0.2">
      <c r="K392" s="76">
        <v>44302</v>
      </c>
      <c r="L392" s="70">
        <v>0.2</v>
      </c>
      <c r="M392" s="70">
        <v>1</v>
      </c>
    </row>
    <row r="393" spans="11:13" x14ac:dyDescent="0.2">
      <c r="K393" s="76">
        <v>44303</v>
      </c>
      <c r="L393" s="70">
        <v>0.2</v>
      </c>
      <c r="M393" s="70">
        <v>1</v>
      </c>
    </row>
    <row r="394" spans="11:13" x14ac:dyDescent="0.2">
      <c r="K394" s="76">
        <v>44304</v>
      </c>
      <c r="L394" s="70">
        <v>0.2</v>
      </c>
      <c r="M394" s="70">
        <v>1</v>
      </c>
    </row>
    <row r="395" spans="11:13" x14ac:dyDescent="0.2">
      <c r="K395" s="76">
        <v>44305</v>
      </c>
      <c r="L395" s="70">
        <v>0.2</v>
      </c>
      <c r="M395" s="70">
        <v>1</v>
      </c>
    </row>
    <row r="396" spans="11:13" x14ac:dyDescent="0.2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P26" sqref="P26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6">
        <v>43913</v>
      </c>
      <c r="L3" s="70">
        <v>0.5</v>
      </c>
      <c r="M3" s="70">
        <v>0.16</v>
      </c>
    </row>
    <row r="4" spans="11:13" x14ac:dyDescent="0.2">
      <c r="K4" s="76">
        <v>43914</v>
      </c>
      <c r="L4" s="70">
        <v>0.5</v>
      </c>
      <c r="M4" s="70">
        <v>0.16</v>
      </c>
    </row>
    <row r="5" spans="11:13" x14ac:dyDescent="0.2">
      <c r="K5" s="76">
        <v>43915</v>
      </c>
      <c r="L5" s="70">
        <v>0.5</v>
      </c>
      <c r="M5" s="70">
        <v>0.16</v>
      </c>
    </row>
    <row r="6" spans="11:13" x14ac:dyDescent="0.2">
      <c r="K6" s="76">
        <v>43916</v>
      </c>
      <c r="L6" s="70">
        <v>0.5</v>
      </c>
      <c r="M6" s="70">
        <v>0.16</v>
      </c>
    </row>
    <row r="7" spans="11:13" x14ac:dyDescent="0.2">
      <c r="K7" s="76">
        <v>43917</v>
      </c>
      <c r="L7" s="70">
        <v>0.5</v>
      </c>
      <c r="M7" s="70">
        <v>0.16</v>
      </c>
    </row>
    <row r="8" spans="11:13" x14ac:dyDescent="0.2">
      <c r="K8" s="76">
        <v>43918</v>
      </c>
      <c r="L8" s="70">
        <v>0.5</v>
      </c>
      <c r="M8" s="70">
        <v>0.16</v>
      </c>
    </row>
    <row r="9" spans="11:13" x14ac:dyDescent="0.2">
      <c r="K9" s="76">
        <v>43919</v>
      </c>
      <c r="L9" s="70">
        <v>0.5</v>
      </c>
      <c r="M9" s="70">
        <v>0.16</v>
      </c>
    </row>
    <row r="10" spans="11:13" x14ac:dyDescent="0.2">
      <c r="K10" s="76">
        <v>43920</v>
      </c>
      <c r="L10" s="70">
        <v>0.5</v>
      </c>
      <c r="M10" s="70">
        <v>0.16</v>
      </c>
    </row>
    <row r="11" spans="11:13" x14ac:dyDescent="0.2">
      <c r="K11" s="76">
        <v>43921</v>
      </c>
      <c r="L11" s="70">
        <v>0.5</v>
      </c>
      <c r="M11" s="70">
        <v>0.16</v>
      </c>
    </row>
    <row r="12" spans="11:13" x14ac:dyDescent="0.2">
      <c r="K12" s="76">
        <v>43922</v>
      </c>
      <c r="L12" s="70">
        <v>0.5</v>
      </c>
      <c r="M12" s="70">
        <v>0.16</v>
      </c>
    </row>
    <row r="13" spans="11:13" x14ac:dyDescent="0.2">
      <c r="K13" s="76">
        <v>43923</v>
      </c>
      <c r="L13" s="70">
        <v>0.5</v>
      </c>
      <c r="M13" s="70">
        <v>0.16</v>
      </c>
    </row>
    <row r="14" spans="11:13" x14ac:dyDescent="0.2">
      <c r="K14" s="76">
        <v>43924</v>
      </c>
      <c r="L14" s="70">
        <v>0.5</v>
      </c>
      <c r="M14" s="70">
        <v>0.16</v>
      </c>
    </row>
    <row r="15" spans="11:13" x14ac:dyDescent="0.2">
      <c r="K15" s="76">
        <v>43925</v>
      </c>
      <c r="L15" s="70">
        <v>0.5</v>
      </c>
      <c r="M15" s="70">
        <v>0.16</v>
      </c>
    </row>
    <row r="16" spans="11:13" x14ac:dyDescent="0.2">
      <c r="K16" s="76">
        <v>43926</v>
      </c>
      <c r="L16" s="70">
        <v>0.5</v>
      </c>
      <c r="M16" s="70">
        <v>0.16</v>
      </c>
    </row>
    <row r="17" spans="11:13" x14ac:dyDescent="0.2">
      <c r="K17" s="76">
        <v>43927</v>
      </c>
      <c r="L17" s="70">
        <v>0.5</v>
      </c>
      <c r="M17" s="70">
        <v>0.16</v>
      </c>
    </row>
    <row r="18" spans="11:13" x14ac:dyDescent="0.2">
      <c r="K18" s="76">
        <v>43928</v>
      </c>
      <c r="L18" s="70">
        <v>0.5</v>
      </c>
      <c r="M18" s="70">
        <v>0.16</v>
      </c>
    </row>
    <row r="19" spans="11:13" x14ac:dyDescent="0.2">
      <c r="K19" s="76">
        <v>43929</v>
      </c>
      <c r="L19" s="70">
        <v>0.5</v>
      </c>
      <c r="M19" s="70">
        <v>0.16</v>
      </c>
    </row>
    <row r="20" spans="11:13" x14ac:dyDescent="0.2">
      <c r="K20" s="76">
        <v>43930</v>
      </c>
      <c r="L20" s="70">
        <v>0.5</v>
      </c>
      <c r="M20" s="70">
        <v>0.16</v>
      </c>
    </row>
    <row r="21" spans="11:13" x14ac:dyDescent="0.2">
      <c r="K21" s="76">
        <v>43931</v>
      </c>
      <c r="L21" s="70">
        <v>0.5</v>
      </c>
      <c r="M21" s="70">
        <v>0.16</v>
      </c>
    </row>
    <row r="22" spans="11:13" x14ac:dyDescent="0.2">
      <c r="K22" s="76">
        <v>43932</v>
      </c>
      <c r="L22" s="70">
        <v>0.5</v>
      </c>
      <c r="M22" s="70">
        <v>0.16</v>
      </c>
    </row>
    <row r="23" spans="11:13" x14ac:dyDescent="0.2">
      <c r="K23" s="76">
        <v>43933</v>
      </c>
      <c r="L23" s="70">
        <v>0.5</v>
      </c>
      <c r="M23" s="70">
        <v>0.16</v>
      </c>
    </row>
    <row r="24" spans="11:13" x14ac:dyDescent="0.2">
      <c r="K24" s="76">
        <v>43934</v>
      </c>
      <c r="L24" s="70">
        <v>0.5</v>
      </c>
      <c r="M24" s="70">
        <v>0.16</v>
      </c>
    </row>
    <row r="25" spans="11:13" x14ac:dyDescent="0.2">
      <c r="K25" s="76">
        <v>43935</v>
      </c>
      <c r="L25" s="70">
        <v>0.5</v>
      </c>
      <c r="M25" s="70">
        <v>0.16</v>
      </c>
    </row>
    <row r="26" spans="11:13" x14ac:dyDescent="0.2">
      <c r="K26" s="76">
        <v>43936</v>
      </c>
      <c r="L26" s="70">
        <v>0.5</v>
      </c>
      <c r="M26" s="70">
        <v>0.16</v>
      </c>
    </row>
    <row r="27" spans="11:13" x14ac:dyDescent="0.2">
      <c r="K27" s="76">
        <v>43937</v>
      </c>
      <c r="L27" s="70">
        <v>0.5</v>
      </c>
      <c r="M27" s="70">
        <v>0.16</v>
      </c>
    </row>
    <row r="28" spans="11:13" x14ac:dyDescent="0.2">
      <c r="K28" s="76">
        <v>43938</v>
      </c>
      <c r="L28" s="70">
        <v>0.5</v>
      </c>
      <c r="M28" s="70">
        <v>0.16</v>
      </c>
    </row>
    <row r="29" spans="11:13" x14ac:dyDescent="0.2">
      <c r="K29" s="76">
        <v>43939</v>
      </c>
      <c r="L29" s="70">
        <v>0.5</v>
      </c>
      <c r="M29" s="70">
        <v>0.16</v>
      </c>
    </row>
    <row r="30" spans="11:13" x14ac:dyDescent="0.2">
      <c r="K30" s="76">
        <v>43940</v>
      </c>
      <c r="L30" s="70">
        <v>0.5</v>
      </c>
      <c r="M30" s="70">
        <v>0.16</v>
      </c>
    </row>
    <row r="31" spans="11:13" x14ac:dyDescent="0.2">
      <c r="K31" s="76">
        <v>43941</v>
      </c>
      <c r="L31" s="70">
        <v>0.5</v>
      </c>
      <c r="M31" s="70">
        <v>0.16</v>
      </c>
    </row>
    <row r="32" spans="11:13" x14ac:dyDescent="0.2">
      <c r="K32" s="76">
        <v>43942</v>
      </c>
      <c r="L32" s="70">
        <v>0.5</v>
      </c>
      <c r="M32" s="70">
        <v>0.16</v>
      </c>
    </row>
    <row r="33" spans="11:13" x14ac:dyDescent="0.2">
      <c r="K33" s="76">
        <v>43943</v>
      </c>
      <c r="L33" s="70">
        <v>0.5</v>
      </c>
      <c r="M33" s="70">
        <v>0.16</v>
      </c>
    </row>
    <row r="34" spans="11:13" x14ac:dyDescent="0.2">
      <c r="K34" s="76">
        <v>43944</v>
      </c>
      <c r="L34" s="70">
        <v>0.5</v>
      </c>
      <c r="M34" s="70">
        <v>0.16</v>
      </c>
    </row>
    <row r="35" spans="11:13" x14ac:dyDescent="0.2">
      <c r="K35" s="76">
        <v>43945</v>
      </c>
      <c r="L35" s="70">
        <v>0.5</v>
      </c>
      <c r="M35" s="70">
        <v>0.16</v>
      </c>
    </row>
    <row r="36" spans="11:13" x14ac:dyDescent="0.2">
      <c r="K36" s="76">
        <v>43946</v>
      </c>
      <c r="L36" s="70">
        <v>0.5</v>
      </c>
      <c r="M36" s="70">
        <v>0.16</v>
      </c>
    </row>
    <row r="37" spans="11:13" x14ac:dyDescent="0.2">
      <c r="K37" s="76">
        <v>43947</v>
      </c>
      <c r="L37" s="70">
        <v>0.5</v>
      </c>
      <c r="M37" s="70">
        <v>0.16</v>
      </c>
    </row>
    <row r="38" spans="11:13" x14ac:dyDescent="0.2">
      <c r="K38" s="76">
        <v>43948</v>
      </c>
      <c r="L38" s="70">
        <v>0.5</v>
      </c>
      <c r="M38" s="70">
        <v>0.16</v>
      </c>
    </row>
    <row r="39" spans="11:13" x14ac:dyDescent="0.2">
      <c r="K39" s="76">
        <v>43949</v>
      </c>
      <c r="L39" s="70">
        <v>0.5</v>
      </c>
      <c r="M39" s="70">
        <v>0.16</v>
      </c>
    </row>
    <row r="40" spans="11:13" x14ac:dyDescent="0.2">
      <c r="K40" s="76">
        <v>43950</v>
      </c>
      <c r="L40" s="70">
        <v>0.5</v>
      </c>
      <c r="M40" s="70">
        <v>0.16</v>
      </c>
    </row>
    <row r="41" spans="11:13" x14ac:dyDescent="0.2">
      <c r="K41" s="76">
        <v>43951</v>
      </c>
      <c r="L41" s="70">
        <v>0.5</v>
      </c>
      <c r="M41" s="70">
        <v>0.16</v>
      </c>
    </row>
    <row r="42" spans="11:13" x14ac:dyDescent="0.2">
      <c r="K42" s="76">
        <v>43952</v>
      </c>
      <c r="L42" s="70">
        <v>0.5</v>
      </c>
      <c r="M42" s="70">
        <v>0.16</v>
      </c>
    </row>
    <row r="43" spans="11:13" x14ac:dyDescent="0.2">
      <c r="K43" s="76">
        <v>43953</v>
      </c>
      <c r="L43" s="70">
        <v>0.5</v>
      </c>
      <c r="M43" s="70">
        <v>0.16</v>
      </c>
    </row>
    <row r="44" spans="11:13" x14ac:dyDescent="0.2">
      <c r="K44" s="76">
        <v>43954</v>
      </c>
      <c r="L44" s="70">
        <v>0.5</v>
      </c>
      <c r="M44" s="70">
        <v>0.16</v>
      </c>
    </row>
    <row r="45" spans="11:13" x14ac:dyDescent="0.2">
      <c r="K45" s="76">
        <v>43955</v>
      </c>
      <c r="L45" s="70">
        <v>0.5</v>
      </c>
      <c r="M45" s="70">
        <v>0.16</v>
      </c>
    </row>
    <row r="46" spans="11:13" x14ac:dyDescent="0.2">
      <c r="K46" s="76">
        <v>43956</v>
      </c>
      <c r="L46" s="70">
        <v>0.5</v>
      </c>
      <c r="M46" s="70">
        <v>0.16</v>
      </c>
    </row>
    <row r="47" spans="11:13" x14ac:dyDescent="0.2">
      <c r="K47" s="76">
        <v>43957</v>
      </c>
      <c r="L47" s="70">
        <v>0.5</v>
      </c>
      <c r="M47" s="70">
        <v>0.16</v>
      </c>
    </row>
    <row r="48" spans="11:13" x14ac:dyDescent="0.2">
      <c r="K48" s="76">
        <v>43958</v>
      </c>
      <c r="L48" s="70">
        <v>0.5</v>
      </c>
      <c r="M48" s="70">
        <v>0.16</v>
      </c>
    </row>
    <row r="49" spans="11:13" x14ac:dyDescent="0.2">
      <c r="K49" s="76">
        <v>43959</v>
      </c>
      <c r="L49" s="70">
        <v>0.5</v>
      </c>
      <c r="M49" s="70">
        <v>0.16</v>
      </c>
    </row>
    <row r="50" spans="11:13" x14ac:dyDescent="0.2">
      <c r="K50" s="76">
        <v>43960</v>
      </c>
      <c r="L50" s="70">
        <v>0.5</v>
      </c>
      <c r="M50" s="70">
        <v>0.16</v>
      </c>
    </row>
    <row r="51" spans="11:13" x14ac:dyDescent="0.2">
      <c r="K51" s="76">
        <v>43961</v>
      </c>
      <c r="L51" s="70">
        <v>0.5</v>
      </c>
      <c r="M51" s="70">
        <v>0.16</v>
      </c>
    </row>
    <row r="52" spans="11:13" x14ac:dyDescent="0.2">
      <c r="K52" s="76">
        <v>43962</v>
      </c>
      <c r="L52" s="70">
        <v>0.5</v>
      </c>
      <c r="M52" s="70">
        <v>0.16</v>
      </c>
    </row>
    <row r="53" spans="11:13" x14ac:dyDescent="0.2">
      <c r="K53" s="76">
        <v>43963</v>
      </c>
      <c r="L53" s="70">
        <v>0.5</v>
      </c>
      <c r="M53" s="70">
        <v>0.16</v>
      </c>
    </row>
    <row r="54" spans="11:13" x14ac:dyDescent="0.2">
      <c r="K54" s="76">
        <v>43964</v>
      </c>
      <c r="L54" s="70">
        <v>0.5</v>
      </c>
      <c r="M54" s="70">
        <v>0.16</v>
      </c>
    </row>
    <row r="55" spans="11:13" x14ac:dyDescent="0.2">
      <c r="K55" s="76">
        <v>43965</v>
      </c>
      <c r="L55" s="70">
        <v>0.5</v>
      </c>
      <c r="M55" s="70">
        <v>0.16</v>
      </c>
    </row>
    <row r="56" spans="11:13" x14ac:dyDescent="0.2">
      <c r="K56" s="76">
        <v>43966</v>
      </c>
      <c r="L56" s="70">
        <v>0.5</v>
      </c>
      <c r="M56" s="70">
        <v>0.16</v>
      </c>
    </row>
    <row r="57" spans="11:13" x14ac:dyDescent="0.2">
      <c r="K57" s="76">
        <v>43967</v>
      </c>
      <c r="L57" s="70">
        <v>0.5</v>
      </c>
      <c r="M57" s="70">
        <v>0.16</v>
      </c>
    </row>
    <row r="58" spans="11:13" x14ac:dyDescent="0.2">
      <c r="K58" s="76">
        <v>43968</v>
      </c>
      <c r="L58" s="70">
        <v>0.5</v>
      </c>
      <c r="M58" s="70">
        <v>0.16</v>
      </c>
    </row>
    <row r="59" spans="11:13" x14ac:dyDescent="0.2">
      <c r="K59" s="76">
        <v>43969</v>
      </c>
      <c r="L59" s="70">
        <v>0.5</v>
      </c>
      <c r="M59" s="70">
        <v>0.16</v>
      </c>
    </row>
    <row r="60" spans="11:13" x14ac:dyDescent="0.2">
      <c r="K60" s="76">
        <v>43970</v>
      </c>
      <c r="L60" s="70">
        <v>0.5</v>
      </c>
      <c r="M60" s="70">
        <v>0.16</v>
      </c>
    </row>
    <row r="61" spans="11:13" x14ac:dyDescent="0.2">
      <c r="K61" s="76">
        <v>43971</v>
      </c>
      <c r="L61" s="70">
        <v>0.5</v>
      </c>
      <c r="M61" s="70">
        <v>0.16</v>
      </c>
    </row>
    <row r="62" spans="11:13" x14ac:dyDescent="0.2">
      <c r="K62" s="76">
        <v>43972</v>
      </c>
      <c r="L62" s="70">
        <v>0.5</v>
      </c>
      <c r="M62" s="70">
        <v>0.16</v>
      </c>
    </row>
    <row r="63" spans="11:13" x14ac:dyDescent="0.2">
      <c r="K63" s="76">
        <v>43973</v>
      </c>
      <c r="L63" s="70">
        <v>0.5</v>
      </c>
      <c r="M63" s="70">
        <v>0.16</v>
      </c>
    </row>
    <row r="64" spans="11:13" x14ac:dyDescent="0.2">
      <c r="K64" s="76">
        <v>43974</v>
      </c>
      <c r="L64" s="70">
        <v>0.5</v>
      </c>
      <c r="M64" s="70">
        <v>0.16</v>
      </c>
    </row>
    <row r="65" spans="11:13" x14ac:dyDescent="0.2">
      <c r="K65" s="76">
        <v>43975</v>
      </c>
      <c r="L65" s="70">
        <v>0.5</v>
      </c>
      <c r="M65" s="70">
        <v>0.16</v>
      </c>
    </row>
    <row r="66" spans="11:13" x14ac:dyDescent="0.2">
      <c r="K66" s="76">
        <v>43976</v>
      </c>
      <c r="L66" s="70">
        <v>0.5</v>
      </c>
      <c r="M66" s="70">
        <v>0.16</v>
      </c>
    </row>
    <row r="67" spans="11:13" x14ac:dyDescent="0.2">
      <c r="K67" s="76">
        <v>43977</v>
      </c>
      <c r="L67" s="70">
        <v>0.5</v>
      </c>
      <c r="M67" s="70">
        <v>0.16</v>
      </c>
    </row>
    <row r="68" spans="11:13" x14ac:dyDescent="0.2">
      <c r="K68" s="76">
        <v>43978</v>
      </c>
      <c r="L68" s="70">
        <v>0.5</v>
      </c>
      <c r="M68" s="70">
        <v>0.16</v>
      </c>
    </row>
    <row r="69" spans="11:13" x14ac:dyDescent="0.2">
      <c r="K69" s="76">
        <v>43979</v>
      </c>
      <c r="L69" s="70">
        <v>0.5</v>
      </c>
      <c r="M69" s="70">
        <v>0.16</v>
      </c>
    </row>
    <row r="70" spans="11:13" x14ac:dyDescent="0.2">
      <c r="K70" s="76">
        <v>43980</v>
      </c>
      <c r="L70" s="70">
        <v>0.5</v>
      </c>
      <c r="M70" s="70">
        <v>0.16</v>
      </c>
    </row>
    <row r="71" spans="11:13" x14ac:dyDescent="0.2">
      <c r="K71" s="76">
        <v>43981</v>
      </c>
      <c r="L71" s="70">
        <v>0.5</v>
      </c>
      <c r="M71" s="70">
        <v>0.16</v>
      </c>
    </row>
    <row r="72" spans="11:13" x14ac:dyDescent="0.2">
      <c r="K72" s="76">
        <v>43982</v>
      </c>
      <c r="L72" s="70">
        <v>0.5</v>
      </c>
      <c r="M72" s="70">
        <v>0.16</v>
      </c>
    </row>
    <row r="73" spans="11:13" x14ac:dyDescent="0.2">
      <c r="K73" s="76">
        <v>43983</v>
      </c>
      <c r="L73" s="70">
        <v>0.5</v>
      </c>
      <c r="M73" s="70">
        <v>0.16</v>
      </c>
    </row>
    <row r="74" spans="11:13" x14ac:dyDescent="0.2">
      <c r="K74" s="76">
        <v>43984</v>
      </c>
      <c r="L74" s="70">
        <v>0.5</v>
      </c>
      <c r="M74" s="70">
        <v>0.16</v>
      </c>
    </row>
    <row r="75" spans="11:13" x14ac:dyDescent="0.2">
      <c r="K75" s="76">
        <v>43985</v>
      </c>
      <c r="L75" s="70">
        <v>0.5</v>
      </c>
      <c r="M75" s="70">
        <v>0.16</v>
      </c>
    </row>
    <row r="76" spans="11:13" x14ac:dyDescent="0.2">
      <c r="K76" s="76">
        <v>43986</v>
      </c>
      <c r="L76" s="70">
        <v>0.5</v>
      </c>
      <c r="M76" s="70">
        <v>0.16</v>
      </c>
    </row>
    <row r="77" spans="11:13" x14ac:dyDescent="0.2">
      <c r="K77" s="76">
        <v>43987</v>
      </c>
      <c r="L77" s="70">
        <v>0.5</v>
      </c>
      <c r="M77" s="70">
        <v>0.16</v>
      </c>
    </row>
    <row r="78" spans="11:13" x14ac:dyDescent="0.2">
      <c r="K78" s="76">
        <v>43988</v>
      </c>
      <c r="L78" s="70">
        <v>0.5</v>
      </c>
      <c r="M78" s="70">
        <v>0.16</v>
      </c>
    </row>
    <row r="79" spans="11:13" x14ac:dyDescent="0.2">
      <c r="K79" s="76">
        <v>43989</v>
      </c>
      <c r="L79" s="70">
        <v>0.5</v>
      </c>
      <c r="M79" s="70">
        <v>0.16</v>
      </c>
    </row>
    <row r="80" spans="11:13" x14ac:dyDescent="0.2">
      <c r="K80" s="76">
        <v>43990</v>
      </c>
      <c r="L80" s="70">
        <v>0.5</v>
      </c>
      <c r="M80" s="70">
        <v>0.16</v>
      </c>
    </row>
    <row r="81" spans="11:13" x14ac:dyDescent="0.2">
      <c r="K81" s="76">
        <v>43991</v>
      </c>
      <c r="L81" s="70">
        <v>0.5</v>
      </c>
      <c r="M81" s="70">
        <v>0.16</v>
      </c>
    </row>
    <row r="82" spans="11:13" x14ac:dyDescent="0.2">
      <c r="K82" s="76">
        <v>43992</v>
      </c>
      <c r="L82" s="70">
        <v>0.5</v>
      </c>
      <c r="M82" s="70">
        <v>0.16</v>
      </c>
    </row>
    <row r="83" spans="11:13" x14ac:dyDescent="0.2">
      <c r="K83" s="76">
        <v>43993</v>
      </c>
      <c r="L83" s="70">
        <v>0.5</v>
      </c>
      <c r="M83" s="70">
        <v>0.16</v>
      </c>
    </row>
    <row r="84" spans="11:13" x14ac:dyDescent="0.2">
      <c r="K84" s="76">
        <v>43994</v>
      </c>
      <c r="L84" s="70">
        <v>0.5</v>
      </c>
      <c r="M84" s="70">
        <v>0.16</v>
      </c>
    </row>
    <row r="85" spans="11:13" x14ac:dyDescent="0.2">
      <c r="K85" s="76">
        <v>43995</v>
      </c>
      <c r="L85" s="70">
        <v>0.5</v>
      </c>
      <c r="M85" s="70">
        <v>0.16</v>
      </c>
    </row>
    <row r="86" spans="11:13" x14ac:dyDescent="0.2">
      <c r="K86" s="76">
        <v>43996</v>
      </c>
      <c r="L86" s="70">
        <v>0.5</v>
      </c>
      <c r="M86" s="70">
        <v>0.16</v>
      </c>
    </row>
    <row r="87" spans="11:13" x14ac:dyDescent="0.2">
      <c r="K87" s="76">
        <v>43997</v>
      </c>
      <c r="L87" s="70">
        <v>0.5</v>
      </c>
      <c r="M87" s="70">
        <v>0.16</v>
      </c>
    </row>
    <row r="88" spans="11:13" x14ac:dyDescent="0.2">
      <c r="K88" s="76">
        <v>43998</v>
      </c>
      <c r="L88" s="70">
        <v>0.5</v>
      </c>
      <c r="M88" s="70">
        <v>0.16</v>
      </c>
    </row>
    <row r="89" spans="11:13" x14ac:dyDescent="0.2">
      <c r="K89" s="76">
        <v>43999</v>
      </c>
      <c r="L89" s="70">
        <v>0.5</v>
      </c>
      <c r="M89" s="70">
        <v>0.16</v>
      </c>
    </row>
    <row r="90" spans="11:13" x14ac:dyDescent="0.2">
      <c r="K90" s="76">
        <v>44000</v>
      </c>
      <c r="L90" s="70">
        <v>0.5</v>
      </c>
      <c r="M90" s="70">
        <v>0.16</v>
      </c>
    </row>
    <row r="91" spans="11:13" x14ac:dyDescent="0.2">
      <c r="K91" s="76">
        <v>44001</v>
      </c>
      <c r="L91" s="70">
        <v>0.5</v>
      </c>
      <c r="M91" s="70">
        <v>0.16</v>
      </c>
    </row>
    <row r="92" spans="11:13" x14ac:dyDescent="0.2">
      <c r="K92" s="76">
        <v>44002</v>
      </c>
      <c r="L92" s="70">
        <v>0.5</v>
      </c>
      <c r="M92" s="70">
        <v>0.16</v>
      </c>
    </row>
    <row r="93" spans="11:13" x14ac:dyDescent="0.2">
      <c r="K93" s="76">
        <v>44003</v>
      </c>
      <c r="L93" s="70">
        <v>0.5</v>
      </c>
      <c r="M93" s="70">
        <v>0.16</v>
      </c>
    </row>
    <row r="94" spans="11:13" x14ac:dyDescent="0.2">
      <c r="K94" s="76">
        <v>44004</v>
      </c>
      <c r="L94" s="70">
        <v>0.5</v>
      </c>
      <c r="M94" s="70">
        <v>0.16</v>
      </c>
    </row>
    <row r="95" spans="11:13" x14ac:dyDescent="0.2">
      <c r="K95" s="76">
        <v>44005</v>
      </c>
      <c r="L95" s="70">
        <v>0.5</v>
      </c>
      <c r="M95" s="70">
        <v>0.16</v>
      </c>
    </row>
    <row r="96" spans="11:13" x14ac:dyDescent="0.2">
      <c r="K96" s="76">
        <v>44006</v>
      </c>
      <c r="L96" s="70">
        <v>0.5</v>
      </c>
      <c r="M96" s="70">
        <v>0.16</v>
      </c>
    </row>
    <row r="97" spans="11:13" x14ac:dyDescent="0.2">
      <c r="K97" s="76">
        <v>44007</v>
      </c>
      <c r="L97" s="70">
        <v>0.5</v>
      </c>
      <c r="M97" s="70">
        <v>0.16</v>
      </c>
    </row>
    <row r="98" spans="11:13" x14ac:dyDescent="0.2">
      <c r="K98" s="76">
        <v>44008</v>
      </c>
      <c r="L98" s="70">
        <v>0.5</v>
      </c>
      <c r="M98" s="70">
        <v>0.16</v>
      </c>
    </row>
    <row r="99" spans="11:13" x14ac:dyDescent="0.2">
      <c r="K99" s="76">
        <v>44009</v>
      </c>
      <c r="L99" s="70">
        <v>0.5</v>
      </c>
      <c r="M99" s="70">
        <v>0.16</v>
      </c>
    </row>
    <row r="100" spans="11:13" x14ac:dyDescent="0.2">
      <c r="K100" s="76">
        <v>44010</v>
      </c>
      <c r="L100" s="70">
        <v>0.5</v>
      </c>
      <c r="M100" s="70">
        <v>0.16</v>
      </c>
    </row>
    <row r="101" spans="11:13" x14ac:dyDescent="0.2">
      <c r="K101" s="76">
        <v>44011</v>
      </c>
      <c r="L101" s="70">
        <v>0.5</v>
      </c>
      <c r="M101" s="70">
        <v>0.16</v>
      </c>
    </row>
    <row r="102" spans="11:13" x14ac:dyDescent="0.2">
      <c r="K102" s="76">
        <v>44012</v>
      </c>
      <c r="L102" s="70">
        <v>0.5</v>
      </c>
      <c r="M102" s="70">
        <v>0.16</v>
      </c>
    </row>
    <row r="103" spans="11:13" x14ac:dyDescent="0.2">
      <c r="K103" s="76">
        <v>44013</v>
      </c>
      <c r="L103" s="70">
        <v>0.5</v>
      </c>
      <c r="M103" s="70">
        <v>0.16</v>
      </c>
    </row>
    <row r="104" spans="11:13" x14ac:dyDescent="0.2">
      <c r="K104" s="76">
        <v>44014</v>
      </c>
      <c r="L104" s="70">
        <v>0.5</v>
      </c>
      <c r="M104" s="70">
        <v>0.16</v>
      </c>
    </row>
    <row r="105" spans="11:13" x14ac:dyDescent="0.2">
      <c r="K105" s="76">
        <v>44015</v>
      </c>
      <c r="L105" s="70">
        <v>0.5</v>
      </c>
      <c r="M105" s="70">
        <v>0.16</v>
      </c>
    </row>
    <row r="106" spans="11:13" x14ac:dyDescent="0.2">
      <c r="K106" s="76">
        <v>44016</v>
      </c>
      <c r="L106" s="70">
        <v>0.5</v>
      </c>
      <c r="M106" s="70">
        <v>0.16</v>
      </c>
    </row>
    <row r="107" spans="11:13" x14ac:dyDescent="0.2">
      <c r="K107" s="76">
        <v>44017</v>
      </c>
      <c r="L107" s="70">
        <v>0.5</v>
      </c>
      <c r="M107" s="70">
        <v>0.16</v>
      </c>
    </row>
    <row r="108" spans="11:13" x14ac:dyDescent="0.2">
      <c r="K108" s="76">
        <v>44018</v>
      </c>
      <c r="L108" s="70">
        <v>0.5</v>
      </c>
      <c r="M108" s="70">
        <v>0.16</v>
      </c>
    </row>
    <row r="109" spans="11:13" x14ac:dyDescent="0.2">
      <c r="K109" s="76">
        <v>44019</v>
      </c>
      <c r="L109" s="70">
        <v>0.5</v>
      </c>
      <c r="M109" s="70">
        <v>0.16</v>
      </c>
    </row>
    <row r="110" spans="11:13" x14ac:dyDescent="0.2">
      <c r="K110" s="76">
        <v>44020</v>
      </c>
      <c r="L110" s="70">
        <v>0.5</v>
      </c>
      <c r="M110" s="70">
        <v>0.16</v>
      </c>
    </row>
    <row r="111" spans="11:13" x14ac:dyDescent="0.2">
      <c r="K111" s="76">
        <v>44021</v>
      </c>
      <c r="L111" s="70">
        <v>0.5</v>
      </c>
      <c r="M111" s="70">
        <v>0.16</v>
      </c>
    </row>
    <row r="112" spans="11:13" x14ac:dyDescent="0.2">
      <c r="K112" s="76">
        <v>44022</v>
      </c>
      <c r="L112" s="70">
        <v>0.5</v>
      </c>
      <c r="M112" s="70">
        <v>0.16</v>
      </c>
    </row>
    <row r="113" spans="11:13" x14ac:dyDescent="0.2">
      <c r="K113" s="76">
        <v>44023</v>
      </c>
      <c r="L113" s="70">
        <v>0.5</v>
      </c>
      <c r="M113" s="70">
        <v>0.16</v>
      </c>
    </row>
    <row r="114" spans="11:13" x14ac:dyDescent="0.2">
      <c r="K114" s="76">
        <v>44024</v>
      </c>
      <c r="L114" s="70">
        <v>0.5</v>
      </c>
      <c r="M114" s="70">
        <v>0.16</v>
      </c>
    </row>
    <row r="115" spans="11:13" x14ac:dyDescent="0.2">
      <c r="K115" s="76">
        <v>44025</v>
      </c>
      <c r="L115" s="70">
        <v>0.5</v>
      </c>
      <c r="M115" s="70">
        <v>0.16</v>
      </c>
    </row>
    <row r="116" spans="11:13" x14ac:dyDescent="0.2">
      <c r="K116" s="76">
        <v>44026</v>
      </c>
      <c r="L116" s="70">
        <v>0.5</v>
      </c>
      <c r="M116" s="70">
        <v>0.16</v>
      </c>
    </row>
    <row r="117" spans="11:13" x14ac:dyDescent="0.2">
      <c r="K117" s="76">
        <v>44027</v>
      </c>
      <c r="L117" s="70">
        <v>0.5</v>
      </c>
      <c r="M117" s="70">
        <v>0.16</v>
      </c>
    </row>
    <row r="118" spans="11:13" x14ac:dyDescent="0.2">
      <c r="K118" s="76">
        <v>44028</v>
      </c>
      <c r="L118" s="70">
        <v>0.5</v>
      </c>
      <c r="M118" s="70">
        <v>0.16</v>
      </c>
    </row>
    <row r="119" spans="11:13" x14ac:dyDescent="0.2">
      <c r="K119" s="76">
        <v>44029</v>
      </c>
      <c r="L119" s="70">
        <v>0.5</v>
      </c>
      <c r="M119" s="70">
        <v>0.16</v>
      </c>
    </row>
    <row r="120" spans="11:13" x14ac:dyDescent="0.2">
      <c r="K120" s="76">
        <v>44030</v>
      </c>
      <c r="L120" s="70">
        <v>0.5</v>
      </c>
      <c r="M120" s="70">
        <v>0.16</v>
      </c>
    </row>
    <row r="121" spans="11:13" x14ac:dyDescent="0.2">
      <c r="K121" s="76">
        <v>44031</v>
      </c>
      <c r="L121" s="70">
        <v>0.5</v>
      </c>
      <c r="M121" s="70">
        <v>0.16</v>
      </c>
    </row>
    <row r="122" spans="11:13" x14ac:dyDescent="0.2">
      <c r="K122" s="76">
        <v>44032</v>
      </c>
      <c r="L122" s="70">
        <v>0.5</v>
      </c>
      <c r="M122" s="70">
        <v>0.16</v>
      </c>
    </row>
    <row r="123" spans="11:13" x14ac:dyDescent="0.2">
      <c r="K123" s="76">
        <v>44033</v>
      </c>
      <c r="L123" s="70">
        <v>0.5</v>
      </c>
      <c r="M123" s="70">
        <v>0.16</v>
      </c>
    </row>
    <row r="124" spans="11:13" x14ac:dyDescent="0.2">
      <c r="K124" s="76">
        <v>44034</v>
      </c>
      <c r="L124" s="70">
        <v>0.5</v>
      </c>
      <c r="M124" s="70">
        <v>0.16</v>
      </c>
    </row>
    <row r="125" spans="11:13" x14ac:dyDescent="0.2">
      <c r="K125" s="76">
        <v>44035</v>
      </c>
      <c r="L125" s="70">
        <v>0.5</v>
      </c>
      <c r="M125" s="70">
        <v>0.16</v>
      </c>
    </row>
    <row r="126" spans="11:13" x14ac:dyDescent="0.2">
      <c r="K126" s="76">
        <v>44036</v>
      </c>
      <c r="L126" s="70">
        <v>0.5</v>
      </c>
      <c r="M126" s="70">
        <v>0.16</v>
      </c>
    </row>
    <row r="127" spans="11:13" x14ac:dyDescent="0.2">
      <c r="K127" s="76">
        <v>44037</v>
      </c>
      <c r="L127" s="70">
        <v>0.5</v>
      </c>
      <c r="M127" s="70">
        <v>0.16</v>
      </c>
    </row>
    <row r="128" spans="11:13" x14ac:dyDescent="0.2">
      <c r="K128" s="76">
        <v>44038</v>
      </c>
      <c r="L128" s="70">
        <v>0.5</v>
      </c>
      <c r="M128" s="70">
        <v>0.16</v>
      </c>
    </row>
    <row r="129" spans="11:13" x14ac:dyDescent="0.2">
      <c r="K129" s="76">
        <v>44039</v>
      </c>
      <c r="L129" s="70">
        <v>0.5</v>
      </c>
      <c r="M129" s="70">
        <v>0.16</v>
      </c>
    </row>
    <row r="130" spans="11:13" x14ac:dyDescent="0.2">
      <c r="K130" s="76">
        <v>44040</v>
      </c>
      <c r="L130" s="70">
        <v>0.5</v>
      </c>
      <c r="M130" s="70">
        <v>0.16</v>
      </c>
    </row>
    <row r="131" spans="11:13" x14ac:dyDescent="0.2">
      <c r="K131" s="76">
        <v>44041</v>
      </c>
      <c r="L131" s="70">
        <v>0.5</v>
      </c>
      <c r="M131" s="70">
        <v>0.16</v>
      </c>
    </row>
    <row r="132" spans="11:13" x14ac:dyDescent="0.2">
      <c r="K132" s="76">
        <v>44042</v>
      </c>
      <c r="L132" s="70">
        <v>0.5</v>
      </c>
      <c r="M132" s="70">
        <v>0.16</v>
      </c>
    </row>
    <row r="133" spans="11:13" x14ac:dyDescent="0.2">
      <c r="K133" s="76">
        <v>44043</v>
      </c>
      <c r="L133" s="70">
        <v>0.5</v>
      </c>
      <c r="M133" s="70">
        <v>0.16</v>
      </c>
    </row>
    <row r="134" spans="11:13" x14ac:dyDescent="0.2">
      <c r="K134" s="76">
        <v>44044</v>
      </c>
      <c r="L134" s="70">
        <v>0.5</v>
      </c>
      <c r="M134" s="70">
        <v>0.16</v>
      </c>
    </row>
    <row r="135" spans="11:13" x14ac:dyDescent="0.2">
      <c r="K135" s="76">
        <v>44045</v>
      </c>
      <c r="L135" s="70">
        <v>0.5</v>
      </c>
      <c r="M135" s="70">
        <v>0.16</v>
      </c>
    </row>
    <row r="136" spans="11:13" x14ac:dyDescent="0.2">
      <c r="K136" s="76">
        <v>44046</v>
      </c>
      <c r="L136" s="70">
        <v>0.5</v>
      </c>
      <c r="M136" s="70">
        <v>0.16</v>
      </c>
    </row>
    <row r="137" spans="11:13" x14ac:dyDescent="0.2">
      <c r="K137" s="76">
        <v>44047</v>
      </c>
      <c r="L137" s="70">
        <v>0.5</v>
      </c>
      <c r="M137" s="70">
        <v>0.16</v>
      </c>
    </row>
    <row r="138" spans="11:13" x14ac:dyDescent="0.2">
      <c r="K138" s="76">
        <v>44048</v>
      </c>
      <c r="L138" s="70">
        <v>0.5</v>
      </c>
      <c r="M138" s="70">
        <v>0.16</v>
      </c>
    </row>
    <row r="139" spans="11:13" x14ac:dyDescent="0.2">
      <c r="K139" s="76">
        <v>44049</v>
      </c>
      <c r="L139" s="70">
        <v>0.5</v>
      </c>
      <c r="M139" s="70">
        <v>0.16</v>
      </c>
    </row>
    <row r="140" spans="11:13" x14ac:dyDescent="0.2">
      <c r="K140" s="76">
        <v>44050</v>
      </c>
      <c r="L140" s="70">
        <v>0.5</v>
      </c>
      <c r="M140" s="70">
        <v>0.16</v>
      </c>
    </row>
    <row r="141" spans="11:13" x14ac:dyDescent="0.2">
      <c r="K141" s="76">
        <v>44051</v>
      </c>
      <c r="L141" s="70">
        <v>0.5</v>
      </c>
      <c r="M141" s="70">
        <v>0.16</v>
      </c>
    </row>
    <row r="142" spans="11:13" x14ac:dyDescent="0.2">
      <c r="K142" s="76">
        <v>44052</v>
      </c>
      <c r="L142" s="70">
        <v>0.5</v>
      </c>
      <c r="M142" s="70">
        <v>0.16</v>
      </c>
    </row>
    <row r="143" spans="11:13" x14ac:dyDescent="0.2">
      <c r="K143" s="76">
        <v>44053</v>
      </c>
      <c r="L143" s="70">
        <v>0.5</v>
      </c>
      <c r="M143" s="70">
        <v>0.16</v>
      </c>
    </row>
    <row r="144" spans="11:13" x14ac:dyDescent="0.2">
      <c r="K144" s="76">
        <v>44054</v>
      </c>
      <c r="L144" s="70">
        <v>0.5</v>
      </c>
      <c r="M144" s="70">
        <v>0.16</v>
      </c>
    </row>
    <row r="145" spans="11:13" x14ac:dyDescent="0.2">
      <c r="K145" s="76">
        <v>44055</v>
      </c>
      <c r="L145" s="70">
        <v>0.5</v>
      </c>
      <c r="M145" s="70">
        <v>0.16</v>
      </c>
    </row>
    <row r="146" spans="11:13" x14ac:dyDescent="0.2">
      <c r="K146" s="76">
        <v>44056</v>
      </c>
      <c r="L146" s="70">
        <v>0.5</v>
      </c>
      <c r="M146" s="70">
        <v>0.16</v>
      </c>
    </row>
    <row r="147" spans="11:13" x14ac:dyDescent="0.2">
      <c r="K147" s="76">
        <v>44057</v>
      </c>
      <c r="L147" s="70">
        <v>0.5</v>
      </c>
      <c r="M147" s="70">
        <v>0.16</v>
      </c>
    </row>
    <row r="148" spans="11:13" x14ac:dyDescent="0.2">
      <c r="K148" s="76">
        <v>44058</v>
      </c>
      <c r="L148" s="70">
        <v>0.5</v>
      </c>
      <c r="M148" s="70">
        <v>0.16</v>
      </c>
    </row>
    <row r="149" spans="11:13" x14ac:dyDescent="0.2">
      <c r="K149" s="76">
        <v>44059</v>
      </c>
      <c r="L149" s="70">
        <v>0.5</v>
      </c>
      <c r="M149" s="70">
        <v>0.16</v>
      </c>
    </row>
    <row r="150" spans="11:13" x14ac:dyDescent="0.2">
      <c r="K150" s="76">
        <v>44060</v>
      </c>
      <c r="L150" s="70">
        <v>0.5</v>
      </c>
      <c r="M150" s="70">
        <v>0.16</v>
      </c>
    </row>
    <row r="151" spans="11:13" x14ac:dyDescent="0.2">
      <c r="K151" s="76">
        <v>44061</v>
      </c>
      <c r="L151" s="70">
        <v>0.5</v>
      </c>
      <c r="M151" s="70">
        <v>0.16</v>
      </c>
    </row>
    <row r="152" spans="11:13" x14ac:dyDescent="0.2">
      <c r="K152" s="76">
        <v>44062</v>
      </c>
      <c r="L152" s="70">
        <v>0.5</v>
      </c>
      <c r="M152" s="70">
        <v>0.16</v>
      </c>
    </row>
    <row r="153" spans="11:13" x14ac:dyDescent="0.2">
      <c r="K153" s="76">
        <v>44063</v>
      </c>
      <c r="L153" s="70">
        <v>0.5</v>
      </c>
      <c r="M153" s="70">
        <v>0.16</v>
      </c>
    </row>
    <row r="154" spans="11:13" x14ac:dyDescent="0.2">
      <c r="K154" s="76">
        <v>44064</v>
      </c>
      <c r="L154" s="70">
        <v>0.5</v>
      </c>
      <c r="M154" s="70">
        <v>0.16</v>
      </c>
    </row>
    <row r="155" spans="11:13" x14ac:dyDescent="0.2">
      <c r="K155" s="76">
        <v>44065</v>
      </c>
      <c r="L155" s="70">
        <v>0.5</v>
      </c>
      <c r="M155" s="70">
        <v>0.16</v>
      </c>
    </row>
    <row r="156" spans="11:13" x14ac:dyDescent="0.2">
      <c r="K156" s="76">
        <v>44066</v>
      </c>
      <c r="L156" s="70">
        <v>0.5</v>
      </c>
      <c r="M156" s="70">
        <v>0.16</v>
      </c>
    </row>
    <row r="157" spans="11:13" x14ac:dyDescent="0.2">
      <c r="K157" s="76">
        <v>44067</v>
      </c>
      <c r="L157" s="70">
        <v>0.5</v>
      </c>
      <c r="M157" s="70">
        <v>0.16</v>
      </c>
    </row>
    <row r="158" spans="11:13" x14ac:dyDescent="0.2">
      <c r="K158" s="76">
        <v>44068</v>
      </c>
      <c r="L158" s="70">
        <v>0.5</v>
      </c>
      <c r="M158" s="70">
        <v>0.16</v>
      </c>
    </row>
    <row r="159" spans="11:13" x14ac:dyDescent="0.2">
      <c r="K159" s="76">
        <v>44069</v>
      </c>
      <c r="L159" s="70">
        <v>0.5</v>
      </c>
      <c r="M159" s="70">
        <v>0.16</v>
      </c>
    </row>
    <row r="160" spans="11:13" x14ac:dyDescent="0.2">
      <c r="K160" s="76">
        <v>44070</v>
      </c>
      <c r="L160" s="70">
        <v>0.5</v>
      </c>
      <c r="M160" s="70">
        <v>0.16</v>
      </c>
    </row>
    <row r="161" spans="11:13" x14ac:dyDescent="0.2">
      <c r="K161" s="76">
        <v>44071</v>
      </c>
      <c r="L161" s="70">
        <v>0.5</v>
      </c>
      <c r="M161" s="70">
        <v>0.16</v>
      </c>
    </row>
    <row r="162" spans="11:13" x14ac:dyDescent="0.2">
      <c r="K162" s="76">
        <v>44072</v>
      </c>
      <c r="L162" s="70">
        <v>0.5</v>
      </c>
      <c r="M162" s="70">
        <v>0.16</v>
      </c>
    </row>
    <row r="163" spans="11:13" x14ac:dyDescent="0.2">
      <c r="K163" s="76">
        <v>44073</v>
      </c>
      <c r="L163" s="70">
        <v>0.5</v>
      </c>
      <c r="M163" s="70">
        <v>0.16</v>
      </c>
    </row>
    <row r="164" spans="11:13" x14ac:dyDescent="0.2">
      <c r="K164" s="76">
        <v>44074</v>
      </c>
      <c r="L164" s="70">
        <v>0.5</v>
      </c>
      <c r="M164" s="70">
        <v>0.16</v>
      </c>
    </row>
    <row r="165" spans="11:13" x14ac:dyDescent="0.2">
      <c r="K165" s="76">
        <v>44075</v>
      </c>
      <c r="L165" s="70">
        <v>0.5</v>
      </c>
      <c r="M165" s="70">
        <v>0.16</v>
      </c>
    </row>
    <row r="166" spans="11:13" x14ac:dyDescent="0.2">
      <c r="K166" s="76">
        <v>44076</v>
      </c>
      <c r="L166" s="70">
        <v>0.5</v>
      </c>
      <c r="M166" s="70">
        <v>0.16</v>
      </c>
    </row>
    <row r="167" spans="11:13" x14ac:dyDescent="0.2">
      <c r="K167" s="76">
        <v>44077</v>
      </c>
      <c r="L167" s="70">
        <v>0.5</v>
      </c>
      <c r="M167" s="70">
        <v>0.16</v>
      </c>
    </row>
    <row r="168" spans="11:13" x14ac:dyDescent="0.2">
      <c r="K168" s="76">
        <v>44078</v>
      </c>
      <c r="L168" s="70">
        <v>0.5</v>
      </c>
      <c r="M168" s="70">
        <v>0.16</v>
      </c>
    </row>
    <row r="169" spans="11:13" x14ac:dyDescent="0.2">
      <c r="K169" s="76">
        <v>44079</v>
      </c>
      <c r="L169" s="70">
        <v>0.5</v>
      </c>
      <c r="M169" s="70">
        <v>0.16</v>
      </c>
    </row>
    <row r="170" spans="11:13" x14ac:dyDescent="0.2">
      <c r="K170" s="76">
        <v>44080</v>
      </c>
      <c r="L170" s="70">
        <v>0.5</v>
      </c>
      <c r="M170" s="70">
        <v>0.16</v>
      </c>
    </row>
    <row r="171" spans="11:13" x14ac:dyDescent="0.2">
      <c r="K171" s="76">
        <v>44081</v>
      </c>
      <c r="L171" s="70">
        <v>0.5</v>
      </c>
      <c r="M171" s="70">
        <v>0.16</v>
      </c>
    </row>
    <row r="172" spans="11:13" x14ac:dyDescent="0.2">
      <c r="K172" s="76">
        <v>44082</v>
      </c>
      <c r="L172" s="70">
        <v>0.5</v>
      </c>
      <c r="M172" s="70">
        <v>0.16</v>
      </c>
    </row>
    <row r="173" spans="11:13" x14ac:dyDescent="0.2">
      <c r="K173" s="76">
        <v>44083</v>
      </c>
      <c r="L173" s="70">
        <v>0.5</v>
      </c>
      <c r="M173" s="70">
        <v>0.16</v>
      </c>
    </row>
    <row r="174" spans="11:13" x14ac:dyDescent="0.2">
      <c r="K174" s="76">
        <v>44084</v>
      </c>
      <c r="L174" s="70">
        <v>0.5</v>
      </c>
      <c r="M174" s="70">
        <v>0.16</v>
      </c>
    </row>
    <row r="175" spans="11:13" x14ac:dyDescent="0.2">
      <c r="K175" s="76">
        <v>44085</v>
      </c>
      <c r="L175" s="70">
        <v>0.5</v>
      </c>
      <c r="M175" s="70">
        <v>0.16</v>
      </c>
    </row>
    <row r="176" spans="11:13" x14ac:dyDescent="0.2">
      <c r="K176" s="76">
        <v>44086</v>
      </c>
      <c r="L176" s="70">
        <v>0.5</v>
      </c>
      <c r="M176" s="70">
        <v>0.16</v>
      </c>
    </row>
    <row r="177" spans="11:13" x14ac:dyDescent="0.2">
      <c r="K177" s="76">
        <v>44087</v>
      </c>
      <c r="L177" s="70">
        <v>0.5</v>
      </c>
      <c r="M177" s="70">
        <v>0.16</v>
      </c>
    </row>
    <row r="178" spans="11:13" x14ac:dyDescent="0.2">
      <c r="K178" s="76">
        <v>44088</v>
      </c>
      <c r="L178" s="70">
        <v>0.5</v>
      </c>
      <c r="M178" s="70">
        <v>0.16</v>
      </c>
    </row>
    <row r="179" spans="11:13" x14ac:dyDescent="0.2">
      <c r="K179" s="76">
        <v>44089</v>
      </c>
      <c r="L179" s="70">
        <v>0.5</v>
      </c>
      <c r="M179" s="70">
        <v>0.16</v>
      </c>
    </row>
    <row r="180" spans="11:13" x14ac:dyDescent="0.2">
      <c r="K180" s="76">
        <v>44090</v>
      </c>
      <c r="L180" s="70">
        <v>0.5</v>
      </c>
      <c r="M180" s="70">
        <v>0.16</v>
      </c>
    </row>
    <row r="181" spans="11:13" x14ac:dyDescent="0.2">
      <c r="K181" s="76">
        <v>44091</v>
      </c>
      <c r="L181" s="70">
        <v>0.5</v>
      </c>
      <c r="M181" s="70">
        <v>0.16</v>
      </c>
    </row>
    <row r="182" spans="11:13" x14ac:dyDescent="0.2">
      <c r="K182" s="76">
        <v>44092</v>
      </c>
      <c r="L182" s="70">
        <v>0.5</v>
      </c>
      <c r="M182" s="70">
        <v>0.16</v>
      </c>
    </row>
    <row r="183" spans="11:13" x14ac:dyDescent="0.2">
      <c r="K183" s="76">
        <v>44093</v>
      </c>
      <c r="L183" s="70">
        <v>0.5</v>
      </c>
      <c r="M183" s="70">
        <v>0.16</v>
      </c>
    </row>
    <row r="184" spans="11:13" x14ac:dyDescent="0.2">
      <c r="K184" s="76">
        <v>44094</v>
      </c>
      <c r="L184" s="70">
        <v>0.5</v>
      </c>
      <c r="M184" s="70">
        <v>0.16</v>
      </c>
    </row>
    <row r="185" spans="11:13" x14ac:dyDescent="0.2">
      <c r="K185" s="76">
        <v>44095</v>
      </c>
      <c r="L185" s="70">
        <v>0.5</v>
      </c>
      <c r="M185" s="70">
        <v>0.16</v>
      </c>
    </row>
    <row r="186" spans="11:13" x14ac:dyDescent="0.2">
      <c r="K186" s="76">
        <v>44096</v>
      </c>
      <c r="L186" s="70">
        <v>0.5</v>
      </c>
      <c r="M186" s="70">
        <v>0.16</v>
      </c>
    </row>
    <row r="187" spans="11:13" x14ac:dyDescent="0.2">
      <c r="K187" s="76">
        <v>44097</v>
      </c>
      <c r="L187" s="70">
        <v>0.5</v>
      </c>
      <c r="M187" s="70">
        <v>0.16</v>
      </c>
    </row>
    <row r="188" spans="11:13" x14ac:dyDescent="0.2">
      <c r="K188" s="76">
        <v>44098</v>
      </c>
      <c r="L188" s="70">
        <v>0.5</v>
      </c>
      <c r="M188" s="70">
        <v>0.16</v>
      </c>
    </row>
    <row r="189" spans="11:13" x14ac:dyDescent="0.2">
      <c r="K189" s="76">
        <v>44099</v>
      </c>
      <c r="L189" s="70">
        <v>0.5</v>
      </c>
      <c r="M189" s="70">
        <v>0.16</v>
      </c>
    </row>
    <row r="190" spans="11:13" x14ac:dyDescent="0.2">
      <c r="K190" s="76">
        <v>44100</v>
      </c>
      <c r="L190" s="70">
        <v>0.5</v>
      </c>
      <c r="M190" s="70">
        <v>0.16</v>
      </c>
    </row>
    <row r="191" spans="11:13" x14ac:dyDescent="0.2">
      <c r="K191" s="76">
        <v>44101</v>
      </c>
      <c r="L191" s="70">
        <v>0.5</v>
      </c>
      <c r="M191" s="70">
        <v>0.16</v>
      </c>
    </row>
    <row r="192" spans="11:13" x14ac:dyDescent="0.2">
      <c r="K192" s="76">
        <v>44102</v>
      </c>
      <c r="L192" s="70">
        <v>0.5</v>
      </c>
      <c r="M192" s="70">
        <v>0.16</v>
      </c>
    </row>
    <row r="193" spans="11:13" x14ac:dyDescent="0.2">
      <c r="K193" s="76">
        <v>44103</v>
      </c>
      <c r="L193" s="70">
        <v>0.5</v>
      </c>
      <c r="M193" s="70">
        <v>0.16</v>
      </c>
    </row>
    <row r="194" spans="11:13" x14ac:dyDescent="0.2">
      <c r="K194" s="76">
        <v>44104</v>
      </c>
      <c r="L194" s="70">
        <v>0.5</v>
      </c>
      <c r="M194" s="70">
        <v>0.16</v>
      </c>
    </row>
    <row r="195" spans="11:13" x14ac:dyDescent="0.2">
      <c r="K195" s="76">
        <v>44105</v>
      </c>
      <c r="L195" s="70">
        <v>0.5</v>
      </c>
      <c r="M195" s="70">
        <v>0.16</v>
      </c>
    </row>
    <row r="196" spans="11:13" x14ac:dyDescent="0.2">
      <c r="K196" s="76">
        <v>44106</v>
      </c>
      <c r="L196" s="70">
        <v>0.5</v>
      </c>
      <c r="M196" s="70">
        <v>0.16</v>
      </c>
    </row>
    <row r="197" spans="11:13" x14ac:dyDescent="0.2">
      <c r="K197" s="76">
        <v>44107</v>
      </c>
      <c r="L197" s="70">
        <v>0.5</v>
      </c>
      <c r="M197" s="70">
        <v>0.16</v>
      </c>
    </row>
    <row r="198" spans="11:13" x14ac:dyDescent="0.2">
      <c r="K198" s="76">
        <v>44108</v>
      </c>
      <c r="L198" s="70">
        <v>0.5</v>
      </c>
      <c r="M198" s="70">
        <v>0.16</v>
      </c>
    </row>
    <row r="199" spans="11:13" x14ac:dyDescent="0.2">
      <c r="K199" s="76">
        <v>44109</v>
      </c>
      <c r="L199" s="70">
        <v>0.5</v>
      </c>
      <c r="M199" s="70">
        <v>0.16</v>
      </c>
    </row>
    <row r="200" spans="11:13" x14ac:dyDescent="0.2">
      <c r="K200" s="76">
        <v>44110</v>
      </c>
      <c r="L200" s="70">
        <v>0.5</v>
      </c>
      <c r="M200" s="70">
        <v>0.16</v>
      </c>
    </row>
    <row r="201" spans="11:13" x14ac:dyDescent="0.2">
      <c r="K201" s="76">
        <v>44111</v>
      </c>
      <c r="L201" s="70">
        <v>0.5</v>
      </c>
      <c r="M201" s="70">
        <v>0.16</v>
      </c>
    </row>
    <row r="202" spans="11:13" x14ac:dyDescent="0.2">
      <c r="K202" s="76">
        <v>44112</v>
      </c>
      <c r="L202" s="70">
        <v>0.5</v>
      </c>
      <c r="M202" s="70">
        <v>0.16</v>
      </c>
    </row>
    <row r="203" spans="11:13" x14ac:dyDescent="0.2">
      <c r="K203" s="76">
        <v>44113</v>
      </c>
      <c r="L203" s="70">
        <v>0.5</v>
      </c>
      <c r="M203" s="70">
        <v>0.16</v>
      </c>
    </row>
    <row r="204" spans="11:13" x14ac:dyDescent="0.2">
      <c r="K204" s="76">
        <v>44114</v>
      </c>
      <c r="L204" s="70">
        <v>0.5</v>
      </c>
      <c r="M204" s="70">
        <v>0.16</v>
      </c>
    </row>
    <row r="205" spans="11:13" x14ac:dyDescent="0.2">
      <c r="K205" s="76">
        <v>44115</v>
      </c>
      <c r="L205" s="70">
        <v>0.5</v>
      </c>
      <c r="M205" s="70">
        <v>0.16</v>
      </c>
    </row>
    <row r="206" spans="11:13" x14ac:dyDescent="0.2">
      <c r="K206" s="76">
        <v>44116</v>
      </c>
      <c r="L206" s="70">
        <v>0.5</v>
      </c>
      <c r="M206" s="70">
        <v>0.16</v>
      </c>
    </row>
    <row r="207" spans="11:13" x14ac:dyDescent="0.2">
      <c r="K207" s="76">
        <v>44117</v>
      </c>
      <c r="L207" s="70">
        <v>0.5</v>
      </c>
      <c r="M207" s="70">
        <v>0.16</v>
      </c>
    </row>
    <row r="208" spans="11:13" x14ac:dyDescent="0.2">
      <c r="K208" s="76">
        <v>44118</v>
      </c>
      <c r="L208" s="70">
        <v>0.5</v>
      </c>
      <c r="M208" s="70">
        <v>0.16</v>
      </c>
    </row>
    <row r="209" spans="11:13" x14ac:dyDescent="0.2">
      <c r="K209" s="76">
        <v>44119</v>
      </c>
      <c r="L209" s="70">
        <v>0.5</v>
      </c>
      <c r="M209" s="70">
        <v>0.16</v>
      </c>
    </row>
    <row r="210" spans="11:13" x14ac:dyDescent="0.2">
      <c r="K210" s="76">
        <v>44120</v>
      </c>
      <c r="L210" s="70">
        <v>0.5</v>
      </c>
      <c r="M210" s="70">
        <v>0.16</v>
      </c>
    </row>
    <row r="211" spans="11:13" x14ac:dyDescent="0.2">
      <c r="K211" s="76">
        <v>44121</v>
      </c>
      <c r="L211" s="70">
        <v>0.5</v>
      </c>
      <c r="M211" s="70">
        <v>0.16</v>
      </c>
    </row>
    <row r="212" spans="11:13" x14ac:dyDescent="0.2">
      <c r="K212" s="76">
        <v>44122</v>
      </c>
      <c r="L212" s="70">
        <v>0.5</v>
      </c>
      <c r="M212" s="70">
        <v>0.16</v>
      </c>
    </row>
    <row r="213" spans="11:13" x14ac:dyDescent="0.2">
      <c r="K213" s="76">
        <v>44123</v>
      </c>
      <c r="L213" s="70">
        <v>0.5</v>
      </c>
      <c r="M213" s="70">
        <v>0.16</v>
      </c>
    </row>
    <row r="214" spans="11:13" x14ac:dyDescent="0.2">
      <c r="K214" s="76">
        <v>44124</v>
      </c>
      <c r="L214" s="70">
        <v>0.5</v>
      </c>
      <c r="M214" s="70">
        <v>0.16</v>
      </c>
    </row>
    <row r="215" spans="11:13" x14ac:dyDescent="0.2">
      <c r="K215" s="76">
        <v>44125</v>
      </c>
      <c r="L215" s="70">
        <v>0.5</v>
      </c>
      <c r="M215" s="70">
        <v>0.16</v>
      </c>
    </row>
    <row r="216" spans="11:13" x14ac:dyDescent="0.2">
      <c r="K216" s="76">
        <v>44126</v>
      </c>
      <c r="L216" s="70">
        <v>0.5</v>
      </c>
      <c r="M216" s="70">
        <v>0.16</v>
      </c>
    </row>
    <row r="217" spans="11:13" x14ac:dyDescent="0.2">
      <c r="K217" s="76">
        <v>44127</v>
      </c>
      <c r="L217" s="70">
        <v>0.5</v>
      </c>
      <c r="M217" s="70">
        <v>0.16</v>
      </c>
    </row>
    <row r="218" spans="11:13" x14ac:dyDescent="0.2">
      <c r="K218" s="76">
        <v>44128</v>
      </c>
      <c r="L218" s="70">
        <v>0.5</v>
      </c>
      <c r="M218" s="70">
        <v>0.16</v>
      </c>
    </row>
    <row r="219" spans="11:13" x14ac:dyDescent="0.2">
      <c r="K219" s="76">
        <v>44129</v>
      </c>
      <c r="L219" s="70">
        <v>0.5</v>
      </c>
      <c r="M219" s="70">
        <v>0.16</v>
      </c>
    </row>
    <row r="220" spans="11:13" x14ac:dyDescent="0.2">
      <c r="K220" s="76">
        <v>44130</v>
      </c>
      <c r="L220" s="70">
        <v>0.5</v>
      </c>
      <c r="M220" s="70">
        <v>0.16</v>
      </c>
    </row>
    <row r="221" spans="11:13" x14ac:dyDescent="0.2">
      <c r="K221" s="76">
        <v>44131</v>
      </c>
      <c r="L221" s="70">
        <v>0.5</v>
      </c>
      <c r="M221" s="70">
        <v>0.16</v>
      </c>
    </row>
    <row r="222" spans="11:13" x14ac:dyDescent="0.2">
      <c r="K222" s="76">
        <v>44132</v>
      </c>
      <c r="L222" s="70">
        <v>0.5</v>
      </c>
      <c r="M222" s="70">
        <v>0.16</v>
      </c>
    </row>
    <row r="223" spans="11:13" x14ac:dyDescent="0.2">
      <c r="K223" s="76">
        <v>44133</v>
      </c>
      <c r="L223" s="70">
        <v>0.5</v>
      </c>
      <c r="M223" s="70">
        <v>0.16</v>
      </c>
    </row>
    <row r="224" spans="11:13" x14ac:dyDescent="0.2">
      <c r="K224" s="76">
        <v>44134</v>
      </c>
      <c r="L224" s="70">
        <v>0.5</v>
      </c>
      <c r="M224" s="70">
        <v>0.16</v>
      </c>
    </row>
    <row r="225" spans="11:13" x14ac:dyDescent="0.2">
      <c r="K225" s="76">
        <v>44135</v>
      </c>
      <c r="L225" s="70">
        <v>0.5</v>
      </c>
      <c r="M225" s="70">
        <v>0.16</v>
      </c>
    </row>
    <row r="226" spans="11:13" x14ac:dyDescent="0.2">
      <c r="K226" s="76">
        <v>44136</v>
      </c>
      <c r="L226" s="70">
        <v>0.5</v>
      </c>
      <c r="M226" s="70">
        <v>0.16</v>
      </c>
    </row>
    <row r="227" spans="11:13" x14ac:dyDescent="0.2">
      <c r="K227" s="76">
        <v>44137</v>
      </c>
      <c r="L227" s="70">
        <v>0.5</v>
      </c>
      <c r="M227" s="70">
        <v>0.16</v>
      </c>
    </row>
    <row r="228" spans="11:13" x14ac:dyDescent="0.2">
      <c r="K228" s="76">
        <v>44138</v>
      </c>
      <c r="L228" s="70">
        <v>0.5</v>
      </c>
      <c r="M228" s="70">
        <v>0.16</v>
      </c>
    </row>
    <row r="229" spans="11:13" x14ac:dyDescent="0.2">
      <c r="K229" s="76">
        <v>44139</v>
      </c>
      <c r="L229" s="70">
        <v>0.5</v>
      </c>
      <c r="M229" s="70">
        <v>0.16</v>
      </c>
    </row>
    <row r="230" spans="11:13" x14ac:dyDescent="0.2">
      <c r="K230" s="76">
        <v>44140</v>
      </c>
      <c r="L230" s="70">
        <v>0.5</v>
      </c>
      <c r="M230" s="70">
        <v>0.16</v>
      </c>
    </row>
    <row r="231" spans="11:13" x14ac:dyDescent="0.2">
      <c r="K231" s="76">
        <v>44141</v>
      </c>
      <c r="L231" s="70">
        <v>0.5</v>
      </c>
      <c r="M231" s="70">
        <v>0.16</v>
      </c>
    </row>
    <row r="232" spans="11:13" x14ac:dyDescent="0.2">
      <c r="K232" s="76">
        <v>44142</v>
      </c>
      <c r="L232" s="70">
        <v>0.5</v>
      </c>
      <c r="M232" s="70">
        <v>0.16</v>
      </c>
    </row>
    <row r="233" spans="11:13" x14ac:dyDescent="0.2">
      <c r="K233" s="76">
        <v>44143</v>
      </c>
      <c r="L233" s="70">
        <v>0.5</v>
      </c>
      <c r="M233" s="70">
        <v>0.16</v>
      </c>
    </row>
    <row r="234" spans="11:13" x14ac:dyDescent="0.2">
      <c r="K234" s="76">
        <v>44144</v>
      </c>
      <c r="L234" s="70">
        <v>0.5</v>
      </c>
      <c r="M234" s="70">
        <v>0.16</v>
      </c>
    </row>
    <row r="235" spans="11:13" x14ac:dyDescent="0.2">
      <c r="K235" s="76">
        <v>44145</v>
      </c>
      <c r="L235" s="70">
        <v>0.5</v>
      </c>
      <c r="M235" s="70">
        <v>0.16</v>
      </c>
    </row>
    <row r="236" spans="11:13" x14ac:dyDescent="0.2">
      <c r="K236" s="76">
        <v>44146</v>
      </c>
      <c r="L236" s="70">
        <v>0.5</v>
      </c>
      <c r="M236" s="70">
        <v>0.16</v>
      </c>
    </row>
    <row r="237" spans="11:13" x14ac:dyDescent="0.2">
      <c r="K237" s="76">
        <v>44147</v>
      </c>
      <c r="L237" s="70">
        <v>0.5</v>
      </c>
      <c r="M237" s="70">
        <v>0.16</v>
      </c>
    </row>
    <row r="238" spans="11:13" x14ac:dyDescent="0.2">
      <c r="K238" s="76">
        <v>44148</v>
      </c>
      <c r="L238" s="70">
        <v>0.5</v>
      </c>
      <c r="M238" s="70">
        <v>0.16</v>
      </c>
    </row>
    <row r="239" spans="11:13" x14ac:dyDescent="0.2">
      <c r="K239" s="76">
        <v>44149</v>
      </c>
      <c r="L239" s="70">
        <v>0.5</v>
      </c>
      <c r="M239" s="70">
        <v>0.16</v>
      </c>
    </row>
    <row r="240" spans="11:13" x14ac:dyDescent="0.2">
      <c r="K240" s="76">
        <v>44150</v>
      </c>
      <c r="L240" s="70">
        <v>0.5</v>
      </c>
      <c r="M240" s="70">
        <v>0.16</v>
      </c>
    </row>
    <row r="241" spans="11:13" x14ac:dyDescent="0.2">
      <c r="K241" s="76">
        <v>44151</v>
      </c>
      <c r="L241" s="70">
        <v>0.5</v>
      </c>
      <c r="M241" s="70">
        <v>0.16</v>
      </c>
    </row>
    <row r="242" spans="11:13" x14ac:dyDescent="0.2">
      <c r="K242" s="76">
        <v>44152</v>
      </c>
      <c r="L242" s="70">
        <v>0.5</v>
      </c>
      <c r="M242" s="70">
        <v>0.16</v>
      </c>
    </row>
    <row r="243" spans="11:13" x14ac:dyDescent="0.2">
      <c r="K243" s="76">
        <v>44153</v>
      </c>
      <c r="L243" s="70">
        <v>0.5</v>
      </c>
      <c r="M243" s="70">
        <v>0.16</v>
      </c>
    </row>
    <row r="244" spans="11:13" x14ac:dyDescent="0.2">
      <c r="K244" s="76">
        <v>44154</v>
      </c>
      <c r="L244" s="70">
        <v>0.5</v>
      </c>
      <c r="M244" s="70">
        <v>0.16</v>
      </c>
    </row>
    <row r="245" spans="11:13" x14ac:dyDescent="0.2">
      <c r="K245" s="76">
        <v>44155</v>
      </c>
      <c r="L245" s="70">
        <v>0.5</v>
      </c>
      <c r="M245" s="70">
        <v>0.16</v>
      </c>
    </row>
    <row r="246" spans="11:13" x14ac:dyDescent="0.2">
      <c r="K246" s="76">
        <v>44156</v>
      </c>
      <c r="L246" s="70">
        <v>0.5</v>
      </c>
      <c r="M246" s="70">
        <v>0.16</v>
      </c>
    </row>
    <row r="247" spans="11:13" x14ac:dyDescent="0.2">
      <c r="K247" s="76">
        <v>44157</v>
      </c>
      <c r="L247" s="70">
        <v>0.5</v>
      </c>
      <c r="M247" s="70">
        <v>0.16</v>
      </c>
    </row>
    <row r="248" spans="11:13" x14ac:dyDescent="0.2">
      <c r="K248" s="76">
        <v>44158</v>
      </c>
      <c r="L248" s="70">
        <v>0.5</v>
      </c>
      <c r="M248" s="70">
        <v>0.16</v>
      </c>
    </row>
    <row r="249" spans="11:13" x14ac:dyDescent="0.2">
      <c r="K249" s="76">
        <v>44159</v>
      </c>
      <c r="L249" s="70">
        <v>0.5</v>
      </c>
      <c r="M249" s="70">
        <v>0.16</v>
      </c>
    </row>
    <row r="250" spans="11:13" x14ac:dyDescent="0.2">
      <c r="K250" s="76">
        <v>44160</v>
      </c>
      <c r="L250" s="70">
        <v>0.5</v>
      </c>
      <c r="M250" s="70">
        <v>0.16</v>
      </c>
    </row>
    <row r="251" spans="11:13" x14ac:dyDescent="0.2">
      <c r="K251" s="76">
        <v>44161</v>
      </c>
      <c r="L251" s="70">
        <v>0.5</v>
      </c>
      <c r="M251" s="70">
        <v>0.16</v>
      </c>
    </row>
    <row r="252" spans="11:13" x14ac:dyDescent="0.2">
      <c r="K252" s="76">
        <v>44162</v>
      </c>
      <c r="L252" s="70">
        <v>0.5</v>
      </c>
      <c r="M252" s="70">
        <v>0.16</v>
      </c>
    </row>
    <row r="253" spans="11:13" x14ac:dyDescent="0.2">
      <c r="K253" s="76">
        <v>44163</v>
      </c>
      <c r="L253" s="70">
        <v>0.5</v>
      </c>
      <c r="M253" s="70">
        <v>0.16</v>
      </c>
    </row>
    <row r="254" spans="11:13" x14ac:dyDescent="0.2">
      <c r="K254" s="76">
        <v>44164</v>
      </c>
      <c r="L254" s="70">
        <v>0.5</v>
      </c>
      <c r="M254" s="70">
        <v>0.16</v>
      </c>
    </row>
    <row r="255" spans="11:13" x14ac:dyDescent="0.2">
      <c r="K255" s="76">
        <v>44165</v>
      </c>
      <c r="L255" s="70">
        <v>0.5</v>
      </c>
      <c r="M255" s="70">
        <v>0.16</v>
      </c>
    </row>
    <row r="256" spans="11:13" x14ac:dyDescent="0.2">
      <c r="K256" s="76">
        <v>44166</v>
      </c>
      <c r="L256" s="70">
        <v>0.5</v>
      </c>
      <c r="M256" s="70">
        <v>0.16</v>
      </c>
    </row>
    <row r="257" spans="11:13" x14ac:dyDescent="0.2">
      <c r="K257" s="76">
        <v>44167</v>
      </c>
      <c r="L257" s="70">
        <v>0.5</v>
      </c>
      <c r="M257" s="70">
        <v>0.16</v>
      </c>
    </row>
    <row r="258" spans="11:13" x14ac:dyDescent="0.2">
      <c r="K258" s="76">
        <v>44168</v>
      </c>
      <c r="L258" s="70">
        <v>0.5</v>
      </c>
      <c r="M258" s="70">
        <v>0.16</v>
      </c>
    </row>
    <row r="259" spans="11:13" x14ac:dyDescent="0.2">
      <c r="K259" s="76">
        <v>44169</v>
      </c>
      <c r="L259" s="70">
        <v>0.5</v>
      </c>
      <c r="M259" s="70">
        <v>0.16</v>
      </c>
    </row>
    <row r="260" spans="11:13" x14ac:dyDescent="0.2">
      <c r="K260" s="76">
        <v>44170</v>
      </c>
      <c r="L260" s="70">
        <v>0.5</v>
      </c>
      <c r="M260" s="70">
        <v>0.16</v>
      </c>
    </row>
    <row r="261" spans="11:13" x14ac:dyDescent="0.2">
      <c r="K261" s="76">
        <v>44171</v>
      </c>
      <c r="L261" s="70">
        <v>0.5</v>
      </c>
      <c r="M261" s="70">
        <v>0.16</v>
      </c>
    </row>
    <row r="262" spans="11:13" x14ac:dyDescent="0.2">
      <c r="K262" s="76">
        <v>44172</v>
      </c>
      <c r="L262" s="70">
        <v>0.5</v>
      </c>
      <c r="M262" s="70">
        <v>0.16</v>
      </c>
    </row>
    <row r="263" spans="11:13" x14ac:dyDescent="0.2">
      <c r="K263" s="76">
        <v>44173</v>
      </c>
      <c r="L263" s="70">
        <v>0.5</v>
      </c>
      <c r="M263" s="70">
        <v>0.16</v>
      </c>
    </row>
    <row r="264" spans="11:13" x14ac:dyDescent="0.2">
      <c r="K264" s="76">
        <v>44174</v>
      </c>
      <c r="L264" s="70">
        <v>0.5</v>
      </c>
      <c r="M264" s="70">
        <v>0.16</v>
      </c>
    </row>
    <row r="265" spans="11:13" x14ac:dyDescent="0.2">
      <c r="K265" s="76">
        <v>44175</v>
      </c>
      <c r="L265" s="70">
        <v>0.5</v>
      </c>
      <c r="M265" s="70">
        <v>0.16</v>
      </c>
    </row>
    <row r="266" spans="11:13" x14ac:dyDescent="0.2">
      <c r="K266" s="76">
        <v>44176</v>
      </c>
      <c r="L266" s="70">
        <v>0.5</v>
      </c>
      <c r="M266" s="70">
        <v>0.16</v>
      </c>
    </row>
    <row r="267" spans="11:13" x14ac:dyDescent="0.2">
      <c r="K267" s="76">
        <v>44177</v>
      </c>
      <c r="L267" s="70">
        <v>0.5</v>
      </c>
      <c r="M267" s="70">
        <v>0.16</v>
      </c>
    </row>
    <row r="268" spans="11:13" x14ac:dyDescent="0.2">
      <c r="K268" s="76">
        <v>44178</v>
      </c>
      <c r="L268" s="70">
        <v>0.5</v>
      </c>
      <c r="M268" s="70">
        <v>0.16</v>
      </c>
    </row>
    <row r="269" spans="11:13" x14ac:dyDescent="0.2">
      <c r="K269" s="76">
        <v>44179</v>
      </c>
      <c r="L269" s="70">
        <v>0.5</v>
      </c>
      <c r="M269" s="70">
        <v>0.16</v>
      </c>
    </row>
    <row r="270" spans="11:13" x14ac:dyDescent="0.2">
      <c r="K270" s="76">
        <v>44180</v>
      </c>
      <c r="L270" s="70">
        <v>0.5</v>
      </c>
      <c r="M270" s="70">
        <v>0.16</v>
      </c>
    </row>
    <row r="271" spans="11:13" x14ac:dyDescent="0.2">
      <c r="K271" s="76">
        <v>44181</v>
      </c>
      <c r="L271" s="70">
        <v>0.5</v>
      </c>
      <c r="M271" s="70">
        <v>0.16</v>
      </c>
    </row>
    <row r="272" spans="11:13" x14ac:dyDescent="0.2">
      <c r="K272" s="76">
        <v>44182</v>
      </c>
      <c r="L272" s="70">
        <v>0.5</v>
      </c>
      <c r="M272" s="70">
        <v>0.16</v>
      </c>
    </row>
    <row r="273" spans="11:13" x14ac:dyDescent="0.2">
      <c r="K273" s="76">
        <v>44183</v>
      </c>
      <c r="L273" s="70">
        <v>0.5</v>
      </c>
      <c r="M273" s="70">
        <v>0.16</v>
      </c>
    </row>
    <row r="274" spans="11:13" x14ac:dyDescent="0.2">
      <c r="K274" s="76">
        <v>44184</v>
      </c>
      <c r="L274" s="70">
        <v>0.5</v>
      </c>
      <c r="M274" s="70">
        <v>0.16</v>
      </c>
    </row>
    <row r="275" spans="11:13" x14ac:dyDescent="0.2">
      <c r="K275" s="76">
        <v>44185</v>
      </c>
      <c r="L275" s="70">
        <v>0.5</v>
      </c>
      <c r="M275" s="70">
        <v>0.16</v>
      </c>
    </row>
    <row r="276" spans="11:13" x14ac:dyDescent="0.2">
      <c r="K276" s="76">
        <v>44186</v>
      </c>
      <c r="L276" s="70">
        <v>0.5</v>
      </c>
      <c r="M276" s="70">
        <v>0.16</v>
      </c>
    </row>
    <row r="277" spans="11:13" x14ac:dyDescent="0.2">
      <c r="K277" s="76">
        <v>44187</v>
      </c>
      <c r="L277" s="70">
        <v>0.5</v>
      </c>
      <c r="M277" s="70">
        <v>0.16</v>
      </c>
    </row>
    <row r="278" spans="11:13" x14ac:dyDescent="0.2">
      <c r="K278" s="76">
        <v>44188</v>
      </c>
      <c r="L278" s="70">
        <v>0.5</v>
      </c>
      <c r="M278" s="70">
        <v>0.16</v>
      </c>
    </row>
    <row r="279" spans="11:13" x14ac:dyDescent="0.2">
      <c r="K279" s="76">
        <v>44189</v>
      </c>
      <c r="L279" s="70">
        <v>0.5</v>
      </c>
      <c r="M279" s="70">
        <v>0.16</v>
      </c>
    </row>
    <row r="280" spans="11:13" x14ac:dyDescent="0.2">
      <c r="K280" s="76">
        <v>44190</v>
      </c>
      <c r="L280" s="70">
        <v>0.5</v>
      </c>
      <c r="M280" s="70">
        <v>0.16</v>
      </c>
    </row>
    <row r="281" spans="11:13" x14ac:dyDescent="0.2">
      <c r="K281" s="76">
        <v>44191</v>
      </c>
      <c r="L281" s="70">
        <v>0.5</v>
      </c>
      <c r="M281" s="70">
        <v>0.16</v>
      </c>
    </row>
    <row r="282" spans="11:13" x14ac:dyDescent="0.2">
      <c r="K282" s="76">
        <v>44192</v>
      </c>
      <c r="L282" s="70">
        <v>0.5</v>
      </c>
      <c r="M282" s="70">
        <v>0.16</v>
      </c>
    </row>
    <row r="283" spans="11:13" x14ac:dyDescent="0.2">
      <c r="K283" s="76">
        <v>44193</v>
      </c>
      <c r="L283" s="70">
        <v>0.5</v>
      </c>
      <c r="M283" s="70">
        <v>0.16</v>
      </c>
    </row>
    <row r="284" spans="11:13" x14ac:dyDescent="0.2">
      <c r="K284" s="76">
        <v>44194</v>
      </c>
      <c r="L284" s="70">
        <v>0.5</v>
      </c>
      <c r="M284" s="70">
        <v>0.16</v>
      </c>
    </row>
    <row r="285" spans="11:13" x14ac:dyDescent="0.2">
      <c r="K285" s="76">
        <v>44195</v>
      </c>
      <c r="L285" s="70">
        <v>0.5</v>
      </c>
      <c r="M285" s="70">
        <v>0.16</v>
      </c>
    </row>
    <row r="286" spans="11:13" x14ac:dyDescent="0.2">
      <c r="K286" s="76">
        <v>44196</v>
      </c>
      <c r="L286" s="70">
        <v>0.5</v>
      </c>
      <c r="M286" s="70">
        <v>0.16</v>
      </c>
    </row>
    <row r="287" spans="11:13" x14ac:dyDescent="0.2">
      <c r="K287" s="76">
        <v>44197</v>
      </c>
      <c r="L287" s="70">
        <v>0.5</v>
      </c>
      <c r="M287" s="70">
        <v>0.16</v>
      </c>
    </row>
    <row r="288" spans="11:13" x14ac:dyDescent="0.2">
      <c r="K288" s="76">
        <v>44198</v>
      </c>
      <c r="L288" s="70">
        <v>0.5</v>
      </c>
      <c r="M288" s="70">
        <v>0.16</v>
      </c>
    </row>
    <row r="289" spans="11:13" x14ac:dyDescent="0.2">
      <c r="K289" s="76">
        <v>44199</v>
      </c>
      <c r="L289" s="70">
        <v>0.5</v>
      </c>
      <c r="M289" s="70">
        <v>0.16</v>
      </c>
    </row>
    <row r="290" spans="11:13" x14ac:dyDescent="0.2">
      <c r="K290" s="76">
        <v>44200</v>
      </c>
      <c r="L290" s="70">
        <v>0.5</v>
      </c>
      <c r="M290" s="70">
        <v>0.16</v>
      </c>
    </row>
    <row r="291" spans="11:13" x14ac:dyDescent="0.2">
      <c r="K291" s="76">
        <v>44201</v>
      </c>
      <c r="L291" s="70">
        <v>0.5</v>
      </c>
      <c r="M291" s="70">
        <v>0.16</v>
      </c>
    </row>
    <row r="292" spans="11:13" x14ac:dyDescent="0.2">
      <c r="K292" s="76">
        <v>44202</v>
      </c>
      <c r="L292" s="70">
        <v>0.5</v>
      </c>
      <c r="M292" s="70">
        <v>0.16</v>
      </c>
    </row>
    <row r="293" spans="11:13" x14ac:dyDescent="0.2">
      <c r="K293" s="76">
        <v>44203</v>
      </c>
      <c r="L293" s="70">
        <v>0.5</v>
      </c>
      <c r="M293" s="70">
        <v>0.16</v>
      </c>
    </row>
    <row r="294" spans="11:13" x14ac:dyDescent="0.2">
      <c r="K294" s="76">
        <v>44204</v>
      </c>
      <c r="L294" s="70">
        <v>0.5</v>
      </c>
      <c r="M294" s="70">
        <v>0.16</v>
      </c>
    </row>
    <row r="295" spans="11:13" x14ac:dyDescent="0.2">
      <c r="K295" s="76">
        <v>44205</v>
      </c>
      <c r="L295" s="70">
        <v>0.5</v>
      </c>
      <c r="M295" s="70">
        <v>0.16</v>
      </c>
    </row>
    <row r="296" spans="11:13" x14ac:dyDescent="0.2">
      <c r="K296" s="76">
        <v>44206</v>
      </c>
      <c r="L296" s="70">
        <v>0.5</v>
      </c>
      <c r="M296" s="70">
        <v>0.16</v>
      </c>
    </row>
    <row r="297" spans="11:13" x14ac:dyDescent="0.2">
      <c r="K297" s="76">
        <v>44207</v>
      </c>
      <c r="L297" s="70">
        <v>0.5</v>
      </c>
      <c r="M297" s="70">
        <v>0.16</v>
      </c>
    </row>
    <row r="298" spans="11:13" x14ac:dyDescent="0.2">
      <c r="K298" s="76">
        <v>44208</v>
      </c>
      <c r="L298" s="70">
        <v>0.5</v>
      </c>
      <c r="M298" s="70">
        <v>0.16</v>
      </c>
    </row>
    <row r="299" spans="11:13" x14ac:dyDescent="0.2">
      <c r="K299" s="76">
        <v>44209</v>
      </c>
      <c r="L299" s="70">
        <v>0.5</v>
      </c>
      <c r="M299" s="70">
        <v>0.16</v>
      </c>
    </row>
    <row r="300" spans="11:13" x14ac:dyDescent="0.2">
      <c r="K300" s="76">
        <v>44210</v>
      </c>
      <c r="L300" s="70">
        <v>0.5</v>
      </c>
      <c r="M300" s="70">
        <v>0.16</v>
      </c>
    </row>
    <row r="301" spans="11:13" x14ac:dyDescent="0.2">
      <c r="K301" s="76">
        <v>44211</v>
      </c>
      <c r="L301" s="70">
        <v>0.5</v>
      </c>
      <c r="M301" s="70">
        <v>0.16</v>
      </c>
    </row>
    <row r="302" spans="11:13" x14ac:dyDescent="0.2">
      <c r="K302" s="76">
        <v>44212</v>
      </c>
      <c r="L302" s="70">
        <v>0.5</v>
      </c>
      <c r="M302" s="70">
        <v>0.16</v>
      </c>
    </row>
    <row r="303" spans="11:13" x14ac:dyDescent="0.2">
      <c r="K303" s="76">
        <v>44213</v>
      </c>
      <c r="L303" s="70">
        <v>0.5</v>
      </c>
      <c r="M303" s="70">
        <v>0.16</v>
      </c>
    </row>
    <row r="304" spans="11:13" x14ac:dyDescent="0.2">
      <c r="K304" s="76">
        <v>44214</v>
      </c>
      <c r="L304" s="70">
        <v>0.5</v>
      </c>
      <c r="M304" s="70">
        <v>0.16</v>
      </c>
    </row>
    <row r="305" spans="11:13" x14ac:dyDescent="0.2">
      <c r="K305" s="76">
        <v>44215</v>
      </c>
      <c r="L305" s="70">
        <v>0.5</v>
      </c>
      <c r="M305" s="70">
        <v>0.16</v>
      </c>
    </row>
    <row r="306" spans="11:13" x14ac:dyDescent="0.2">
      <c r="K306" s="76">
        <v>44216</v>
      </c>
      <c r="L306" s="70">
        <v>0.5</v>
      </c>
      <c r="M306" s="70">
        <v>0.16</v>
      </c>
    </row>
    <row r="307" spans="11:13" x14ac:dyDescent="0.2">
      <c r="K307" s="76">
        <v>44217</v>
      </c>
      <c r="L307" s="70">
        <v>0.5</v>
      </c>
      <c r="M307" s="70">
        <v>0.16</v>
      </c>
    </row>
    <row r="308" spans="11:13" x14ac:dyDescent="0.2">
      <c r="K308" s="76">
        <v>44218</v>
      </c>
      <c r="L308" s="70">
        <v>0.5</v>
      </c>
      <c r="M308" s="70">
        <v>0.16</v>
      </c>
    </row>
    <row r="309" spans="11:13" x14ac:dyDescent="0.2">
      <c r="K309" s="76">
        <v>44219</v>
      </c>
      <c r="L309" s="70">
        <v>0.5</v>
      </c>
      <c r="M309" s="70">
        <v>0.16</v>
      </c>
    </row>
    <row r="310" spans="11:13" x14ac:dyDescent="0.2">
      <c r="K310" s="76">
        <v>44220</v>
      </c>
      <c r="L310" s="70">
        <v>0.5</v>
      </c>
      <c r="M310" s="70">
        <v>0.16</v>
      </c>
    </row>
    <row r="311" spans="11:13" x14ac:dyDescent="0.2">
      <c r="K311" s="76">
        <v>44221</v>
      </c>
      <c r="L311" s="70">
        <v>0.5</v>
      </c>
      <c r="M311" s="70">
        <v>0.16</v>
      </c>
    </row>
    <row r="312" spans="11:13" x14ac:dyDescent="0.2">
      <c r="K312" s="76">
        <v>44222</v>
      </c>
      <c r="L312" s="70">
        <v>0.5</v>
      </c>
      <c r="M312" s="70">
        <v>0.16</v>
      </c>
    </row>
    <row r="313" spans="11:13" x14ac:dyDescent="0.2">
      <c r="K313" s="76">
        <v>44223</v>
      </c>
      <c r="L313" s="70">
        <v>0.5</v>
      </c>
      <c r="M313" s="70">
        <v>0.16</v>
      </c>
    </row>
    <row r="314" spans="11:13" x14ac:dyDescent="0.2">
      <c r="K314" s="76">
        <v>44224</v>
      </c>
      <c r="L314" s="70">
        <v>0.5</v>
      </c>
      <c r="M314" s="70">
        <v>0.16</v>
      </c>
    </row>
    <row r="315" spans="11:13" x14ac:dyDescent="0.2">
      <c r="K315" s="76">
        <v>44225</v>
      </c>
      <c r="L315" s="70">
        <v>0.5</v>
      </c>
      <c r="M315" s="70">
        <v>0.16</v>
      </c>
    </row>
    <row r="316" spans="11:13" x14ac:dyDescent="0.2">
      <c r="K316" s="76">
        <v>44226</v>
      </c>
      <c r="L316" s="70">
        <v>0.5</v>
      </c>
      <c r="M316" s="70">
        <v>0.16</v>
      </c>
    </row>
    <row r="317" spans="11:13" x14ac:dyDescent="0.2">
      <c r="K317" s="76">
        <v>44227</v>
      </c>
      <c r="L317" s="70">
        <v>0.5</v>
      </c>
      <c r="M317" s="70">
        <v>0.16</v>
      </c>
    </row>
    <row r="318" spans="11:13" x14ac:dyDescent="0.2">
      <c r="K318" s="76">
        <v>44228</v>
      </c>
      <c r="L318" s="70">
        <v>0.5</v>
      </c>
      <c r="M318" s="70">
        <v>0.16</v>
      </c>
    </row>
    <row r="319" spans="11:13" x14ac:dyDescent="0.2">
      <c r="K319" s="76">
        <v>44229</v>
      </c>
      <c r="L319" s="70">
        <v>0.5</v>
      </c>
      <c r="M319" s="70">
        <v>0.16</v>
      </c>
    </row>
    <row r="320" spans="11:13" x14ac:dyDescent="0.2">
      <c r="K320" s="76">
        <v>44230</v>
      </c>
      <c r="L320" s="70">
        <v>0.5</v>
      </c>
      <c r="M320" s="70">
        <v>0.16</v>
      </c>
    </row>
    <row r="321" spans="11:13" x14ac:dyDescent="0.2">
      <c r="K321" s="76">
        <v>44231</v>
      </c>
      <c r="L321" s="70">
        <v>0.5</v>
      </c>
      <c r="M321" s="70">
        <v>0.16</v>
      </c>
    </row>
    <row r="322" spans="11:13" x14ac:dyDescent="0.2">
      <c r="K322" s="76">
        <v>44232</v>
      </c>
      <c r="L322" s="70">
        <v>0.5</v>
      </c>
      <c r="M322" s="70">
        <v>0.16</v>
      </c>
    </row>
    <row r="323" spans="11:13" x14ac:dyDescent="0.2">
      <c r="K323" s="76">
        <v>44233</v>
      </c>
      <c r="L323" s="70">
        <v>0.5</v>
      </c>
      <c r="M323" s="70">
        <v>0.16</v>
      </c>
    </row>
    <row r="324" spans="11:13" x14ac:dyDescent="0.2">
      <c r="K324" s="76">
        <v>44234</v>
      </c>
      <c r="L324" s="70">
        <v>0.5</v>
      </c>
      <c r="M324" s="70">
        <v>0.16</v>
      </c>
    </row>
    <row r="325" spans="11:13" x14ac:dyDescent="0.2">
      <c r="K325" s="76">
        <v>44235</v>
      </c>
      <c r="L325" s="70">
        <v>0.5</v>
      </c>
      <c r="M325" s="70">
        <v>0.16</v>
      </c>
    </row>
    <row r="326" spans="11:13" x14ac:dyDescent="0.2">
      <c r="K326" s="76">
        <v>44236</v>
      </c>
      <c r="L326" s="70">
        <v>0.5</v>
      </c>
      <c r="M326" s="70">
        <v>0.16</v>
      </c>
    </row>
    <row r="327" spans="11:13" x14ac:dyDescent="0.2">
      <c r="K327" s="76">
        <v>44237</v>
      </c>
      <c r="L327" s="70">
        <v>0.5</v>
      </c>
      <c r="M327" s="70">
        <v>0.16</v>
      </c>
    </row>
    <row r="328" spans="11:13" x14ac:dyDescent="0.2">
      <c r="K328" s="76">
        <v>44238</v>
      </c>
      <c r="L328" s="70">
        <v>0.5</v>
      </c>
      <c r="M328" s="70">
        <v>0.16</v>
      </c>
    </row>
    <row r="329" spans="11:13" x14ac:dyDescent="0.2">
      <c r="K329" s="76">
        <v>44239</v>
      </c>
      <c r="L329" s="70">
        <v>0.5</v>
      </c>
      <c r="M329" s="70">
        <v>0.16</v>
      </c>
    </row>
    <row r="330" spans="11:13" x14ac:dyDescent="0.2">
      <c r="K330" s="76">
        <v>44240</v>
      </c>
      <c r="L330" s="70">
        <v>0.5</v>
      </c>
      <c r="M330" s="70">
        <v>0.16</v>
      </c>
    </row>
    <row r="331" spans="11:13" x14ac:dyDescent="0.2">
      <c r="K331" s="76">
        <v>44241</v>
      </c>
      <c r="L331" s="70">
        <v>0.5</v>
      </c>
      <c r="M331" s="70">
        <v>0.16</v>
      </c>
    </row>
    <row r="332" spans="11:13" x14ac:dyDescent="0.2">
      <c r="K332" s="76">
        <v>44242</v>
      </c>
      <c r="L332" s="70">
        <v>0.5</v>
      </c>
      <c r="M332" s="70">
        <v>0.16</v>
      </c>
    </row>
    <row r="333" spans="11:13" x14ac:dyDescent="0.2">
      <c r="K333" s="76">
        <v>44243</v>
      </c>
      <c r="L333" s="70">
        <v>0.5</v>
      </c>
      <c r="M333" s="70">
        <v>0.16</v>
      </c>
    </row>
    <row r="334" spans="11:13" x14ac:dyDescent="0.2">
      <c r="K334" s="76">
        <v>44244</v>
      </c>
      <c r="L334" s="70">
        <v>0.5</v>
      </c>
      <c r="M334" s="70">
        <v>0.16</v>
      </c>
    </row>
    <row r="335" spans="11:13" x14ac:dyDescent="0.2">
      <c r="K335" s="76">
        <v>44245</v>
      </c>
      <c r="L335" s="70">
        <v>0.5</v>
      </c>
      <c r="M335" s="70">
        <v>0.16</v>
      </c>
    </row>
    <row r="336" spans="11:13" x14ac:dyDescent="0.2">
      <c r="K336" s="76">
        <v>44246</v>
      </c>
      <c r="L336" s="70">
        <v>0.5</v>
      </c>
      <c r="M336" s="70">
        <v>0.16</v>
      </c>
    </row>
    <row r="337" spans="11:13" x14ac:dyDescent="0.2">
      <c r="K337" s="76">
        <v>44247</v>
      </c>
      <c r="L337" s="70">
        <v>0.5</v>
      </c>
      <c r="M337" s="70">
        <v>0.16</v>
      </c>
    </row>
    <row r="338" spans="11:13" x14ac:dyDescent="0.2">
      <c r="K338" s="76">
        <v>44248</v>
      </c>
      <c r="L338" s="70">
        <v>0.5</v>
      </c>
      <c r="M338" s="70">
        <v>0.16</v>
      </c>
    </row>
    <row r="339" spans="11:13" x14ac:dyDescent="0.2">
      <c r="K339" s="76">
        <v>44249</v>
      </c>
      <c r="L339" s="70">
        <v>0.5</v>
      </c>
      <c r="M339" s="70">
        <v>0.16</v>
      </c>
    </row>
    <row r="340" spans="11:13" x14ac:dyDescent="0.2">
      <c r="K340" s="76">
        <v>44250</v>
      </c>
      <c r="L340" s="70">
        <v>0.5</v>
      </c>
      <c r="M340" s="70">
        <v>0.16</v>
      </c>
    </row>
    <row r="341" spans="11:13" x14ac:dyDescent="0.2">
      <c r="K341" s="76">
        <v>44251</v>
      </c>
      <c r="L341" s="70">
        <v>0.5</v>
      </c>
      <c r="M341" s="70">
        <v>0.16</v>
      </c>
    </row>
    <row r="342" spans="11:13" x14ac:dyDescent="0.2">
      <c r="K342" s="76">
        <v>44252</v>
      </c>
      <c r="L342" s="70">
        <v>0.5</v>
      </c>
      <c r="M342" s="70">
        <v>0.16</v>
      </c>
    </row>
    <row r="343" spans="11:13" x14ac:dyDescent="0.2">
      <c r="K343" s="76">
        <v>44253</v>
      </c>
      <c r="L343" s="70">
        <v>0.5</v>
      </c>
      <c r="M343" s="70">
        <v>0.16</v>
      </c>
    </row>
    <row r="344" spans="11:13" x14ac:dyDescent="0.2">
      <c r="K344" s="76">
        <v>44254</v>
      </c>
      <c r="L344" s="70">
        <v>0.5</v>
      </c>
      <c r="M344" s="70">
        <v>0.16</v>
      </c>
    </row>
    <row r="345" spans="11:13" x14ac:dyDescent="0.2">
      <c r="K345" s="76">
        <v>44255</v>
      </c>
      <c r="L345" s="70">
        <v>0.5</v>
      </c>
      <c r="M345" s="70">
        <v>0.16</v>
      </c>
    </row>
    <row r="346" spans="11:13" x14ac:dyDescent="0.2">
      <c r="K346" s="76">
        <v>44256</v>
      </c>
      <c r="L346" s="70">
        <v>0.5</v>
      </c>
      <c r="M346" s="70">
        <v>0.16</v>
      </c>
    </row>
    <row r="347" spans="11:13" x14ac:dyDescent="0.2">
      <c r="K347" s="76">
        <v>44257</v>
      </c>
      <c r="L347" s="70">
        <v>0.5</v>
      </c>
      <c r="M347" s="70">
        <v>0.16</v>
      </c>
    </row>
    <row r="348" spans="11:13" x14ac:dyDescent="0.2">
      <c r="K348" s="76">
        <v>44258</v>
      </c>
      <c r="L348" s="70">
        <v>0.5</v>
      </c>
      <c r="M348" s="70">
        <v>0.16</v>
      </c>
    </row>
    <row r="349" spans="11:13" x14ac:dyDescent="0.2">
      <c r="K349" s="76">
        <v>44259</v>
      </c>
      <c r="L349" s="70">
        <v>0.5</v>
      </c>
      <c r="M349" s="70">
        <v>0.16</v>
      </c>
    </row>
    <row r="350" spans="11:13" x14ac:dyDescent="0.2">
      <c r="K350" s="76">
        <v>44260</v>
      </c>
      <c r="L350" s="70">
        <v>0.5</v>
      </c>
      <c r="M350" s="70">
        <v>0.16</v>
      </c>
    </row>
    <row r="351" spans="11:13" x14ac:dyDescent="0.2">
      <c r="K351" s="76">
        <v>44261</v>
      </c>
      <c r="L351" s="70">
        <v>0.5</v>
      </c>
      <c r="M351" s="70">
        <v>0.16</v>
      </c>
    </row>
    <row r="352" spans="11:13" x14ac:dyDescent="0.2">
      <c r="K352" s="76">
        <v>44262</v>
      </c>
      <c r="L352" s="70">
        <v>0.5</v>
      </c>
      <c r="M352" s="70">
        <v>0.16</v>
      </c>
    </row>
    <row r="353" spans="11:13" x14ac:dyDescent="0.2">
      <c r="K353" s="76">
        <v>44263</v>
      </c>
      <c r="L353" s="70">
        <v>0.5</v>
      </c>
      <c r="M353" s="70">
        <v>0.16</v>
      </c>
    </row>
    <row r="354" spans="11:13" x14ac:dyDescent="0.2">
      <c r="K354" s="76">
        <v>44264</v>
      </c>
      <c r="L354" s="70">
        <v>0.5</v>
      </c>
      <c r="M354" s="70">
        <v>0.16</v>
      </c>
    </row>
    <row r="355" spans="11:13" x14ac:dyDescent="0.2">
      <c r="K355" s="76">
        <v>44265</v>
      </c>
      <c r="L355" s="70">
        <v>0.5</v>
      </c>
      <c r="M355" s="70">
        <v>0.16</v>
      </c>
    </row>
    <row r="356" spans="11:13" x14ac:dyDescent="0.2">
      <c r="K356" s="76">
        <v>44266</v>
      </c>
      <c r="L356" s="70">
        <v>0.5</v>
      </c>
      <c r="M356" s="70">
        <v>0.16</v>
      </c>
    </row>
    <row r="357" spans="11:13" x14ac:dyDescent="0.2">
      <c r="K357" s="76">
        <v>44267</v>
      </c>
      <c r="L357" s="70">
        <v>0.5</v>
      </c>
      <c r="M357" s="70">
        <v>0.16</v>
      </c>
    </row>
    <row r="358" spans="11:13" x14ac:dyDescent="0.2">
      <c r="K358" s="76">
        <v>44268</v>
      </c>
      <c r="L358" s="70">
        <v>0.5</v>
      </c>
      <c r="M358" s="70">
        <v>0.16</v>
      </c>
    </row>
    <row r="359" spans="11:13" x14ac:dyDescent="0.2">
      <c r="K359" s="76">
        <v>44269</v>
      </c>
      <c r="L359" s="70">
        <v>0.5</v>
      </c>
      <c r="M359" s="70">
        <v>0.16</v>
      </c>
    </row>
    <row r="360" spans="11:13" x14ac:dyDescent="0.2">
      <c r="K360" s="76">
        <v>44270</v>
      </c>
      <c r="L360" s="70">
        <v>0.5</v>
      </c>
      <c r="M360" s="70">
        <v>0.16</v>
      </c>
    </row>
    <row r="361" spans="11:13" x14ac:dyDescent="0.2">
      <c r="K361" s="76">
        <v>44271</v>
      </c>
      <c r="L361" s="70">
        <v>0.5</v>
      </c>
      <c r="M361" s="70">
        <v>0.16</v>
      </c>
    </row>
    <row r="362" spans="11:13" x14ac:dyDescent="0.2">
      <c r="K362" s="76">
        <v>44272</v>
      </c>
      <c r="L362" s="70">
        <v>0.5</v>
      </c>
      <c r="M362" s="70">
        <v>0.16</v>
      </c>
    </row>
    <row r="363" spans="11:13" x14ac:dyDescent="0.2">
      <c r="K363" s="76">
        <v>44273</v>
      </c>
      <c r="L363" s="70">
        <v>0.5</v>
      </c>
      <c r="M363" s="70">
        <v>0.16</v>
      </c>
    </row>
    <row r="364" spans="11:13" x14ac:dyDescent="0.2">
      <c r="K364" s="76">
        <v>44274</v>
      </c>
      <c r="L364" s="70">
        <v>0.5</v>
      </c>
      <c r="M364" s="70">
        <v>0.16</v>
      </c>
    </row>
    <row r="365" spans="11:13" x14ac:dyDescent="0.2">
      <c r="K365" s="76">
        <v>44275</v>
      </c>
      <c r="L365" s="70">
        <v>0.5</v>
      </c>
      <c r="M365" s="70">
        <v>0.16</v>
      </c>
    </row>
    <row r="366" spans="11:13" x14ac:dyDescent="0.2">
      <c r="K366" s="76">
        <v>44276</v>
      </c>
      <c r="L366" s="70">
        <v>0.5</v>
      </c>
      <c r="M366" s="70">
        <v>0.16</v>
      </c>
    </row>
    <row r="367" spans="11:13" x14ac:dyDescent="0.2">
      <c r="K367" s="76">
        <v>44277</v>
      </c>
      <c r="L367" s="70">
        <v>0.5</v>
      </c>
      <c r="M367" s="70">
        <v>0.16</v>
      </c>
    </row>
    <row r="368" spans="11:13" x14ac:dyDescent="0.2">
      <c r="K368" s="76">
        <v>44278</v>
      </c>
      <c r="L368" s="70">
        <v>0.5</v>
      </c>
      <c r="M368" s="70">
        <v>0.16</v>
      </c>
    </row>
    <row r="369" spans="11:13" x14ac:dyDescent="0.2">
      <c r="K369" s="76">
        <v>44279</v>
      </c>
      <c r="L369" s="70">
        <v>0.5</v>
      </c>
      <c r="M369" s="70">
        <v>0.16</v>
      </c>
    </row>
    <row r="370" spans="11:13" x14ac:dyDescent="0.2">
      <c r="K370" s="76">
        <v>44280</v>
      </c>
      <c r="L370" s="70">
        <v>0.5</v>
      </c>
      <c r="M370" s="70">
        <v>0.16</v>
      </c>
    </row>
    <row r="371" spans="11:13" x14ac:dyDescent="0.2">
      <c r="K371" s="76">
        <v>44281</v>
      </c>
      <c r="L371" s="70">
        <v>0.5</v>
      </c>
      <c r="M371" s="70">
        <v>0.16</v>
      </c>
    </row>
    <row r="372" spans="11:13" x14ac:dyDescent="0.2">
      <c r="K372" s="76">
        <v>44282</v>
      </c>
      <c r="L372" s="70">
        <v>0.5</v>
      </c>
      <c r="M372" s="70">
        <v>0.16</v>
      </c>
    </row>
    <row r="373" spans="11:13" x14ac:dyDescent="0.2">
      <c r="K373" s="76">
        <v>44283</v>
      </c>
      <c r="L373" s="70">
        <v>0.5</v>
      </c>
      <c r="M373" s="70">
        <v>0.16</v>
      </c>
    </row>
    <row r="374" spans="11:13" x14ac:dyDescent="0.2">
      <c r="K374" s="76">
        <v>44284</v>
      </c>
      <c r="L374" s="70">
        <v>0.5</v>
      </c>
      <c r="M374" s="70">
        <v>0.16</v>
      </c>
    </row>
    <row r="375" spans="11:13" x14ac:dyDescent="0.2">
      <c r="K375" s="76">
        <v>44285</v>
      </c>
      <c r="L375" s="70">
        <v>0.5</v>
      </c>
      <c r="M375" s="70">
        <v>0.16</v>
      </c>
    </row>
    <row r="376" spans="11:13" x14ac:dyDescent="0.2">
      <c r="K376" s="76">
        <v>44286</v>
      </c>
      <c r="L376" s="70">
        <v>0.5</v>
      </c>
      <c r="M376" s="70">
        <v>0.16</v>
      </c>
    </row>
    <row r="377" spans="11:13" x14ac:dyDescent="0.2">
      <c r="K377" s="76">
        <v>44287</v>
      </c>
      <c r="L377" s="70">
        <v>0.5</v>
      </c>
      <c r="M377" s="70">
        <v>0.16</v>
      </c>
    </row>
    <row r="378" spans="11:13" x14ac:dyDescent="0.2">
      <c r="K378" s="76">
        <v>44288</v>
      </c>
      <c r="L378" s="70">
        <v>0.5</v>
      </c>
      <c r="M378" s="70">
        <v>0.16</v>
      </c>
    </row>
    <row r="379" spans="11:13" x14ac:dyDescent="0.2">
      <c r="K379" s="76">
        <v>44289</v>
      </c>
      <c r="L379" s="70">
        <v>0.5</v>
      </c>
      <c r="M379" s="70">
        <v>0.16</v>
      </c>
    </row>
    <row r="380" spans="11:13" x14ac:dyDescent="0.2">
      <c r="K380" s="76">
        <v>44290</v>
      </c>
      <c r="L380" s="70">
        <v>0.5</v>
      </c>
      <c r="M380" s="70">
        <v>0.16</v>
      </c>
    </row>
    <row r="381" spans="11:13" x14ac:dyDescent="0.2">
      <c r="K381" s="76">
        <v>44291</v>
      </c>
      <c r="L381" s="70">
        <v>0.5</v>
      </c>
      <c r="M381" s="70">
        <v>0.16</v>
      </c>
    </row>
    <row r="382" spans="11:13" x14ac:dyDescent="0.2">
      <c r="K382" s="76">
        <v>44292</v>
      </c>
      <c r="L382" s="70">
        <v>0.5</v>
      </c>
      <c r="M382" s="70">
        <v>0.16</v>
      </c>
    </row>
    <row r="383" spans="11:13" x14ac:dyDescent="0.2">
      <c r="K383" s="76">
        <v>44293</v>
      </c>
      <c r="L383" s="70">
        <v>0.5</v>
      </c>
      <c r="M383" s="70">
        <v>0.16</v>
      </c>
    </row>
    <row r="384" spans="11:13" x14ac:dyDescent="0.2">
      <c r="K384" s="76">
        <v>44294</v>
      </c>
      <c r="L384" s="70">
        <v>0.5</v>
      </c>
      <c r="M384" s="70">
        <v>0.16</v>
      </c>
    </row>
    <row r="385" spans="11:13" x14ac:dyDescent="0.2">
      <c r="K385" s="76">
        <v>44295</v>
      </c>
      <c r="L385" s="70">
        <v>0.5</v>
      </c>
      <c r="M385" s="70">
        <v>0.16</v>
      </c>
    </row>
    <row r="386" spans="11:13" x14ac:dyDescent="0.2">
      <c r="K386" s="76">
        <v>44296</v>
      </c>
      <c r="L386" s="70">
        <v>0.5</v>
      </c>
      <c r="M386" s="70">
        <v>0.16</v>
      </c>
    </row>
    <row r="387" spans="11:13" x14ac:dyDescent="0.2">
      <c r="K387" s="76">
        <v>44297</v>
      </c>
      <c r="L387" s="70">
        <v>0.5</v>
      </c>
      <c r="M387" s="70">
        <v>0.16</v>
      </c>
    </row>
    <row r="388" spans="11:13" x14ac:dyDescent="0.2">
      <c r="K388" s="76">
        <v>44298</v>
      </c>
      <c r="L388" s="70">
        <v>0.5</v>
      </c>
      <c r="M388" s="70">
        <v>0.16</v>
      </c>
    </row>
    <row r="389" spans="11:13" x14ac:dyDescent="0.2">
      <c r="K389" s="76">
        <v>44299</v>
      </c>
      <c r="L389" s="70">
        <v>0.5</v>
      </c>
      <c r="M389" s="70">
        <v>0.16</v>
      </c>
    </row>
    <row r="390" spans="11:13" x14ac:dyDescent="0.2">
      <c r="K390" s="76">
        <v>44300</v>
      </c>
      <c r="L390" s="70">
        <v>0.5</v>
      </c>
      <c r="M390" s="70">
        <v>0.16</v>
      </c>
    </row>
    <row r="391" spans="11:13" x14ac:dyDescent="0.2">
      <c r="K391" s="76">
        <v>44301</v>
      </c>
      <c r="L391" s="70">
        <v>0.5</v>
      </c>
      <c r="M391" s="70">
        <v>0.16</v>
      </c>
    </row>
    <row r="392" spans="11:13" x14ac:dyDescent="0.2">
      <c r="K392" s="76">
        <v>44302</v>
      </c>
      <c r="L392" s="70">
        <v>0.5</v>
      </c>
      <c r="M392" s="70">
        <v>0.16</v>
      </c>
    </row>
    <row r="393" spans="11:13" x14ac:dyDescent="0.2">
      <c r="K393" s="76">
        <v>44303</v>
      </c>
      <c r="L393" s="70">
        <v>0.5</v>
      </c>
      <c r="M393" s="70">
        <v>0.16</v>
      </c>
    </row>
    <row r="394" spans="11:13" x14ac:dyDescent="0.2">
      <c r="K394" s="76">
        <v>44304</v>
      </c>
      <c r="L394" s="70">
        <v>0.5</v>
      </c>
      <c r="M394" s="70">
        <v>0.16</v>
      </c>
    </row>
    <row r="395" spans="11:13" x14ac:dyDescent="0.2">
      <c r="K395" s="76">
        <v>44305</v>
      </c>
      <c r="L395" s="70">
        <v>0.5</v>
      </c>
      <c r="M395" s="70">
        <v>0.16</v>
      </c>
    </row>
    <row r="396" spans="11:13" x14ac:dyDescent="0.2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N24" sqref="N2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M13" sqref="M13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 x14ac:dyDescent="0.85">
      <c r="A6" s="17"/>
      <c r="B6" s="24"/>
      <c r="C6" s="59">
        <f ca="1">compute!T9</f>
        <v>562</v>
      </c>
      <c r="D6" s="24"/>
      <c r="E6" s="17"/>
      <c r="F6" s="18"/>
      <c r="G6" s="82">
        <f ca="1">compute!T12</f>
        <v>4683.333333333333</v>
      </c>
      <c r="H6" s="22"/>
      <c r="I6" s="21"/>
    </row>
    <row r="7" spans="1:12" s="50" customFormat="1" ht="35" customHeight="1" x14ac:dyDescent="0.2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 x14ac:dyDescent="0.2">
      <c r="A8" s="43"/>
      <c r="B8" s="44"/>
      <c r="C8" s="45" t="str">
        <f ca="1">compute!U40</f>
        <v>doubing in 42.9 days</v>
      </c>
      <c r="D8" s="44"/>
      <c r="E8" s="43"/>
      <c r="F8" s="46"/>
      <c r="G8" s="47" t="str">
        <f ca="1">compute!U42</f>
        <v>+1.6% per day</v>
      </c>
      <c r="H8" s="48"/>
      <c r="I8" s="49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compute!T15</f>
        <v>4.2609822276066314E-2</v>
      </c>
      <c r="D14" s="18"/>
      <c r="E14" s="17"/>
      <c r="F14" s="18"/>
      <c r="G14" s="19">
        <f ca="1">compute!T18</f>
        <v>27.977020843924755</v>
      </c>
      <c r="H14" s="22"/>
      <c r="I14" s="21"/>
    </row>
    <row r="15" spans="1:12" ht="32" customHeight="1" x14ac:dyDescent="0.2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 x14ac:dyDescent="0.3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W44"/>
  <sheetViews>
    <sheetView tabSelected="1" workbookViewId="0">
      <selection sqref="A1:B27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0" width="10.6640625" style="79" customWidth="1"/>
    <col min="11" max="12" width="15.83203125" style="28" customWidth="1"/>
    <col min="13" max="13" width="12.6640625" style="16" customWidth="1"/>
    <col min="14" max="14" width="12.83203125" style="28" customWidth="1"/>
    <col min="15" max="15" width="14" customWidth="1"/>
    <col min="16" max="16" width="15.33203125" customWidth="1"/>
    <col min="17" max="17" width="11.5" style="4" customWidth="1"/>
    <col min="18" max="18" width="8.1640625" style="4" customWidth="1"/>
    <col min="19" max="20" width="18.1640625" style="3" customWidth="1"/>
    <col min="21" max="21" width="87.83203125" customWidth="1"/>
  </cols>
  <sheetData>
    <row r="1" spans="1:23" x14ac:dyDescent="0.2">
      <c r="A1" s="1" t="s">
        <v>40</v>
      </c>
      <c r="B1" s="1" t="s">
        <v>42</v>
      </c>
      <c r="C1" s="71"/>
    </row>
    <row r="2" spans="1:23" ht="17" x14ac:dyDescent="0.2">
      <c r="A2" s="1" t="s">
        <v>41</v>
      </c>
      <c r="B2" s="57">
        <v>91718</v>
      </c>
      <c r="C2" s="72"/>
    </row>
    <row r="3" spans="1:23" x14ac:dyDescent="0.2">
      <c r="A3" s="1" t="s">
        <v>43</v>
      </c>
      <c r="B3" s="54" t="s">
        <v>34</v>
      </c>
      <c r="C3" s="71"/>
    </row>
    <row r="4" spans="1:23" s="2" customFormat="1" ht="81" customHeight="1" thickBot="1" x14ac:dyDescent="0.25">
      <c r="A4" s="52" t="s">
        <v>0</v>
      </c>
      <c r="B4" s="5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25" t="s">
        <v>56</v>
      </c>
      <c r="L4" s="25" t="s">
        <v>57</v>
      </c>
      <c r="M4" s="13" t="s">
        <v>8</v>
      </c>
      <c r="N4" s="25" t="s">
        <v>9</v>
      </c>
      <c r="O4" s="6" t="s">
        <v>2</v>
      </c>
      <c r="P4" s="6" t="s">
        <v>3</v>
      </c>
      <c r="Q4" s="7" t="s">
        <v>7</v>
      </c>
      <c r="R4" s="7" t="s">
        <v>5</v>
      </c>
      <c r="S4" s="10" t="s">
        <v>10</v>
      </c>
      <c r="T4" s="10" t="s">
        <v>21</v>
      </c>
      <c r="U4" s="30" t="s">
        <v>20</v>
      </c>
    </row>
    <row r="5" spans="1:23" ht="17" x14ac:dyDescent="0.2">
      <c r="A5" s="8">
        <v>43913</v>
      </c>
      <c r="B5" s="9">
        <v>33</v>
      </c>
      <c r="C5" s="74">
        <f>Table2[[#This Row],[cases]]/$B$2</f>
        <v>3.5979851283281364E-4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Row],[cases]]*100/$S$19</f>
        <v>275</v>
      </c>
      <c r="G5" s="56">
        <f>Table2[[#This Row],[cases]]*100/$S$13</f>
        <v>122.22222222222223</v>
      </c>
      <c r="H5" s="56">
        <f>Table2[[#This Row],[cases]]*100/$S$16</f>
        <v>336.73469387755102</v>
      </c>
      <c r="I5" s="56">
        <f>Table2[[#This Row],[infection count, high end of estimate range]]-Table2[[#This Row],[infection count, low end of estimate range]]</f>
        <v>214.5124716553288</v>
      </c>
      <c r="J5" s="56">
        <f>(Table2[[#This Row],[infection count, low end of estimate range]]+Table2[[#This Row],[infection count, high end of estimate range]])/2</f>
        <v>229.47845804988663</v>
      </c>
      <c r="K5" s="26">
        <f>Table2[[#This Row],[infection count, low end of estimate range]]/$S$6</f>
        <v>1.3325870845659765E-3</v>
      </c>
      <c r="L5" s="26">
        <f>Table2[[#This Row],[infection count, high end of estimate range]]/$S$6</f>
        <v>3.6714133962532005E-3</v>
      </c>
      <c r="M5" s="14">
        <f>Table2[[#This Row],[infection percentage, high end of estimate range]]-Table2[[#This Row],[infection percentage, low end of estimate range]]</f>
        <v>2.3388263116872242E-3</v>
      </c>
      <c r="N5" s="26">
        <f>(Table2[[#This Row],[infection percentage, low end of estimate range]]+Table2[[#This Row],[infection percentage, high end of estimate range]])/2</f>
        <v>2.5020002404095884E-3</v>
      </c>
      <c r="O5" s="12">
        <f>$S$6/(Table2[[#This Row],[cases]]*5)</f>
        <v>555.86666666666667</v>
      </c>
      <c r="P5" s="12">
        <f>$S$6/(Table2[[#This Row],[cases]]*7)</f>
        <v>397.04761904761904</v>
      </c>
      <c r="Q5" s="3">
        <f>Table2[[#This Row],[1-in-X odds, estimating 5x cases infected]]-Table2[[#This Row],[1-in-X odds, estimating 7x cases infected]]</f>
        <v>158.81904761904764</v>
      </c>
      <c r="R5" s="5">
        <f>(Table2[[#This Row],[1-in-X odds, estimating 5x cases infected]]+Table2[[#This Row],[1-in-X odds, estimating 7x cases infected]])/2</f>
        <v>476.45714285714286</v>
      </c>
      <c r="S5" s="11" t="s">
        <v>11</v>
      </c>
      <c r="T5" s="11" t="s">
        <v>26</v>
      </c>
      <c r="U5" s="3"/>
      <c r="W5" s="1" t="s">
        <v>46</v>
      </c>
    </row>
    <row r="6" spans="1:23" x14ac:dyDescent="0.2">
      <c r="A6" s="8">
        <v>43914</v>
      </c>
      <c r="B6" s="9">
        <v>45</v>
      </c>
      <c r="C6" s="71">
        <f>Table2[[#This Row],[cases]]/$B$2</f>
        <v>4.9063433568110953E-4</v>
      </c>
      <c r="D6" s="26">
        <f>(Table2[[#This Row],[cases]]-B5)/B5</f>
        <v>0.36363636363636365</v>
      </c>
      <c r="E6" s="38">
        <f t="shared" si="0"/>
        <v>2.2348417429656711</v>
      </c>
      <c r="F6" s="81">
        <f>Table2[[#This Row],[cases]]*100/$S$19</f>
        <v>375</v>
      </c>
      <c r="G6" s="56">
        <f>Table2[[#This Row],[cases]]*100/$S$13</f>
        <v>166.66666666666666</v>
      </c>
      <c r="H6" s="56">
        <f>Table2[[#This Row],[cases]]*100/$S$16</f>
        <v>459.18367346938771</v>
      </c>
      <c r="I6" s="56">
        <f>Table2[[#This Row],[infection count, high end of estimate range]]-Table2[[#This Row],[infection count, low end of estimate range]]</f>
        <v>292.51700680272108</v>
      </c>
      <c r="J6" s="56">
        <f>(Table2[[#This Row],[infection count, low end of estimate range]]+Table2[[#This Row],[infection count, high end of estimate range]])/2</f>
        <v>312.92517006802717</v>
      </c>
      <c r="K6" s="26">
        <f>Table2[[#This Row],[infection count, low end of estimate range]]/$S$6</f>
        <v>1.8171642062263314E-3</v>
      </c>
      <c r="L6" s="26">
        <f>Table2[[#This Row],[infection count, high end of estimate range]]/$S$6</f>
        <v>5.0064728130725456E-3</v>
      </c>
      <c r="M6" s="14">
        <f>Table2[[#This Row],[infection percentage, high end of estimate range]]-Table2[[#This Row],[infection percentage, low end of estimate range]]</f>
        <v>3.189308606846214E-3</v>
      </c>
      <c r="N6" s="26">
        <f>(Table2[[#This Row],[infection percentage, low end of estimate range]]+Table2[[#This Row],[infection percentage, high end of estimate range]])/2</f>
        <v>3.4118185096494386E-3</v>
      </c>
      <c r="O6" s="12">
        <f>$S$6/(Table2[[#This Row],[cases]]*5)</f>
        <v>407.63555555555558</v>
      </c>
      <c r="P6" s="12">
        <f>$S$6/(Table2[[#This Row],[cases]]*7)</f>
        <v>291.16825396825396</v>
      </c>
      <c r="Q6" s="3">
        <f>Table2[[#This Row],[1-in-X odds, estimating 5x cases infected]]-Table2[[#This Row],[1-in-X odds, estimating 7x cases infected]]</f>
        <v>116.46730158730162</v>
      </c>
      <c r="R6" s="3">
        <f>(Table2[[#This Row],[1-in-X odds, estimating 5x cases infected]]+Table2[[#This Row],[1-in-X odds, estimating 7x cases infected]])/2</f>
        <v>349.4019047619048</v>
      </c>
      <c r="S6" s="3">
        <f>B2</f>
        <v>91718</v>
      </c>
      <c r="T6" s="29">
        <f ca="1">OFFSET(compute!A5,COUNTA(compute!A5:A10005)-1,0)</f>
        <v>43935</v>
      </c>
      <c r="U6" s="3"/>
      <c r="W6" t="str">
        <f>"Number of Confirmed COVID-19 Cases " &amp; B1</f>
        <v>Number of Confirmed COVID-19 Cases Miami Beach</v>
      </c>
    </row>
    <row r="7" spans="1:23" x14ac:dyDescent="0.2">
      <c r="A7" s="8">
        <v>43915</v>
      </c>
      <c r="B7" s="9">
        <v>50</v>
      </c>
      <c r="C7" s="71">
        <f>Table2[[#This Row],[cases]]/$B$2</f>
        <v>5.4514926186789942E-4</v>
      </c>
      <c r="D7" s="26">
        <f>(Table2[[#This Row],[cases]]-B6)/B6</f>
        <v>0.1111111111111111</v>
      </c>
      <c r="E7" s="38">
        <f t="shared" si="0"/>
        <v>6.5788134789605808</v>
      </c>
      <c r="F7" s="81">
        <f>Table2[[#This Row],[cases]]*100/$S$19</f>
        <v>416.66666666666669</v>
      </c>
      <c r="G7" s="56">
        <f>Table2[[#This Row],[cases]]*100/$S$13</f>
        <v>185.18518518518519</v>
      </c>
      <c r="H7" s="56">
        <f>Table2[[#This Row],[cases]]*100/$S$16</f>
        <v>510.20408163265301</v>
      </c>
      <c r="I7" s="56">
        <f>Table2[[#This Row],[infection count, high end of estimate range]]-Table2[[#This Row],[infection count, low end of estimate range]]</f>
        <v>325.0188964474678</v>
      </c>
      <c r="J7" s="56">
        <f>(Table2[[#This Row],[infection count, low end of estimate range]]+Table2[[#This Row],[infection count, high end of estimate range]])/2</f>
        <v>347.69463340891912</v>
      </c>
      <c r="K7" s="26">
        <f>Table2[[#This Row],[infection count, low end of estimate range]]/$S$6</f>
        <v>2.0190713402514792E-3</v>
      </c>
      <c r="L7" s="26">
        <f>Table2[[#This Row],[infection count, high end of estimate range]]/$S$6</f>
        <v>5.5627475700806058E-3</v>
      </c>
      <c r="M7" s="14">
        <f>Table2[[#This Row],[infection percentage, high end of estimate range]]-Table2[[#This Row],[infection percentage, low end of estimate range]]</f>
        <v>3.5436762298291266E-3</v>
      </c>
      <c r="N7" s="26">
        <f>(Table2[[#This Row],[infection percentage, low end of estimate range]]+Table2[[#This Row],[infection percentage, high end of estimate range]])/2</f>
        <v>3.7909094551660423E-3</v>
      </c>
      <c r="O7" s="12">
        <f>$S$6/(Table2[[#This Row],[cases]]*5)</f>
        <v>366.87200000000001</v>
      </c>
      <c r="P7" s="12">
        <f>$S$6/(Table2[[#This Row],[cases]]*7)</f>
        <v>262.05142857142857</v>
      </c>
      <c r="Q7" s="3">
        <f>Table2[[#This Row],[1-in-X odds, estimating 5x cases infected]]-Table2[[#This Row],[1-in-X odds, estimating 7x cases infected]]</f>
        <v>104.82057142857144</v>
      </c>
      <c r="R7" s="3">
        <f>(Table2[[#This Row],[1-in-X odds, estimating 5x cases infected]]+Table2[[#This Row],[1-in-X odds, estimating 7x cases infected]])/2</f>
        <v>314.46171428571427</v>
      </c>
      <c r="U7" s="3"/>
    </row>
    <row r="8" spans="1:23" x14ac:dyDescent="0.2">
      <c r="A8" s="8">
        <v>43916</v>
      </c>
      <c r="B8" s="9">
        <v>74</v>
      </c>
      <c r="C8" s="71">
        <f>Table2[[#This Row],[cases]]/$B$2</f>
        <v>8.068209075644912E-4</v>
      </c>
      <c r="D8" s="26">
        <f>(Table2[[#This Row],[cases]]-B7)/B7</f>
        <v>0.48</v>
      </c>
      <c r="E8" s="38">
        <f t="shared" si="0"/>
        <v>1.768042774417488</v>
      </c>
      <c r="F8" s="81">
        <f>Table2[[#This Row],[cases]]*100/$S$19</f>
        <v>616.66666666666663</v>
      </c>
      <c r="G8" s="56">
        <f>Table2[[#This Row],[cases]]*100/$S$13</f>
        <v>274.07407407407408</v>
      </c>
      <c r="H8" s="56">
        <f>Table2[[#This Row],[cases]]*100/$S$16</f>
        <v>755.10204081632651</v>
      </c>
      <c r="I8" s="56">
        <f>Table2[[#This Row],[infection count, high end of estimate range]]-Table2[[#This Row],[infection count, low end of estimate range]]</f>
        <v>481.02796674225243</v>
      </c>
      <c r="J8" s="56">
        <f>(Table2[[#This Row],[infection count, low end of estimate range]]+Table2[[#This Row],[infection count, high end of estimate range]])/2</f>
        <v>514.58805744520032</v>
      </c>
      <c r="K8" s="26">
        <f>Table2[[#This Row],[infection count, low end of estimate range]]/$S$6</f>
        <v>2.9882255835721894E-3</v>
      </c>
      <c r="L8" s="26">
        <f>Table2[[#This Row],[infection count, high end of estimate range]]/$S$6</f>
        <v>8.2328664037192977E-3</v>
      </c>
      <c r="M8" s="14">
        <f>Table2[[#This Row],[infection percentage, high end of estimate range]]-Table2[[#This Row],[infection percentage, low end of estimate range]]</f>
        <v>5.2446408201471083E-3</v>
      </c>
      <c r="N8" s="26">
        <f>(Table2[[#This Row],[infection percentage, low end of estimate range]]+Table2[[#This Row],[infection percentage, high end of estimate range]])/2</f>
        <v>5.6105459936457436E-3</v>
      </c>
      <c r="O8" s="12">
        <f>$S$6/(Table2[[#This Row],[cases]]*5)</f>
        <v>247.88648648648649</v>
      </c>
      <c r="P8" s="12">
        <f>$S$6/(Table2[[#This Row],[cases]]*7)</f>
        <v>177.06177606177607</v>
      </c>
      <c r="Q8" s="3">
        <f>Table2[[#This Row],[1-in-X odds, estimating 5x cases infected]]-Table2[[#This Row],[1-in-X odds, estimating 7x cases infected]]</f>
        <v>70.824710424710418</v>
      </c>
      <c r="R8" s="3">
        <f>(Table2[[#This Row],[1-in-X odds, estimating 5x cases infected]]+Table2[[#This Row],[1-in-X odds, estimating 7x cases infected]])/2</f>
        <v>212.47413127413128</v>
      </c>
      <c r="S8" s="34" t="s">
        <v>33</v>
      </c>
      <c r="T8" s="34" t="s">
        <v>25</v>
      </c>
      <c r="U8" s="3"/>
    </row>
    <row r="9" spans="1:23" x14ac:dyDescent="0.2">
      <c r="A9" s="8">
        <v>43917</v>
      </c>
      <c r="B9" s="9">
        <v>90</v>
      </c>
      <c r="C9" s="71">
        <f>Table2[[#This Row],[cases]]/$B$2</f>
        <v>9.8126867136221906E-4</v>
      </c>
      <c r="D9" s="26">
        <f>(Table2[[#This Row],[cases]]-B8)/B8</f>
        <v>0.21621621621621623</v>
      </c>
      <c r="E9" s="38">
        <f t="shared" si="0"/>
        <v>3.5410798640589243</v>
      </c>
      <c r="F9" s="81">
        <f>Table2[[#This Row],[cases]]*100/$S$19</f>
        <v>750</v>
      </c>
      <c r="G9" s="56">
        <f>Table2[[#This Row],[cases]]*100/$S$13</f>
        <v>333.33333333333331</v>
      </c>
      <c r="H9" s="56">
        <f>Table2[[#This Row],[cases]]*100/$S$16</f>
        <v>918.36734693877543</v>
      </c>
      <c r="I9" s="56">
        <f>Table2[[#This Row],[infection count, high end of estimate range]]-Table2[[#This Row],[infection count, low end of estimate range]]</f>
        <v>585.03401360544217</v>
      </c>
      <c r="J9" s="56">
        <f>(Table2[[#This Row],[infection count, low end of estimate range]]+Table2[[#This Row],[infection count, high end of estimate range]])/2</f>
        <v>625.85034013605434</v>
      </c>
      <c r="K9" s="26">
        <f>Table2[[#This Row],[infection count, low end of estimate range]]/$S$6</f>
        <v>3.6343284124526628E-3</v>
      </c>
      <c r="L9" s="26">
        <f>Table2[[#This Row],[infection count, high end of estimate range]]/$S$6</f>
        <v>1.0012945626145091E-2</v>
      </c>
      <c r="M9" s="14">
        <f>Table2[[#This Row],[infection percentage, high end of estimate range]]-Table2[[#This Row],[infection percentage, low end of estimate range]]</f>
        <v>6.378617213692428E-3</v>
      </c>
      <c r="N9" s="26">
        <f>(Table2[[#This Row],[infection percentage, low end of estimate range]]+Table2[[#This Row],[infection percentage, high end of estimate range]])/2</f>
        <v>6.8236370192988772E-3</v>
      </c>
      <c r="O9" s="12">
        <f>$S$6/(Table2[[#This Row],[cases]]*5)</f>
        <v>203.81777777777779</v>
      </c>
      <c r="P9" s="12">
        <f>$S$6/(Table2[[#This Row],[cases]]*7)</f>
        <v>145.58412698412698</v>
      </c>
      <c r="Q9" s="3">
        <f>Table2[[#This Row],[1-in-X odds, estimating 5x cases infected]]-Table2[[#This Row],[1-in-X odds, estimating 7x cases infected]]</f>
        <v>58.23365079365081</v>
      </c>
      <c r="R9" s="3">
        <f>(Table2[[#This Row],[1-in-X odds, estimating 5x cases infected]]+Table2[[#This Row],[1-in-X odds, estimating 7x cases infected]])/2</f>
        <v>174.7009523809524</v>
      </c>
      <c r="S9" s="34" t="str">
        <f>B3</f>
        <v>morning</v>
      </c>
      <c r="T9" s="3">
        <f ca="1">OFFSET(compute!B4,COUNTA(compute!B4:B10005)-1,0)</f>
        <v>562</v>
      </c>
      <c r="U9" s="3"/>
    </row>
    <row r="10" spans="1:23" x14ac:dyDescent="0.2">
      <c r="A10" s="8">
        <v>43918</v>
      </c>
      <c r="B10" s="9">
        <v>115</v>
      </c>
      <c r="C10" s="71">
        <f>Table2[[#This Row],[cases]]/$B$2</f>
        <v>1.2538433022961687E-3</v>
      </c>
      <c r="D10" s="26">
        <f>(Table2[[#This Row],[cases]]-B9)/B9</f>
        <v>0.27777777777777779</v>
      </c>
      <c r="E10" s="38">
        <f t="shared" si="0"/>
        <v>2.8277587705434639</v>
      </c>
      <c r="F10" s="81">
        <f>Table2[[#This Row],[cases]]*100/$S$19</f>
        <v>958.33333333333337</v>
      </c>
      <c r="G10" s="56">
        <f>Table2[[#This Row],[cases]]*100/$S$13</f>
        <v>425.92592592592592</v>
      </c>
      <c r="H10" s="56">
        <f>Table2[[#This Row],[cases]]*100/$S$16</f>
        <v>1173.4693877551019</v>
      </c>
      <c r="I10" s="56">
        <f>Table2[[#This Row],[infection count, high end of estimate range]]-Table2[[#This Row],[infection count, low end of estimate range]]</f>
        <v>747.54346182917607</v>
      </c>
      <c r="J10" s="56">
        <f>(Table2[[#This Row],[infection count, low end of estimate range]]+Table2[[#This Row],[infection count, high end of estimate range]])/2</f>
        <v>799.6976568405139</v>
      </c>
      <c r="K10" s="26">
        <f>Table2[[#This Row],[infection count, low end of estimate range]]/$S$6</f>
        <v>4.6438640825784026E-3</v>
      </c>
      <c r="L10" s="26">
        <f>Table2[[#This Row],[infection count, high end of estimate range]]/$S$6</f>
        <v>1.2794319411185393E-2</v>
      </c>
      <c r="M10" s="14">
        <f>Table2[[#This Row],[infection percentage, high end of estimate range]]-Table2[[#This Row],[infection percentage, low end of estimate range]]</f>
        <v>8.1504553286069897E-3</v>
      </c>
      <c r="N10" s="26">
        <f>(Table2[[#This Row],[infection percentage, low end of estimate range]]+Table2[[#This Row],[infection percentage, high end of estimate range]])/2</f>
        <v>8.7190917468818983E-3</v>
      </c>
      <c r="O10" s="12">
        <f>$S$6/(Table2[[#This Row],[cases]]*5)</f>
        <v>159.5095652173913</v>
      </c>
      <c r="P10" s="12">
        <f>$S$6/(Table2[[#This Row],[cases]]*7)</f>
        <v>113.93540372670807</v>
      </c>
      <c r="Q10" s="3">
        <f>Table2[[#This Row],[1-in-X odds, estimating 5x cases infected]]-Table2[[#This Row],[1-in-X odds, estimating 7x cases infected]]</f>
        <v>45.574161490683224</v>
      </c>
      <c r="R10" s="3">
        <f>(Table2[[#This Row],[1-in-X odds, estimating 5x cases infected]]+Table2[[#This Row],[1-in-X odds, estimating 7x cases infected]])/2</f>
        <v>136.7224844720497</v>
      </c>
      <c r="U10" s="3"/>
    </row>
    <row r="11" spans="1:23" x14ac:dyDescent="0.2">
      <c r="A11" s="8">
        <v>43919</v>
      </c>
      <c r="B11" s="9">
        <v>123</v>
      </c>
      <c r="C11" s="71">
        <f>Table2[[#This Row],[cases]]/$B$2</f>
        <v>1.3410671841950325E-3</v>
      </c>
      <c r="D11" s="26">
        <f>(Table2[[#This Row],[cases]]-B10)/B10</f>
        <v>6.9565217391304349E-2</v>
      </c>
      <c r="E11" s="38">
        <f t="shared" si="0"/>
        <v>10.30667996266442</v>
      </c>
      <c r="F11" s="81">
        <f>Table2[[#This Row],[cases]]*100/$S$19</f>
        <v>1025</v>
      </c>
      <c r="G11" s="56">
        <f>Table2[[#This Row],[cases]]*100/$S$13</f>
        <v>455.55555555555554</v>
      </c>
      <c r="H11" s="56">
        <f>Table2[[#This Row],[cases]]*100/$S$16</f>
        <v>1255.1020408163265</v>
      </c>
      <c r="I11" s="56">
        <f>Table2[[#This Row],[infection count, high end of estimate range]]-Table2[[#This Row],[infection count, low end of estimate range]]</f>
        <v>799.54648526077096</v>
      </c>
      <c r="J11" s="56">
        <f>(Table2[[#This Row],[infection count, low end of estimate range]]+Table2[[#This Row],[infection count, high end of estimate range]])/2</f>
        <v>855.32879818594097</v>
      </c>
      <c r="K11" s="26">
        <f>Table2[[#This Row],[infection count, low end of estimate range]]/$S$6</f>
        <v>4.9669154970186395E-3</v>
      </c>
      <c r="L11" s="26">
        <f>Table2[[#This Row],[infection count, high end of estimate range]]/$S$6</f>
        <v>1.3684359022398292E-2</v>
      </c>
      <c r="M11" s="14">
        <f>Table2[[#This Row],[infection percentage, high end of estimate range]]-Table2[[#This Row],[infection percentage, low end of estimate range]]</f>
        <v>8.7174435253796513E-3</v>
      </c>
      <c r="N11" s="26">
        <f>(Table2[[#This Row],[infection percentage, low end of estimate range]]+Table2[[#This Row],[infection percentage, high end of estimate range]])/2</f>
        <v>9.325637259708466E-3</v>
      </c>
      <c r="O11" s="12">
        <f>$S$6/(Table2[[#This Row],[cases]]*5)</f>
        <v>149.13495934959349</v>
      </c>
      <c r="P11" s="12">
        <f>$S$6/(Table2[[#This Row],[cases]]*7)</f>
        <v>106.52497096399536</v>
      </c>
      <c r="Q11" s="3">
        <f>Table2[[#This Row],[1-in-X odds, estimating 5x cases infected]]-Table2[[#This Row],[1-in-X odds, estimating 7x cases infected]]</f>
        <v>42.609988385598129</v>
      </c>
      <c r="R11" s="3">
        <f>(Table2[[#This Row],[1-in-X odds, estimating 5x cases infected]]+Table2[[#This Row],[1-in-X odds, estimating 7x cases infected]])/2</f>
        <v>127.82996515679443</v>
      </c>
      <c r="S11" s="3" t="s">
        <v>36</v>
      </c>
      <c r="T11" s="34" t="s">
        <v>27</v>
      </c>
      <c r="U11" s="3"/>
    </row>
    <row r="12" spans="1:23" x14ac:dyDescent="0.2">
      <c r="A12" s="8">
        <v>43920</v>
      </c>
      <c r="B12" s="9">
        <v>194</v>
      </c>
      <c r="C12" s="71">
        <f>Table2[[#This Row],[cases]]/$B$2</f>
        <v>2.1151791360474498E-3</v>
      </c>
      <c r="D12" s="26">
        <f>(Table2[[#This Row],[cases]]-B11)/B11</f>
        <v>0.57723577235772361</v>
      </c>
      <c r="E12" s="38">
        <f t="shared" si="0"/>
        <v>1.5211477485550517</v>
      </c>
      <c r="F12" s="81">
        <f>Table2[[#This Row],[cases]]*100/$S$19</f>
        <v>1616.6666666666667</v>
      </c>
      <c r="G12" s="56">
        <f>Table2[[#This Row],[cases]]*100/$S$13</f>
        <v>718.51851851851848</v>
      </c>
      <c r="H12" s="56">
        <f>Table2[[#This Row],[cases]]*100/$S$16</f>
        <v>1979.5918367346937</v>
      </c>
      <c r="I12" s="56">
        <f>Table2[[#This Row],[infection count, high end of estimate range]]-Table2[[#This Row],[infection count, low end of estimate range]]</f>
        <v>1261.0733182161753</v>
      </c>
      <c r="J12" s="56">
        <f>(Table2[[#This Row],[infection count, low end of estimate range]]+Table2[[#This Row],[infection count, high end of estimate range]])/2</f>
        <v>1349.0551776266061</v>
      </c>
      <c r="K12" s="26">
        <f>Table2[[#This Row],[infection count, low end of estimate range]]/$S$6</f>
        <v>7.8339968001757392E-3</v>
      </c>
      <c r="L12" s="26">
        <f>Table2[[#This Row],[infection count, high end of estimate range]]/$S$6</f>
        <v>2.1583460571912752E-2</v>
      </c>
      <c r="M12" s="14">
        <f>Table2[[#This Row],[infection percentage, high end of estimate range]]-Table2[[#This Row],[infection percentage, low end of estimate range]]</f>
        <v>1.3749463771737013E-2</v>
      </c>
      <c r="N12" s="26">
        <f>(Table2[[#This Row],[infection percentage, low end of estimate range]]+Table2[[#This Row],[infection percentage, high end of estimate range]])/2</f>
        <v>1.4708728686044246E-2</v>
      </c>
      <c r="O12" s="12">
        <f>$S$6/(Table2[[#This Row],[cases]]*5)</f>
        <v>94.554639175257734</v>
      </c>
      <c r="P12" s="12">
        <f>$S$6/(Table2[[#This Row],[cases]]*7)</f>
        <v>67.539027982326957</v>
      </c>
      <c r="Q12" s="3">
        <f>Table2[[#This Row],[1-in-X odds, estimating 5x cases infected]]-Table2[[#This Row],[1-in-X odds, estimating 7x cases infected]]</f>
        <v>27.015611192930777</v>
      </c>
      <c r="R12" s="3">
        <f>(Table2[[#This Row],[1-in-X odds, estimating 5x cases infected]]+Table2[[#This Row],[1-in-X odds, estimating 7x cases infected]])/2</f>
        <v>81.046833578792345</v>
      </c>
      <c r="S12" s="34" t="s">
        <v>37</v>
      </c>
      <c r="T12" s="35">
        <f ca="1">OFFSET(compute!F4,COUNTA(compute!F:F)-1,0)</f>
        <v>4683.333333333333</v>
      </c>
      <c r="U12" s="3"/>
    </row>
    <row r="13" spans="1:23" x14ac:dyDescent="0.2">
      <c r="A13" s="8">
        <v>43921</v>
      </c>
      <c r="B13" s="9">
        <v>236</v>
      </c>
      <c r="C13" s="71">
        <f>Table2[[#This Row],[cases]]/$B$2</f>
        <v>2.5731045160164853E-3</v>
      </c>
      <c r="D13" s="26">
        <f>(Table2[[#This Row],[cases]]-B12)/B12</f>
        <v>0.21649484536082475</v>
      </c>
      <c r="E13" s="38">
        <f t="shared" si="0"/>
        <v>3.5369407817893648</v>
      </c>
      <c r="F13" s="81">
        <f>Table2[[#This Row],[cases]]*100/$S$19</f>
        <v>1966.6666666666667</v>
      </c>
      <c r="G13" s="56">
        <f>Table2[[#This Row],[cases]]*100/$S$13</f>
        <v>874.07407407407402</v>
      </c>
      <c r="H13" s="56">
        <f>Table2[[#This Row],[cases]]*100/$S$16</f>
        <v>2408.1632653061224</v>
      </c>
      <c r="I13" s="56">
        <f>Table2[[#This Row],[infection count, high end of estimate range]]-Table2[[#This Row],[infection count, low end of estimate range]]</f>
        <v>1534.0891912320485</v>
      </c>
      <c r="J13" s="56">
        <f>(Table2[[#This Row],[infection count, low end of estimate range]]+Table2[[#This Row],[infection count, high end of estimate range]])/2</f>
        <v>1641.1186696900982</v>
      </c>
      <c r="K13" s="26">
        <f>Table2[[#This Row],[infection count, low end of estimate range]]/$S$6</f>
        <v>9.5300167259869829E-3</v>
      </c>
      <c r="L13" s="26">
        <f>Table2[[#This Row],[infection count, high end of estimate range]]/$S$6</f>
        <v>2.6256168530780461E-2</v>
      </c>
      <c r="M13" s="14">
        <f>Table2[[#This Row],[infection percentage, high end of estimate range]]-Table2[[#This Row],[infection percentage, low end of estimate range]]</f>
        <v>1.6726151804793477E-2</v>
      </c>
      <c r="N13" s="26">
        <f>(Table2[[#This Row],[infection percentage, low end of estimate range]]+Table2[[#This Row],[infection percentage, high end of estimate range]])/2</f>
        <v>1.7893092628383723E-2</v>
      </c>
      <c r="O13" s="12">
        <f>$S$6/(Table2[[#This Row],[cases]]*5)</f>
        <v>77.727118644067801</v>
      </c>
      <c r="P13" s="12">
        <f>$S$6/(Table2[[#This Row],[cases]]*7)</f>
        <v>55.519370460048428</v>
      </c>
      <c r="Q13" s="3">
        <f>Table2[[#This Row],[1-in-X odds, estimating 5x cases infected]]-Table2[[#This Row],[1-in-X odds, estimating 7x cases infected]]</f>
        <v>22.207748184019373</v>
      </c>
      <c r="R13" s="3">
        <f>(Table2[[#This Row],[1-in-X odds, estimating 5x cases infected]]+Table2[[#This Row],[1-in-X odds, estimating 7x cases infected]])/2</f>
        <v>66.623244552058111</v>
      </c>
      <c r="S13" s="3">
        <v>27</v>
      </c>
      <c r="U13" s="3"/>
    </row>
    <row r="14" spans="1:23" x14ac:dyDescent="0.2">
      <c r="A14" s="8">
        <v>43922</v>
      </c>
      <c r="B14" s="9">
        <v>252</v>
      </c>
      <c r="C14" s="71">
        <f>Table2[[#This Row],[cases]]/$B$2</f>
        <v>2.7475522798142129E-3</v>
      </c>
      <c r="D14" s="26">
        <f>(Table2[[#This Row],[cases]]-B13)/B13</f>
        <v>6.7796610169491525E-2</v>
      </c>
      <c r="E14" s="38">
        <f t="shared" si="0"/>
        <v>10.566705727632121</v>
      </c>
      <c r="F14" s="81">
        <f>Table2[[#This Row],[cases]]*100/$S$19</f>
        <v>2100</v>
      </c>
      <c r="G14" s="56">
        <f>Table2[[#This Row],[cases]]*100/$S$13</f>
        <v>933.33333333333337</v>
      </c>
      <c r="H14" s="56">
        <f>Table2[[#This Row],[cases]]*100/$S$16</f>
        <v>2571.4285714285711</v>
      </c>
      <c r="I14" s="56">
        <f>Table2[[#This Row],[infection count, high end of estimate range]]-Table2[[#This Row],[infection count, low end of estimate range]]</f>
        <v>1638.0952380952376</v>
      </c>
      <c r="J14" s="56">
        <f>(Table2[[#This Row],[infection count, low end of estimate range]]+Table2[[#This Row],[infection count, high end of estimate range]])/2</f>
        <v>1752.3809523809523</v>
      </c>
      <c r="K14" s="26">
        <f>Table2[[#This Row],[infection count, low end of estimate range]]/$S$6</f>
        <v>1.0176119554867457E-2</v>
      </c>
      <c r="L14" s="26">
        <f>Table2[[#This Row],[infection count, high end of estimate range]]/$S$6</f>
        <v>2.8036247753206255E-2</v>
      </c>
      <c r="M14" s="14">
        <f>Table2[[#This Row],[infection percentage, high end of estimate range]]-Table2[[#This Row],[infection percentage, low end of estimate range]]</f>
        <v>1.78601281983388E-2</v>
      </c>
      <c r="N14" s="26">
        <f>(Table2[[#This Row],[infection percentage, low end of estimate range]]+Table2[[#This Row],[infection percentage, high end of estimate range]])/2</f>
        <v>1.9106183654036855E-2</v>
      </c>
      <c r="O14" s="12">
        <f>$S$6/(Table2[[#This Row],[cases]]*5)</f>
        <v>72.792063492063491</v>
      </c>
      <c r="P14" s="12">
        <f>$S$6/(Table2[[#This Row],[cases]]*7)</f>
        <v>51.994331065759638</v>
      </c>
      <c r="Q14" s="3">
        <f>Table2[[#This Row],[1-in-X odds, estimating 5x cases infected]]-Table2[[#This Row],[1-in-X odds, estimating 7x cases infected]]</f>
        <v>20.797732426303853</v>
      </c>
      <c r="R14" s="3">
        <f>(Table2[[#This Row],[1-in-X odds, estimating 5x cases infected]]+Table2[[#This Row],[1-in-X odds, estimating 7x cases infected]])/2</f>
        <v>62.393197278911565</v>
      </c>
      <c r="T14" s="34" t="s">
        <v>28</v>
      </c>
      <c r="U14" s="3"/>
    </row>
    <row r="15" spans="1:23" x14ac:dyDescent="0.2">
      <c r="A15" s="8">
        <v>43923</v>
      </c>
      <c r="B15" s="9">
        <v>268</v>
      </c>
      <c r="C15" s="71">
        <f>Table2[[#This Row],[cases]]/$B$2</f>
        <v>2.922000043611941E-3</v>
      </c>
      <c r="D15" s="26">
        <f>(Table2[[#This Row],[cases]]-B14)/B14</f>
        <v>6.3492063492063489E-2</v>
      </c>
      <c r="E15" s="38">
        <f t="shared" si="0"/>
        <v>11.26008618531381</v>
      </c>
      <c r="F15" s="81">
        <f>Table2[[#This Row],[cases]]*100/$S$19</f>
        <v>2233.3333333333335</v>
      </c>
      <c r="G15" s="56">
        <f>Table2[[#This Row],[cases]]*100/$S$13</f>
        <v>992.59259259259261</v>
      </c>
      <c r="H15" s="56">
        <f>Table2[[#This Row],[cases]]*100/$S$16</f>
        <v>2734.6938775510203</v>
      </c>
      <c r="I15" s="56">
        <f>Table2[[#This Row],[infection count, high end of estimate range]]-Table2[[#This Row],[infection count, low end of estimate range]]</f>
        <v>1742.1012849584276</v>
      </c>
      <c r="J15" s="56">
        <f>(Table2[[#This Row],[infection count, low end of estimate range]]+Table2[[#This Row],[infection count, high end of estimate range]])/2</f>
        <v>1863.6432350718064</v>
      </c>
      <c r="K15" s="26">
        <f>Table2[[#This Row],[infection count, low end of estimate range]]/$S$6</f>
        <v>1.082222238374793E-2</v>
      </c>
      <c r="L15" s="26">
        <f>Table2[[#This Row],[infection count, high end of estimate range]]/$S$6</f>
        <v>2.9816326975632048E-2</v>
      </c>
      <c r="M15" s="14">
        <f>Table2[[#This Row],[infection percentage, high end of estimate range]]-Table2[[#This Row],[infection percentage, low end of estimate range]]</f>
        <v>1.8994104591884116E-2</v>
      </c>
      <c r="N15" s="26">
        <f>(Table2[[#This Row],[infection percentage, low end of estimate range]]+Table2[[#This Row],[infection percentage, high end of estimate range]])/2</f>
        <v>2.031927467968999E-2</v>
      </c>
      <c r="O15" s="12">
        <f>$S$6/(Table2[[#This Row],[cases]]*5)</f>
        <v>68.446268656716413</v>
      </c>
      <c r="P15" s="12">
        <f>$S$6/(Table2[[#This Row],[cases]]*7)</f>
        <v>48.890191897654582</v>
      </c>
      <c r="Q15" s="3">
        <f>Table2[[#This Row],[1-in-X odds, estimating 5x cases infected]]-Table2[[#This Row],[1-in-X odds, estimating 7x cases infected]]</f>
        <v>19.556076759061831</v>
      </c>
      <c r="R15" s="3">
        <f>(Table2[[#This Row],[1-in-X odds, estimating 5x cases infected]]+Table2[[#This Row],[1-in-X odds, estimating 7x cases infected]])/2</f>
        <v>58.668230277185501</v>
      </c>
      <c r="S15" s="34" t="s">
        <v>38</v>
      </c>
      <c r="T15" s="27">
        <f ca="1">OFFSET(compute!N4,COUNTA(compute!N:N)-1,0)</f>
        <v>4.2609822276066314E-2</v>
      </c>
      <c r="U15" s="3"/>
    </row>
    <row r="16" spans="1:23" x14ac:dyDescent="0.2">
      <c r="A16" s="8">
        <v>43924</v>
      </c>
      <c r="B16" s="9">
        <v>302</v>
      </c>
      <c r="C16" s="71">
        <f>Table2[[#This Row],[cases]]/$B$2</f>
        <v>3.2927015416821127E-3</v>
      </c>
      <c r="D16" s="26">
        <f>(Table2[[#This Row],[cases]]-B15)/B15</f>
        <v>0.12686567164179105</v>
      </c>
      <c r="E16" s="38">
        <f t="shared" si="0"/>
        <v>5.803306820384857</v>
      </c>
      <c r="F16" s="81">
        <f>Table2[[#This Row],[cases]]*100/$S$19</f>
        <v>2516.6666666666665</v>
      </c>
      <c r="G16" s="56">
        <f>Table2[[#This Row],[cases]]*100/$S$13</f>
        <v>1118.5185185185185</v>
      </c>
      <c r="H16" s="56">
        <f>Table2[[#This Row],[cases]]*100/$S$16</f>
        <v>3081.6326530612241</v>
      </c>
      <c r="I16" s="56">
        <f>Table2[[#This Row],[infection count, high end of estimate range]]-Table2[[#This Row],[infection count, low end of estimate range]]</f>
        <v>1963.1141345427056</v>
      </c>
      <c r="J16" s="56">
        <f>(Table2[[#This Row],[infection count, low end of estimate range]]+Table2[[#This Row],[infection count, high end of estimate range]])/2</f>
        <v>2100.0755857898712</v>
      </c>
      <c r="K16" s="26">
        <f>Table2[[#This Row],[infection count, low end of estimate range]]/$S$6</f>
        <v>1.2195190895118935E-2</v>
      </c>
      <c r="L16" s="26">
        <f>Table2[[#This Row],[infection count, high end of estimate range]]/$S$6</f>
        <v>3.3598995323286862E-2</v>
      </c>
      <c r="M16" s="14">
        <f>Table2[[#This Row],[infection percentage, high end of estimate range]]-Table2[[#This Row],[infection percentage, low end of estimate range]]</f>
        <v>2.1403804428167927E-2</v>
      </c>
      <c r="N16" s="26">
        <f>(Table2[[#This Row],[infection percentage, low end of estimate range]]+Table2[[#This Row],[infection percentage, high end of estimate range]])/2</f>
        <v>2.2897093109202897E-2</v>
      </c>
      <c r="O16" s="12">
        <f>$S$6/(Table2[[#This Row],[cases]]*5)</f>
        <v>60.740397350993376</v>
      </c>
      <c r="P16" s="12">
        <f>$S$6/(Table2[[#This Row],[cases]]*7)</f>
        <v>43.385998107852416</v>
      </c>
      <c r="Q16" s="3">
        <f>Table2[[#This Row],[1-in-X odds, estimating 5x cases infected]]-Table2[[#This Row],[1-in-X odds, estimating 7x cases infected]]</f>
        <v>17.354399243140961</v>
      </c>
      <c r="R16" s="3">
        <f>(Table2[[#This Row],[1-in-X odds, estimating 5x cases infected]]+Table2[[#This Row],[1-in-X odds, estimating 7x cases infected]])/2</f>
        <v>52.063197729422896</v>
      </c>
      <c r="S16" s="3">
        <v>9.8000000000000007</v>
      </c>
      <c r="U16" s="3"/>
    </row>
    <row r="17" spans="1:21" x14ac:dyDescent="0.2">
      <c r="A17" s="8">
        <v>43925</v>
      </c>
      <c r="B17" s="9">
        <v>341</v>
      </c>
      <c r="C17" s="71">
        <f>Table2[[#This Row],[cases]]/$B$2</f>
        <v>3.7179179659390742E-3</v>
      </c>
      <c r="D17" s="26">
        <f>(Table2[[#This Row],[cases]]-B16)/B16</f>
        <v>0.12913907284768211</v>
      </c>
      <c r="E17" s="38">
        <f t="shared" si="0"/>
        <v>5.7070071702111713</v>
      </c>
      <c r="F17" s="81">
        <f>Table2[[#This Row],[cases]]*100/$S$19</f>
        <v>2841.6666666666665</v>
      </c>
      <c r="G17" s="56">
        <f>Table2[[#This Row],[cases]]*100/$S$13</f>
        <v>1262.962962962963</v>
      </c>
      <c r="H17" s="56">
        <f>Table2[[#This Row],[cases]]*100/$S$16</f>
        <v>3479.5918367346935</v>
      </c>
      <c r="I17" s="56">
        <f>Table2[[#This Row],[infection count, high end of estimate range]]-Table2[[#This Row],[infection count, low end of estimate range]]</f>
        <v>2216.6288737717305</v>
      </c>
      <c r="J17" s="56">
        <f>(Table2[[#This Row],[infection count, low end of estimate range]]+Table2[[#This Row],[infection count, high end of estimate range]])/2</f>
        <v>2371.2773998488283</v>
      </c>
      <c r="K17" s="26">
        <f>Table2[[#This Row],[infection count, low end of estimate range]]/$S$6</f>
        <v>1.377006654051509E-2</v>
      </c>
      <c r="L17" s="26">
        <f>Table2[[#This Row],[infection count, high end of estimate range]]/$S$6</f>
        <v>3.7937938427949729E-2</v>
      </c>
      <c r="M17" s="14">
        <f>Table2[[#This Row],[infection percentage, high end of estimate range]]-Table2[[#This Row],[infection percentage, low end of estimate range]]</f>
        <v>2.416787188743464E-2</v>
      </c>
      <c r="N17" s="26">
        <f>(Table2[[#This Row],[infection percentage, low end of estimate range]]+Table2[[#This Row],[infection percentage, high end of estimate range]])/2</f>
        <v>2.5854002484232409E-2</v>
      </c>
      <c r="O17" s="12">
        <f>$S$6/(Table2[[#This Row],[cases]]*5)</f>
        <v>53.793548387096777</v>
      </c>
      <c r="P17" s="12">
        <f>$S$6/(Table2[[#This Row],[cases]]*7)</f>
        <v>38.423963133640555</v>
      </c>
      <c r="Q17" s="3">
        <f>Table2[[#This Row],[1-in-X odds, estimating 5x cases infected]]-Table2[[#This Row],[1-in-X odds, estimating 7x cases infected]]</f>
        <v>15.369585253456222</v>
      </c>
      <c r="R17" s="3">
        <f>(Table2[[#This Row],[1-in-X odds, estimating 5x cases infected]]+Table2[[#This Row],[1-in-X odds, estimating 7x cases infected]])/2</f>
        <v>46.108755760368666</v>
      </c>
      <c r="T17" s="34" t="s">
        <v>29</v>
      </c>
      <c r="U17" s="3"/>
    </row>
    <row r="18" spans="1:21" x14ac:dyDescent="0.2">
      <c r="A18" s="8">
        <v>43926</v>
      </c>
      <c r="B18" s="9">
        <v>361</v>
      </c>
      <c r="C18" s="71">
        <f>Table2[[#This Row],[cases]]/$B$2</f>
        <v>3.9359776706862342E-3</v>
      </c>
      <c r="D18" s="26">
        <f>(Table2[[#This Row],[cases]]-B17)/B17</f>
        <v>5.865102639296188E-2</v>
      </c>
      <c r="E18" s="38">
        <f t="shared" si="0"/>
        <v>12.161441008974148</v>
      </c>
      <c r="F18" s="81">
        <f>Table2[[#This Row],[cases]]*100/$S$19</f>
        <v>3008.3333333333335</v>
      </c>
      <c r="G18" s="56">
        <f>Table2[[#This Row],[cases]]*100/$S$13</f>
        <v>1337.037037037037</v>
      </c>
      <c r="H18" s="56">
        <f>Table2[[#This Row],[cases]]*100/$S$16</f>
        <v>3683.6734693877547</v>
      </c>
      <c r="I18" s="56">
        <f>Table2[[#This Row],[infection count, high end of estimate range]]-Table2[[#This Row],[infection count, low end of estimate range]]</f>
        <v>2346.6364323507178</v>
      </c>
      <c r="J18" s="56">
        <f>(Table2[[#This Row],[infection count, low end of estimate range]]+Table2[[#This Row],[infection count, high end of estimate range]])/2</f>
        <v>2510.3552532123958</v>
      </c>
      <c r="K18" s="26">
        <f>Table2[[#This Row],[infection count, low end of estimate range]]/$S$6</f>
        <v>1.4577695076615681E-2</v>
      </c>
      <c r="L18" s="26">
        <f>Table2[[#This Row],[infection count, high end of estimate range]]/$S$6</f>
        <v>4.0163037455981973E-2</v>
      </c>
      <c r="M18" s="14">
        <f>Table2[[#This Row],[infection percentage, high end of estimate range]]-Table2[[#This Row],[infection percentage, low end of estimate range]]</f>
        <v>2.5585342379366292E-2</v>
      </c>
      <c r="N18" s="26">
        <f>(Table2[[#This Row],[infection percentage, low end of estimate range]]+Table2[[#This Row],[infection percentage, high end of estimate range]])/2</f>
        <v>2.7370366266298827E-2</v>
      </c>
      <c r="O18" s="12">
        <f>$S$6/(Table2[[#This Row],[cases]]*5)</f>
        <v>50.813296398891964</v>
      </c>
      <c r="P18" s="12">
        <f>$S$6/(Table2[[#This Row],[cases]]*7)</f>
        <v>36.295211713494261</v>
      </c>
      <c r="Q18" s="3">
        <f>Table2[[#This Row],[1-in-X odds, estimating 5x cases infected]]-Table2[[#This Row],[1-in-X odds, estimating 7x cases infected]]</f>
        <v>14.518084685397703</v>
      </c>
      <c r="R18" s="3">
        <f>(Table2[[#This Row],[1-in-X odds, estimating 5x cases infected]]+Table2[[#This Row],[1-in-X odds, estimating 7x cases infected]])/2</f>
        <v>43.554254056193116</v>
      </c>
      <c r="S18" s="34" t="s">
        <v>59</v>
      </c>
      <c r="T18" s="3">
        <f ca="1">OFFSET(compute!R4,COUNTA(compute!R:R)-1,0)</f>
        <v>27.977020843924755</v>
      </c>
      <c r="U18" s="3"/>
    </row>
    <row r="19" spans="1:21" x14ac:dyDescent="0.2">
      <c r="A19" s="8">
        <v>43927</v>
      </c>
      <c r="B19" s="9">
        <v>383</v>
      </c>
      <c r="C19" s="71">
        <f>Table2[[#This Row],[cases]]/$B$2</f>
        <v>4.1758433459081097E-3</v>
      </c>
      <c r="D19" s="26">
        <f>(Table2[[#This Row],[cases]]-B18)/B18</f>
        <v>6.0941828254847646E-2</v>
      </c>
      <c r="E19" s="38">
        <f t="shared" si="0"/>
        <v>11.717071844658532</v>
      </c>
      <c r="F19" s="81">
        <f>Table2[[#This Row],[cases]]*100/$S$19</f>
        <v>3191.6666666666665</v>
      </c>
      <c r="G19" s="35">
        <f>Table2[[#This Row],[cases]]*100/$S$13</f>
        <v>1418.5185185185185</v>
      </c>
      <c r="H19" s="35">
        <f>Table2[[#This Row],[cases]]*100/$S$16</f>
        <v>3908.163265306122</v>
      </c>
      <c r="I19" s="35">
        <f>Table2[[#This Row],[infection count, high end of estimate range]]-Table2[[#This Row],[infection count, low end of estimate range]]</f>
        <v>2489.6447467876033</v>
      </c>
      <c r="J19" s="35">
        <f>(Table2[[#This Row],[infection count, low end of estimate range]]+Table2[[#This Row],[infection count, high end of estimate range]])/2</f>
        <v>2663.3408919123203</v>
      </c>
      <c r="K19" s="27">
        <f>Table2[[#This Row],[infection count, low end of estimate range]]/$S$6</f>
        <v>1.5466086466326332E-2</v>
      </c>
      <c r="L19" s="26">
        <f>Table2[[#This Row],[infection count, high end of estimate range]]/$S$6</f>
        <v>4.2610646386817441E-2</v>
      </c>
      <c r="M19" s="15">
        <f>Table2[[#This Row],[infection percentage, high end of estimate range]]-Table2[[#This Row],[infection percentage, low end of estimate range]]</f>
        <v>2.7144559920491109E-2</v>
      </c>
      <c r="N19" s="27">
        <f>(Table2[[#This Row],[infection percentage, low end of estimate range]]+Table2[[#This Row],[infection percentage, high end of estimate range]])/2</f>
        <v>2.9038366426571885E-2</v>
      </c>
      <c r="O19" s="3">
        <f>$S$6/(Table2[[#This Row],[cases]]*5)</f>
        <v>47.894516971279373</v>
      </c>
      <c r="P19" s="3">
        <f>$S$6/(Table2[[#This Row],[cases]]*7)</f>
        <v>34.210369265199553</v>
      </c>
      <c r="Q19" s="3">
        <f>Table2[[#This Row],[1-in-X odds, estimating 5x cases infected]]-Table2[[#This Row],[1-in-X odds, estimating 7x cases infected]]</f>
        <v>13.68414770607982</v>
      </c>
      <c r="R19" s="3">
        <f>(Table2[[#This Row],[1-in-X odds, estimating 5x cases infected]]+Table2[[#This Row],[1-in-X odds, estimating 7x cases infected]])/2</f>
        <v>41.052443118239466</v>
      </c>
      <c r="S19" s="3">
        <v>12</v>
      </c>
      <c r="U19" s="32" t="s">
        <v>23</v>
      </c>
    </row>
    <row r="20" spans="1:21" x14ac:dyDescent="0.2">
      <c r="A20" s="8">
        <v>43928</v>
      </c>
      <c r="B20" s="9">
        <v>426</v>
      </c>
      <c r="C20" s="71">
        <f>Table2[[#This Row],[cases]]/$B$2</f>
        <v>4.6446717111145027E-3</v>
      </c>
      <c r="D20" s="26">
        <f>(Table2[[#This Row],[cases]]-B19)/B19</f>
        <v>0.1122715404699739</v>
      </c>
      <c r="E20" s="38">
        <f t="shared" si="0"/>
        <v>6.5142744106049149</v>
      </c>
      <c r="F20" s="81">
        <f>Table2[[#This Row],[cases]]*100/$S$19</f>
        <v>3550</v>
      </c>
      <c r="G20" s="35">
        <f>Table2[[#This Row],[cases]]*100/$S$13</f>
        <v>1577.7777777777778</v>
      </c>
      <c r="H20" s="35">
        <f>Table2[[#This Row],[cases]]*100/$S$16</f>
        <v>4346.9387755102034</v>
      </c>
      <c r="I20" s="35">
        <f>Table2[[#This Row],[infection count, high end of estimate range]]-Table2[[#This Row],[infection count, low end of estimate range]]</f>
        <v>2769.1609977324256</v>
      </c>
      <c r="J20" s="35">
        <f>(Table2[[#This Row],[infection count, low end of estimate range]]+Table2[[#This Row],[infection count, high end of estimate range]])/2</f>
        <v>2962.3582766439904</v>
      </c>
      <c r="K20" s="27">
        <f>Table2[[#This Row],[infection count, low end of estimate range]]/$S$6</f>
        <v>1.7202487818942604E-2</v>
      </c>
      <c r="L20" s="26">
        <f>Table2[[#This Row],[infection count, high end of estimate range]]/$S$6</f>
        <v>4.7394609297086762E-2</v>
      </c>
      <c r="M20" s="15">
        <f>Table2[[#This Row],[infection percentage, high end of estimate range]]-Table2[[#This Row],[infection percentage, low end of estimate range]]</f>
        <v>3.0192121478144159E-2</v>
      </c>
      <c r="N20" s="27">
        <f>(Table2[[#This Row],[infection percentage, low end of estimate range]]+Table2[[#This Row],[infection percentage, high end of estimate range]])/2</f>
        <v>3.2298548558014686E-2</v>
      </c>
      <c r="O20" s="3">
        <f>$S$6/(Table2[[#This Row],[cases]]*5)</f>
        <v>43.060093896713617</v>
      </c>
      <c r="P20" s="3">
        <f>$S$6/(Table2[[#This Row],[cases]]*7)</f>
        <v>30.757209926224011</v>
      </c>
      <c r="Q20" s="3">
        <f>Table2[[#This Row],[1-in-X odds, estimating 5x cases infected]]-Table2[[#This Row],[1-in-X odds, estimating 7x cases infected]]</f>
        <v>12.302883970489606</v>
      </c>
      <c r="R20" s="3">
        <f>(Table2[[#This Row],[1-in-X odds, estimating 5x cases infected]]+Table2[[#This Row],[1-in-X odds, estimating 7x cases infected]])/2</f>
        <v>36.908651911468816</v>
      </c>
      <c r="T20" s="34" t="s">
        <v>30</v>
      </c>
      <c r="U20" s="66" t="s">
        <v>22</v>
      </c>
    </row>
    <row r="21" spans="1:21" x14ac:dyDescent="0.2">
      <c r="A21" s="8">
        <v>43929</v>
      </c>
      <c r="B21" s="9">
        <v>453</v>
      </c>
      <c r="C21" s="71">
        <f>Table2[[#This Row],[cases]]/$B$2</f>
        <v>4.939052312523169E-3</v>
      </c>
      <c r="D21" s="26">
        <f>(Table2[[#This Row],[cases]]-B20)/B20</f>
        <v>6.3380281690140844E-2</v>
      </c>
      <c r="E21" s="38">
        <f t="shared" si="0"/>
        <v>11.27934634412482</v>
      </c>
      <c r="F21" s="81">
        <f>Table2[[#This Row],[cases]]*100/$S$19</f>
        <v>3775</v>
      </c>
      <c r="G21" s="35">
        <f>Table2[[#This Row],[cases]]*100/$S$13</f>
        <v>1677.7777777777778</v>
      </c>
      <c r="H21" s="35">
        <f>Table2[[#This Row],[cases]]*100/$S$16</f>
        <v>4622.4489795918362</v>
      </c>
      <c r="I21" s="35">
        <f>Table2[[#This Row],[infection count, high end of estimate range]]-Table2[[#This Row],[infection count, low end of estimate range]]</f>
        <v>2944.6712018140583</v>
      </c>
      <c r="J21" s="35">
        <f>(Table2[[#This Row],[infection count, low end of estimate range]]+Table2[[#This Row],[infection count, high end of estimate range]])/2</f>
        <v>3150.1133786848068</v>
      </c>
      <c r="K21" s="27">
        <f>Table2[[#This Row],[infection count, low end of estimate range]]/$S$6</f>
        <v>1.8292786342678405E-2</v>
      </c>
      <c r="L21" s="27">
        <f>Table2[[#This Row],[infection count, high end of estimate range]]/$S$6</f>
        <v>5.0398492984930286E-2</v>
      </c>
      <c r="M21" s="15">
        <f>Table2[[#This Row],[infection percentage, high end of estimate range]]-Table2[[#This Row],[infection percentage, low end of estimate range]]</f>
        <v>3.2105706642251881E-2</v>
      </c>
      <c r="N21" s="27">
        <f>(Table2[[#This Row],[infection percentage, low end of estimate range]]+Table2[[#This Row],[infection percentage, high end of estimate range]])/2</f>
        <v>3.4345639663804342E-2</v>
      </c>
      <c r="O21" s="3">
        <f>$S$6/(Table2[[#This Row],[cases]]*5)</f>
        <v>40.493598233995584</v>
      </c>
      <c r="P21" s="3">
        <f>$S$6/(Table2[[#This Row],[cases]]*7)</f>
        <v>28.923998738568276</v>
      </c>
      <c r="Q21" s="3">
        <f>Table2[[#This Row],[1-in-X odds, estimating 5x cases infected]]-Table2[[#This Row],[1-in-X odds, estimating 7x cases infected]]</f>
        <v>11.569599495427308</v>
      </c>
      <c r="R21" s="3">
        <f>(Table2[[#This Row],[1-in-X odds, estimating 5x cases infected]]+Table2[[#This Row],[1-in-X odds, estimating 7x cases infected]])/2</f>
        <v>34.708798486281928</v>
      </c>
      <c r="T21" s="3">
        <f ca="1">OFFSET(compute!E4,COUNTA(compute!E:E)-1,0)</f>
        <v>42.935684516821048</v>
      </c>
      <c r="U21" s="31"/>
    </row>
    <row r="22" spans="1:21" x14ac:dyDescent="0.2">
      <c r="A22" s="8">
        <v>43930</v>
      </c>
      <c r="B22" s="9">
        <v>464</v>
      </c>
      <c r="C22" s="71">
        <f>Table2[[#This Row],[cases]]/$B$2</f>
        <v>5.0589851501341068E-3</v>
      </c>
      <c r="D22" s="26">
        <f>(Table2[[#This Row],[cases]]-B21)/B21</f>
        <v>2.4282560706401765E-2</v>
      </c>
      <c r="E22" s="38">
        <f t="shared" ref="E22" si="1">(LN(2)/LN(B22/B21))</f>
        <v>28.890248909722647</v>
      </c>
      <c r="F22" s="81">
        <f>Table2[[#This Row],[cases]]*100/$S$19</f>
        <v>3866.6666666666665</v>
      </c>
      <c r="G22" s="35">
        <f>Table2[[#This Row],[cases]]*100/$S$13</f>
        <v>1718.5185185185185</v>
      </c>
      <c r="H22" s="35">
        <f>Table2[[#This Row],[cases]]*100/$S$16</f>
        <v>4734.6938775510198</v>
      </c>
      <c r="I22" s="35">
        <f>Table2[[#This Row],[infection count, high end of estimate range]]-Table2[[#This Row],[infection count, low end of estimate range]]</f>
        <v>3016.1753590325015</v>
      </c>
      <c r="J22" s="35">
        <f>(Table2[[#This Row],[infection count, low end of estimate range]]+Table2[[#This Row],[infection count, high end of estimate range]])/2</f>
        <v>3226.606198034769</v>
      </c>
      <c r="K22" s="27">
        <f>Table2[[#This Row],[infection count, low end of estimate range]]/$S$6</f>
        <v>1.8736982037533729E-2</v>
      </c>
      <c r="L22" s="27">
        <f>Table2[[#This Row],[infection count, high end of estimate range]]/$S$6</f>
        <v>5.162229745034802E-2</v>
      </c>
      <c r="M22" s="15">
        <f>Table2[[#This Row],[infection percentage, high end of estimate range]]-Table2[[#This Row],[infection percentage, low end of estimate range]]</f>
        <v>3.2885315412814295E-2</v>
      </c>
      <c r="N22" s="27">
        <f>(Table2[[#This Row],[infection percentage, low end of estimate range]]+Table2[[#This Row],[infection percentage, high end of estimate range]])/2</f>
        <v>3.5179639743940873E-2</v>
      </c>
      <c r="O22" s="3">
        <f>$S$6/(Table2[[#This Row],[cases]]*5)</f>
        <v>39.533620689655173</v>
      </c>
      <c r="P22" s="3">
        <f>$S$6/(Table2[[#This Row],[cases]]*7)</f>
        <v>28.238300492610836</v>
      </c>
      <c r="Q22" s="3">
        <f>Table2[[#This Row],[1-in-X odds, estimating 5x cases infected]]-Table2[[#This Row],[1-in-X odds, estimating 7x cases infected]]</f>
        <v>11.295320197044337</v>
      </c>
      <c r="R22" s="3">
        <f>(Table2[[#This Row],[1-in-X odds, estimating 5x cases infected]]+Table2[[#This Row],[1-in-X odds, estimating 7x cases infected]])/2</f>
        <v>33.885960591133006</v>
      </c>
      <c r="U22" s="31"/>
    </row>
    <row r="23" spans="1:21" x14ac:dyDescent="0.2">
      <c r="A23" s="8">
        <v>43931</v>
      </c>
      <c r="B23" s="9">
        <v>479</v>
      </c>
      <c r="C23" s="71">
        <f>Table2[[#This Row],[cases]]/$B$2</f>
        <v>5.2225299286944764E-3</v>
      </c>
      <c r="D23" s="26">
        <f>(Table2[[#This Row],[cases]]-B22)/B22</f>
        <v>3.2327586206896554E-2</v>
      </c>
      <c r="E23" s="38">
        <f t="shared" ref="E23" si="2">(LN(2)/LN(B23/B22))</f>
        <v>21.78608863977048</v>
      </c>
      <c r="F23" s="81">
        <f>Table2[[#This Row],[cases]]*100/$S$19</f>
        <v>3991.6666666666665</v>
      </c>
      <c r="G23" s="35">
        <f>Table2[[#This Row],[cases]]*100/$S$13</f>
        <v>1774.0740740740741</v>
      </c>
      <c r="H23" s="35">
        <f>Table2[[#This Row],[cases]]*100/$S$16</f>
        <v>4887.7551020408164</v>
      </c>
      <c r="I23" s="35">
        <f>Table2[[#This Row],[infection count, high end of estimate range]]-Table2[[#This Row],[infection count, low end of estimate range]]</f>
        <v>3113.6810279667425</v>
      </c>
      <c r="J23" s="35">
        <f>(Table2[[#This Row],[infection count, low end of estimate range]]+Table2[[#This Row],[infection count, high end of estimate range]])/2</f>
        <v>3330.9145880574451</v>
      </c>
      <c r="K23" s="27">
        <f>Table2[[#This Row],[infection count, low end of estimate range]]/$S$6</f>
        <v>1.9342703439609175E-2</v>
      </c>
      <c r="L23" s="27">
        <f>Table2[[#This Row],[infection count, high end of estimate range]]/$S$6</f>
        <v>5.3291121721372209E-2</v>
      </c>
      <c r="M23" s="15">
        <f>Table2[[#This Row],[infection percentage, high end of estimate range]]-Table2[[#This Row],[infection percentage, low end of estimate range]]</f>
        <v>3.3948418281763038E-2</v>
      </c>
      <c r="N23" s="27">
        <f>(Table2[[#This Row],[infection percentage, low end of estimate range]]+Table2[[#This Row],[infection percentage, high end of estimate range]])/2</f>
        <v>3.631691258049069E-2</v>
      </c>
      <c r="O23" s="3">
        <f>$S$6/(Table2[[#This Row],[cases]]*5)</f>
        <v>38.29561586638831</v>
      </c>
      <c r="P23" s="3">
        <f>$S$6/(Table2[[#This Row],[cases]]*7)</f>
        <v>27.354011333134505</v>
      </c>
      <c r="Q23" s="3">
        <f>Table2[[#This Row],[1-in-X odds, estimating 5x cases infected]]-Table2[[#This Row],[1-in-X odds, estimating 7x cases infected]]</f>
        <v>10.941604533253805</v>
      </c>
      <c r="R23" s="3">
        <f>(Table2[[#This Row],[1-in-X odds, estimating 5x cases infected]]+Table2[[#This Row],[1-in-X odds, estimating 7x cases infected]])/2</f>
        <v>32.824813599761406</v>
      </c>
      <c r="U23" s="31" t="s">
        <v>48</v>
      </c>
    </row>
    <row r="24" spans="1:21" x14ac:dyDescent="0.2">
      <c r="A24" s="8">
        <v>43932</v>
      </c>
      <c r="B24" s="9">
        <v>516</v>
      </c>
      <c r="C24" s="71">
        <f>Table2[[#This Row],[cases]]/$B$2</f>
        <v>5.6259403824767224E-3</v>
      </c>
      <c r="D24" s="26">
        <f>(Table2[[#This Row],[cases]]-B23)/B23</f>
        <v>7.724425887265135E-2</v>
      </c>
      <c r="E24" s="38">
        <f t="shared" ref="E24" si="3">(LN(2)/LN(B24/B23))</f>
        <v>9.3157220501103151</v>
      </c>
      <c r="F24" s="81">
        <f>Table2[[#This Row],[cases]]*100/$S$19</f>
        <v>4300</v>
      </c>
      <c r="G24" s="35">
        <f>Table2[[#This Row],[cases]]*100/$S$13</f>
        <v>1911.1111111111111</v>
      </c>
      <c r="H24" s="35">
        <f>Table2[[#This Row],[cases]]*100/$S$16</f>
        <v>5265.3061224489793</v>
      </c>
      <c r="I24" s="35">
        <f>Table2[[#This Row],[infection count, high end of estimate range]]-Table2[[#This Row],[infection count, low end of estimate range]]</f>
        <v>3354.195011337868</v>
      </c>
      <c r="J24" s="35">
        <f>(Table2[[#This Row],[infection count, low end of estimate range]]+Table2[[#This Row],[infection count, high end of estimate range]])/2</f>
        <v>3588.2086167800453</v>
      </c>
      <c r="K24" s="27">
        <f>Table2[[#This Row],[infection count, low end of estimate range]]/$S$6</f>
        <v>2.0836816231395269E-2</v>
      </c>
      <c r="L24" s="27">
        <f>Table2[[#This Row],[infection count, high end of estimate range]]/$S$6</f>
        <v>5.7407554923231859E-2</v>
      </c>
      <c r="M24" s="15">
        <f>Table2[[#This Row],[infection percentage, high end of estimate range]]-Table2[[#This Row],[infection percentage, low end of estimate range]]</f>
        <v>3.6570738691836593E-2</v>
      </c>
      <c r="N24" s="27">
        <f>(Table2[[#This Row],[infection percentage, low end of estimate range]]+Table2[[#This Row],[infection percentage, high end of estimate range]])/2</f>
        <v>3.9122185577313562E-2</v>
      </c>
      <c r="O24" s="3">
        <f>$S$6/(Table2[[#This Row],[cases]]*5)</f>
        <v>35.549612403100774</v>
      </c>
      <c r="P24" s="3">
        <f>$S$6/(Table2[[#This Row],[cases]]*7)</f>
        <v>25.392580287929125</v>
      </c>
      <c r="Q24" s="3">
        <f>Table2[[#This Row],[1-in-X odds, estimating 5x cases infected]]-Table2[[#This Row],[1-in-X odds, estimating 7x cases infected]]</f>
        <v>10.157032115171649</v>
      </c>
      <c r="R24" s="3">
        <f>(Table2[[#This Row],[1-in-X odds, estimating 5x cases infected]]+Table2[[#This Row],[1-in-X odds, estimating 7x cases infected]])/2</f>
        <v>30.471096345514951</v>
      </c>
      <c r="U24" s="31"/>
    </row>
    <row r="25" spans="1:21" x14ac:dyDescent="0.2">
      <c r="A25" s="8">
        <v>43933</v>
      </c>
      <c r="B25" s="9">
        <v>523</v>
      </c>
      <c r="C25" s="71">
        <f>Table2[[#This Row],[cases]]/$B$2</f>
        <v>5.7022612791382283E-3</v>
      </c>
      <c r="D25" s="26">
        <f>(Table2[[#This Row],[cases]]-B24)/B24</f>
        <v>1.3565891472868217E-2</v>
      </c>
      <c r="E25" s="38">
        <f t="shared" ref="E25" si="4">(LN(2)/LN(B25/B24))</f>
        <v>51.440644573371593</v>
      </c>
      <c r="F25" s="81">
        <f>Table2[[#This Row],[cases]]*100/$S$19</f>
        <v>4358.333333333333</v>
      </c>
      <c r="G25" s="35">
        <f>Table2[[#This Row],[cases]]*100/$S$13</f>
        <v>1937.037037037037</v>
      </c>
      <c r="H25" s="35">
        <f>Table2[[#This Row],[cases]]*100/$S$16</f>
        <v>5336.7346938775509</v>
      </c>
      <c r="I25" s="35">
        <f>Table2[[#This Row],[infection count, high end of estimate range]]-Table2[[#This Row],[infection count, low end of estimate range]]</f>
        <v>3399.6976568405139</v>
      </c>
      <c r="J25" s="35">
        <f>(Table2[[#This Row],[infection count, low end of estimate range]]+Table2[[#This Row],[infection count, high end of estimate range]])/2</f>
        <v>3636.8858654572941</v>
      </c>
      <c r="K25" s="27">
        <f>Table2[[#This Row],[infection count, low end of estimate range]]/$S$6</f>
        <v>2.1119486219030474E-2</v>
      </c>
      <c r="L25" s="27">
        <f>Table2[[#This Row],[infection count, high end of estimate range]]/$S$6</f>
        <v>5.8186339583043138E-2</v>
      </c>
      <c r="M25" s="15">
        <f>Table2[[#This Row],[infection percentage, high end of estimate range]]-Table2[[#This Row],[infection percentage, low end of estimate range]]</f>
        <v>3.7066853364012664E-2</v>
      </c>
      <c r="N25" s="27">
        <f>(Table2[[#This Row],[infection percentage, low end of estimate range]]+Table2[[#This Row],[infection percentage, high end of estimate range]])/2</f>
        <v>3.9652912901036806E-2</v>
      </c>
      <c r="O25" s="3">
        <f>$S$6/(Table2[[#This Row],[cases]]*5)</f>
        <v>35.073804971319312</v>
      </c>
      <c r="P25" s="3">
        <f>$S$6/(Table2[[#This Row],[cases]]*7)</f>
        <v>25.052717836656651</v>
      </c>
      <c r="Q25" s="3">
        <f>Table2[[#This Row],[1-in-X odds, estimating 5x cases infected]]-Table2[[#This Row],[1-in-X odds, estimating 7x cases infected]]</f>
        <v>10.021087134662661</v>
      </c>
      <c r="R25" s="3">
        <f>(Table2[[#This Row],[1-in-X odds, estimating 5x cases infected]]+Table2[[#This Row],[1-in-X odds, estimating 7x cases infected]])/2</f>
        <v>30.06326140398798</v>
      </c>
      <c r="U25" s="31"/>
    </row>
    <row r="26" spans="1:21" x14ac:dyDescent="0.2">
      <c r="A26" s="8">
        <v>43934</v>
      </c>
      <c r="B26" s="9">
        <v>553</v>
      </c>
      <c r="C26" s="71">
        <f>Table2[[#This Row],[cases]]/$B$2</f>
        <v>6.0293508362589676E-3</v>
      </c>
      <c r="D26" s="26">
        <f>(Table2[[#This Row],[cases]]-B25)/B25</f>
        <v>5.736137667304015E-2</v>
      </c>
      <c r="E26" s="38">
        <f t="shared" ref="E26" si="5">(LN(2)/LN(B26/B25))</f>
        <v>12.427217825939763</v>
      </c>
      <c r="F26" s="81">
        <f>Table2[[#This Row],[cases]]*100/$S$19</f>
        <v>4608.333333333333</v>
      </c>
      <c r="G26" s="35">
        <f>Table2[[#This Row],[cases]]*100/$S$13</f>
        <v>2048.1481481481483</v>
      </c>
      <c r="H26" s="35">
        <f>Table2[[#This Row],[cases]]*100/$S$16</f>
        <v>5642.8571428571422</v>
      </c>
      <c r="I26" s="35">
        <f>Table2[[#This Row],[infection count, high end of estimate range]]-Table2[[#This Row],[infection count, low end of estimate range]]</f>
        <v>3594.7089947089939</v>
      </c>
      <c r="J26" s="35">
        <f>(Table2[[#This Row],[infection count, low end of estimate range]]+Table2[[#This Row],[infection count, high end of estimate range]])/2</f>
        <v>3845.5026455026455</v>
      </c>
      <c r="K26" s="27">
        <f>Table2[[#This Row],[infection count, low end of estimate range]]/$S$6</f>
        <v>2.2330929023181362E-2</v>
      </c>
      <c r="L26" s="27">
        <f>Table2[[#This Row],[infection count, high end of estimate range]]/$S$6</f>
        <v>6.1523988125091501E-2</v>
      </c>
      <c r="M26" s="15">
        <f>Table2[[#This Row],[infection percentage, high end of estimate range]]-Table2[[#This Row],[infection percentage, low end of estimate range]]</f>
        <v>3.9193059101910135E-2</v>
      </c>
      <c r="N26" s="27">
        <f>(Table2[[#This Row],[infection percentage, low end of estimate range]]+Table2[[#This Row],[infection percentage, high end of estimate range]])/2</f>
        <v>4.1927458574136434E-2</v>
      </c>
      <c r="O26" s="3">
        <f>$S$6/(Table2[[#This Row],[cases]]*5)</f>
        <v>33.171066907775767</v>
      </c>
      <c r="P26" s="3">
        <f>$S$6/(Table2[[#This Row],[cases]]*7)</f>
        <v>23.693619219839835</v>
      </c>
      <c r="Q26" s="3">
        <f>Table2[[#This Row],[1-in-X odds, estimating 5x cases infected]]-Table2[[#This Row],[1-in-X odds, estimating 7x cases infected]]</f>
        <v>9.477447687935932</v>
      </c>
      <c r="R26" s="3">
        <f>(Table2[[#This Row],[1-in-X odds, estimating 5x cases infected]]+Table2[[#This Row],[1-in-X odds, estimating 7x cases infected]])/2</f>
        <v>28.432343063807799</v>
      </c>
      <c r="U26" s="31"/>
    </row>
    <row r="27" spans="1:21" x14ac:dyDescent="0.2">
      <c r="A27" s="8">
        <v>43935</v>
      </c>
      <c r="B27" s="9">
        <v>562</v>
      </c>
      <c r="C27" s="71">
        <f>Table2[[#This Row],[cases]]/$B$2</f>
        <v>6.1274777033951894E-3</v>
      </c>
      <c r="D27" s="26">
        <f>(Table2[[#This Row],[cases]]-B26)/B26</f>
        <v>1.62748643761302E-2</v>
      </c>
      <c r="E27" s="38">
        <f t="shared" ref="E27" si="6">(LN(2)/LN(B27/B26))</f>
        <v>42.935684516821048</v>
      </c>
      <c r="F27" s="81">
        <f>Table2[[#This Row],[cases]]*100/$S$19</f>
        <v>4683.333333333333</v>
      </c>
      <c r="G27" s="35">
        <f>Table2[[#This Row],[cases]]*100/$S$13</f>
        <v>2081.4814814814813</v>
      </c>
      <c r="H27" s="35">
        <f>Table2[[#This Row],[cases]]*100/$S$16</f>
        <v>5734.6938775510198</v>
      </c>
      <c r="I27" s="35">
        <f>Table2[[#This Row],[infection count, high end of estimate range]]-Table2[[#This Row],[infection count, low end of estimate range]]</f>
        <v>3653.2123960695385</v>
      </c>
      <c r="J27" s="35">
        <f>(Table2[[#This Row],[infection count, low end of estimate range]]+Table2[[#This Row],[infection count, high end of estimate range]])/2</f>
        <v>3908.0876795162503</v>
      </c>
      <c r="K27" s="27">
        <f>Table2[[#This Row],[infection count, low end of estimate range]]/$S$6</f>
        <v>2.2694361864426627E-2</v>
      </c>
      <c r="L27" s="27">
        <f>Table2[[#This Row],[infection count, high end of estimate range]]/$S$6</f>
        <v>6.2525282687706005E-2</v>
      </c>
      <c r="M27" s="15">
        <f>Table2[[#This Row],[infection percentage, high end of estimate range]]-Table2[[#This Row],[infection percentage, low end of estimate range]]</f>
        <v>3.9830920823279381E-2</v>
      </c>
      <c r="N27" s="27">
        <f>(Table2[[#This Row],[infection percentage, low end of estimate range]]+Table2[[#This Row],[infection percentage, high end of estimate range]])/2</f>
        <v>4.2609822276066314E-2</v>
      </c>
      <c r="O27" s="3">
        <f>$S$6/(Table2[[#This Row],[cases]]*5)</f>
        <v>32.639857651245549</v>
      </c>
      <c r="P27" s="3">
        <f>$S$6/(Table2[[#This Row],[cases]]*7)</f>
        <v>23.314184036603965</v>
      </c>
      <c r="Q27" s="3">
        <f>Table2[[#This Row],[1-in-X odds, estimating 5x cases infected]]-Table2[[#This Row],[1-in-X odds, estimating 7x cases infected]]</f>
        <v>9.325673614641584</v>
      </c>
      <c r="R27" s="3">
        <f>(Table2[[#This Row],[1-in-X odds, estimating 5x cases infected]]+Table2[[#This Row],[1-in-X odds, estimating 7x cases infected]])/2</f>
        <v>27.977020843924755</v>
      </c>
      <c r="U27" s="31"/>
    </row>
    <row r="28" spans="1:21" x14ac:dyDescent="0.2">
      <c r="U28" s="55" t="str">
        <f ca="1">"updated " &amp; TEXT($T6,"MMMM d, yyyy") &amp; ", " &amp; S9</f>
        <v>updated April 14, 2020, morning</v>
      </c>
    </row>
    <row r="29" spans="1:21" x14ac:dyDescent="0.2">
      <c r="T29" s="34" t="s">
        <v>32</v>
      </c>
      <c r="U29" s="36"/>
    </row>
    <row r="30" spans="1:21" x14ac:dyDescent="0.2">
      <c r="T30" s="27">
        <f ca="1">OFFSET(compute!D4,COUNTA(compute!D:D)-1,0)</f>
        <v>1.62748643761302E-2</v>
      </c>
    </row>
    <row r="31" spans="1:21" x14ac:dyDescent="0.2">
      <c r="U31" s="33" t="s">
        <v>24</v>
      </c>
    </row>
    <row r="32" spans="1:21" x14ac:dyDescent="0.2">
      <c r="U32" s="1" t="str">
        <f ca="1">"There have been " &amp;TEXT( T9,"0") &amp; " confirmed cases of COVID-19 disease in " &amp; B1 &amp; " since the start of the outbreak."</f>
        <v>There have been 562 confirmed cases of COVID-19 disease in Miami Beach since the start of the outbreak.</v>
      </c>
    </row>
    <row r="34" spans="21:21" x14ac:dyDescent="0.2">
      <c r="U34" s="1" t="str">
        <f ca="1">"Around " &amp;TEXT(ROUND(T12,-3),"#,##0") &amp;" people in " &amp; B1 &amp; " may have already been infected with the SARS-CoV-2 virus."</f>
        <v>Around 5,000 people in Miami Beach may have already been infected with the SARS-CoV-2 virus.</v>
      </c>
    </row>
    <row r="36" spans="21:21" x14ac:dyDescent="0.2">
      <c r="U36" s="1" t="str">
        <f ca="1">"Around " &amp; TEXT(T15,"0.0%") &amp; " of the total population of " &amp; B1 &amp; " may have already been infected with the SARS-CoV-2 virus, based on an estimated population of " &amp; TEXT(S6,"0,000") &amp; "."</f>
        <v>Around 4.3% of the total population of Miami Beach may have already been infected with the SARS-CoV-2 virus, based on an estimated population of 91,718.</v>
      </c>
    </row>
    <row r="38" spans="21:21" x14ac:dyDescent="0.2">
      <c r="U38" s="1" t="str">
        <f ca="1">"The odds of any given person in " &amp; B1 &amp; " having been infected with SARS-CoV-2 is currently estimated to be around one in " &amp; TEXT(T18,"#,##0")  &amp; "."</f>
        <v>The odds of any given person in Miami Beach having been infected with SARS-CoV-2 is currently estimated to be around one in 28.</v>
      </c>
    </row>
    <row r="40" spans="21:21" x14ac:dyDescent="0.2">
      <c r="U40" s="1" t="str">
        <f ca="1">"doubing in " &amp; TEXT(T21,"0.0") &amp; " days"</f>
        <v>doubing in 42.9 days</v>
      </c>
    </row>
    <row r="42" spans="21:21" x14ac:dyDescent="0.2">
      <c r="U42" s="1" t="str">
        <f ca="1">TEXT(T30, "+0.0%;-0.0%") &amp; " per day"</f>
        <v>+1.6% per day</v>
      </c>
    </row>
    <row r="44" spans="21:21" x14ac:dyDescent="0.2">
      <c r="U44" t="str">
        <f ca="1">"The current rate of increase is " &amp; U42</f>
        <v>The current rate of increase is +1.6%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27"/>
  <sheetViews>
    <sheetView workbookViewId="0">
      <selection activeCell="B27" sqref="A1:B27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7">
        <v>91718</v>
      </c>
    </row>
    <row r="3" spans="1:4" x14ac:dyDescent="0.2">
      <c r="A3" s="1" t="s">
        <v>43</v>
      </c>
      <c r="B3" s="54" t="s">
        <v>34</v>
      </c>
    </row>
    <row r="4" spans="1:4" ht="35" customHeight="1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 x14ac:dyDescent="0.2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 x14ac:dyDescent="0.2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 x14ac:dyDescent="0.2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26"/>
  <sheetViews>
    <sheetView workbookViewId="0">
      <selection sqref="A1:B26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39"/>
    </row>
    <row r="2" spans="1:4" ht="17" x14ac:dyDescent="0.2">
      <c r="A2" s="1" t="s">
        <v>41</v>
      </c>
      <c r="B2" s="57">
        <v>91718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52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8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8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8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8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8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8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8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8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8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8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8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8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8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8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8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8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39"/>
    </row>
    <row r="2" spans="1:4" ht="17" x14ac:dyDescent="0.2">
      <c r="A2" s="1" t="s">
        <v>41</v>
      </c>
      <c r="B2" s="57">
        <v>470914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 x14ac:dyDescent="0.2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 x14ac:dyDescent="0.2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 x14ac:dyDescent="0.2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 x14ac:dyDescent="0.2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 x14ac:dyDescent="0.2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 x14ac:dyDescent="0.2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 x14ac:dyDescent="0.2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 x14ac:dyDescent="0.2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 x14ac:dyDescent="0.2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 x14ac:dyDescent="0.2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 x14ac:dyDescent="0.2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 x14ac:dyDescent="0.2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 x14ac:dyDescent="0.2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 x14ac:dyDescent="0.2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 x14ac:dyDescent="0.2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26"/>
  <sheetViews>
    <sheetView workbookViewId="0">
      <selection sqref="A1:B26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39"/>
    </row>
    <row r="2" spans="1:4" ht="17" x14ac:dyDescent="0.2">
      <c r="A2" s="9" t="s">
        <v>41</v>
      </c>
      <c r="B2" s="57">
        <v>470914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8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8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8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8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8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8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8">
        <f t="shared" si="0"/>
        <v>5.0683867188519347</v>
      </c>
    </row>
    <row r="13" spans="1:4" x14ac:dyDescent="0.2">
      <c r="A13" s="8">
        <v>43921</v>
      </c>
      <c r="B13" s="56">
        <v>1179</v>
      </c>
      <c r="C13" s="26">
        <f t="shared" si="1"/>
        <v>0.26638023630504831</v>
      </c>
      <c r="D13" s="38">
        <f t="shared" si="0"/>
        <v>2.9350418410450274</v>
      </c>
    </row>
    <row r="14" spans="1:4" x14ac:dyDescent="0.2">
      <c r="A14" s="8">
        <v>43922</v>
      </c>
      <c r="B14" s="56">
        <v>1371</v>
      </c>
      <c r="C14" s="26">
        <f t="shared" si="1"/>
        <v>0.16284987277353691</v>
      </c>
      <c r="D14" s="38">
        <f t="shared" si="0"/>
        <v>4.594218989141579</v>
      </c>
    </row>
    <row r="15" spans="1:4" x14ac:dyDescent="0.2">
      <c r="A15" s="8">
        <v>43923</v>
      </c>
      <c r="B15" s="56">
        <v>1677</v>
      </c>
      <c r="C15" s="26">
        <f t="shared" si="1"/>
        <v>0.22319474835886213</v>
      </c>
      <c r="D15" s="38">
        <f t="shared" si="0"/>
        <v>3.4405155090192001</v>
      </c>
    </row>
    <row r="16" spans="1:4" x14ac:dyDescent="0.2">
      <c r="A16" s="8">
        <v>43924</v>
      </c>
      <c r="B16" s="56">
        <v>1959</v>
      </c>
      <c r="C16" s="26">
        <f t="shared" si="1"/>
        <v>0.16815742397137745</v>
      </c>
      <c r="D16" s="38">
        <f t="shared" si="0"/>
        <v>4.4596129019590443</v>
      </c>
    </row>
    <row r="17" spans="1:4" x14ac:dyDescent="0.2">
      <c r="A17" s="8">
        <v>43925</v>
      </c>
      <c r="B17" s="56">
        <v>2291</v>
      </c>
      <c r="C17" s="26">
        <f t="shared" si="1"/>
        <v>0.16947422154160285</v>
      </c>
      <c r="D17" s="38">
        <f t="shared" si="0"/>
        <v>4.4275202769727011</v>
      </c>
    </row>
    <row r="18" spans="1:4" x14ac:dyDescent="0.2">
      <c r="A18" s="8">
        <v>43926</v>
      </c>
      <c r="B18" s="56">
        <v>2461</v>
      </c>
      <c r="C18" s="26">
        <f t="shared" si="1"/>
        <v>7.4203404626800529E-2</v>
      </c>
      <c r="D18" s="38">
        <f t="shared" si="0"/>
        <v>9.6836169490150699</v>
      </c>
    </row>
    <row r="19" spans="1:4" x14ac:dyDescent="0.2">
      <c r="A19" s="8">
        <v>43927</v>
      </c>
      <c r="B19" s="56">
        <v>2802</v>
      </c>
      <c r="C19" s="26">
        <f t="shared" si="1"/>
        <v>0.13856156034132466</v>
      </c>
      <c r="D19" s="38">
        <f t="shared" si="0"/>
        <v>5.3415294338518668</v>
      </c>
    </row>
    <row r="20" spans="1:4" x14ac:dyDescent="0.2">
      <c r="A20" s="8">
        <v>43928</v>
      </c>
      <c r="B20" s="56">
        <v>3100</v>
      </c>
      <c r="C20" s="26">
        <f t="shared" si="1"/>
        <v>0.10635260528194147</v>
      </c>
      <c r="D20" s="38">
        <f t="shared" si="0"/>
        <v>6.8581809240681908</v>
      </c>
    </row>
    <row r="21" spans="1:4" x14ac:dyDescent="0.2">
      <c r="A21" s="8">
        <v>43929</v>
      </c>
      <c r="B21" s="56">
        <v>3317</v>
      </c>
      <c r="C21" s="26">
        <f t="shared" si="1"/>
        <v>7.0000000000000007E-2</v>
      </c>
      <c r="D21" s="38">
        <f t="shared" si="0"/>
        <v>10.244768351058712</v>
      </c>
    </row>
    <row r="22" spans="1:4" x14ac:dyDescent="0.2">
      <c r="A22" s="8">
        <v>43930</v>
      </c>
      <c r="B22" s="56">
        <v>3587</v>
      </c>
      <c r="C22" s="26">
        <f t="shared" ref="C22:C23" si="2">(B22-B21)/B21</f>
        <v>8.1398854386493816E-2</v>
      </c>
      <c r="D22" s="38">
        <f t="shared" ref="D22:D23" si="3">(LN(2)/LN(B22/B21))</f>
        <v>8.857495313952132</v>
      </c>
    </row>
    <row r="23" spans="1:4" x14ac:dyDescent="0.2">
      <c r="A23" s="8">
        <v>43931</v>
      </c>
      <c r="B23" s="56">
        <v>3816</v>
      </c>
      <c r="C23" s="26">
        <f t="shared" si="2"/>
        <v>6.3841650404237518E-2</v>
      </c>
      <c r="D23" s="38">
        <f t="shared" si="3"/>
        <v>11.20028704389693</v>
      </c>
    </row>
    <row r="24" spans="1:4" x14ac:dyDescent="0.2">
      <c r="A24" s="8">
        <v>43932</v>
      </c>
      <c r="B24" s="56">
        <v>4091</v>
      </c>
      <c r="C24" s="26">
        <f t="shared" ref="C24" si="4">(B24-B23)/B23</f>
        <v>7.20649895178197E-2</v>
      </c>
      <c r="D24" s="38">
        <f t="shared" ref="D24" si="5">(LN(2)/LN(B24/B23))</f>
        <v>9.96091676104197</v>
      </c>
    </row>
    <row r="25" spans="1:4" x14ac:dyDescent="0.2">
      <c r="A25" s="8">
        <v>43933</v>
      </c>
      <c r="B25" s="56">
        <v>4273</v>
      </c>
      <c r="C25" s="26">
        <f t="shared" ref="C25" si="6">(B25-B24)/B24</f>
        <v>4.4487900268882913E-2</v>
      </c>
      <c r="D25" s="38">
        <f t="shared" ref="D25" si="7">(LN(2)/LN(B25/B24))</f>
        <v>15.924637026490627</v>
      </c>
    </row>
    <row r="26" spans="1:4" x14ac:dyDescent="0.2">
      <c r="A26" s="8">
        <v>43934</v>
      </c>
      <c r="B26" s="56">
        <v>4487</v>
      </c>
      <c r="C26" s="26">
        <f t="shared" ref="C26" si="8">(B26-B25)/B25</f>
        <v>5.0081909665340513E-2</v>
      </c>
      <c r="D26" s="38">
        <f t="shared" ref="D26" si="9">(LN(2)/LN(B26/B25))</f>
        <v>14.184021538998522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39"/>
    </row>
    <row r="2" spans="1:4" ht="17" x14ac:dyDescent="0.2">
      <c r="A2" s="9" t="s">
        <v>41</v>
      </c>
      <c r="B2" s="58">
        <v>82826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 x14ac:dyDescent="0.2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 x14ac:dyDescent="0.2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 x14ac:dyDescent="0.2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39"/>
    </row>
    <row r="2" spans="1:8" ht="17" x14ac:dyDescent="0.2">
      <c r="A2" s="9" t="s">
        <v>41</v>
      </c>
      <c r="B2" s="58">
        <v>82826</v>
      </c>
      <c r="C2" s="28"/>
      <c r="D2" s="39"/>
    </row>
    <row r="3" spans="1:8" x14ac:dyDescent="0.2">
      <c r="A3" s="9" t="s">
        <v>43</v>
      </c>
      <c r="B3" s="12" t="s">
        <v>35</v>
      </c>
      <c r="C3" s="28"/>
      <c r="D3" s="39"/>
    </row>
    <row r="4" spans="1:8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 x14ac:dyDescent="0.2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 x14ac:dyDescent="0.2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 x14ac:dyDescent="0.2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 x14ac:dyDescent="0.2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 x14ac:dyDescent="0.2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 x14ac:dyDescent="0.2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 x14ac:dyDescent="0.2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 x14ac:dyDescent="0.2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 x14ac:dyDescent="0.2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 x14ac:dyDescent="0.2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 x14ac:dyDescent="0.2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 x14ac:dyDescent="0.2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 x14ac:dyDescent="0.2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 x14ac:dyDescent="0.2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 x14ac:dyDescent="0.2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 x14ac:dyDescent="0.2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 x14ac:dyDescent="0.2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 x14ac:dyDescent="0.2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 x14ac:dyDescent="0.2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 x14ac:dyDescent="0.2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 x14ac:dyDescent="0.2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26"/>
  <sheetViews>
    <sheetView workbookViewId="0">
      <selection sqref="A1:B26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 x14ac:dyDescent="0.2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 x14ac:dyDescent="0.2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 x14ac:dyDescent="0.2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 x14ac:dyDescent="0.2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 x14ac:dyDescent="0.2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 x14ac:dyDescent="0.2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 x14ac:dyDescent="0.2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 x14ac:dyDescent="0.2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 x14ac:dyDescent="0.2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 x14ac:dyDescent="0.2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 x14ac:dyDescent="0.2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 x14ac:dyDescent="0.2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 x14ac:dyDescent="0.2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 x14ac:dyDescent="0.2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 x14ac:dyDescent="0.2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 x14ac:dyDescent="0.2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 x14ac:dyDescent="0.2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 x14ac:dyDescent="0.2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 x14ac:dyDescent="0.2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 x14ac:dyDescent="0.2">
      <c r="A26" s="8">
        <v>43934</v>
      </c>
      <c r="B26" s="56">
        <v>21019</v>
      </c>
      <c r="C26" s="26">
        <f t="shared" ref="C26" si="8">(B26-B25)/B25</f>
        <v>5.6496607187735609E-2</v>
      </c>
      <c r="D26" s="38">
        <f t="shared" ref="D26" si="9">(LN(2)/LN(B26/B25))</f>
        <v>12.612227663194551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7" t="s">
        <v>49</v>
      </c>
      <c r="C1" s="28"/>
      <c r="D1" s="39"/>
    </row>
    <row r="2" spans="1:4" x14ac:dyDescent="0.2">
      <c r="A2" s="1" t="s">
        <v>41</v>
      </c>
      <c r="B2" s="69">
        <v>2231647</v>
      </c>
      <c r="C2" s="28"/>
      <c r="D2" s="39"/>
    </row>
    <row r="3" spans="1:4" x14ac:dyDescent="0.2">
      <c r="A3" s="1" t="s">
        <v>43</v>
      </c>
      <c r="B3" s="68" t="s">
        <v>50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 x14ac:dyDescent="0.2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 x14ac:dyDescent="0.2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 x14ac:dyDescent="0.2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 x14ac:dyDescent="0.2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 x14ac:dyDescent="0.2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 x14ac:dyDescent="0.2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 x14ac:dyDescent="0.2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 x14ac:dyDescent="0.2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6"/>
    </row>
    <row r="23" spans="2:2" x14ac:dyDescent="0.2">
      <c r="B23" s="56"/>
    </row>
    <row r="24" spans="2:2" x14ac:dyDescent="0.2">
      <c r="B24" s="56"/>
    </row>
    <row r="25" spans="2:2" x14ac:dyDescent="0.2">
      <c r="B25" s="56"/>
    </row>
    <row r="26" spans="2:2" x14ac:dyDescent="0.2">
      <c r="B26" s="56"/>
    </row>
    <row r="27" spans="2:2" x14ac:dyDescent="0.2">
      <c r="B27" s="56"/>
    </row>
    <row r="28" spans="2:2" x14ac:dyDescent="0.2">
      <c r="B28" s="56"/>
    </row>
    <row r="29" spans="2:2" x14ac:dyDescent="0.2">
      <c r="B29" s="35"/>
    </row>
    <row r="30" spans="2:2" x14ac:dyDescent="0.2">
      <c r="B30" s="56"/>
    </row>
    <row r="31" spans="2:2" x14ac:dyDescent="0.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Cases</vt:lpstr>
      <vt:lpstr>% Increase</vt:lpstr>
      <vt:lpstr>Doubling Time</vt:lpstr>
      <vt:lpstr>Number of Infections</vt:lpstr>
      <vt:lpstr>Case Percentage</vt:lpstr>
      <vt:lpstr>Infection Projection</vt:lpstr>
      <vt:lpstr>Infection Odds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2020-04-14T17:18:12Z</dcterms:modified>
</cp:coreProperties>
</file>