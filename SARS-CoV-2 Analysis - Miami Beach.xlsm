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CoV2/"/>
    </mc:Choice>
  </mc:AlternateContent>
  <xr:revisionPtr revIDLastSave="0" documentId="13_ncr:1_{150B96D1-2530-EF46-A8B9-F4E0A10D8449}" xr6:coauthVersionLast="45" xr6:coauthVersionMax="45" xr10:uidLastSave="{00000000-0000-0000-0000-000000000000}"/>
  <bookViews>
    <workbookView xWindow="0" yWindow="460" windowWidth="28800" windowHeight="17540" xr2:uid="{5746141D-E7E8-714E-A98D-1CE69C8603B7}"/>
  </bookViews>
  <sheets>
    <sheet name="Cases" sheetId="5" r:id="rId1"/>
    <sheet name="% Increase" sheetId="17" r:id="rId2"/>
    <sheet name="Doubling Time" sheetId="8" r:id="rId3"/>
    <sheet name="Number of Infections" sheetId="3" r:id="rId4"/>
    <sheet name="Case Percentage" sheetId="23" r:id="rId5"/>
    <sheet name="Infection Projection" sheetId="4" r:id="rId6"/>
    <sheet name="Infection Odds" sheetId="2" r:id="rId7"/>
    <sheet name="dashboard" sheetId="6" r:id="rId8"/>
    <sheet name="compute" sheetId="1" r:id="rId9"/>
    <sheet name="Miami Beach morning" sheetId="9" r:id="rId10"/>
    <sheet name="Miami Beach evening" sheetId="10" r:id="rId11"/>
    <sheet name="Miami morning" sheetId="11" r:id="rId12"/>
    <sheet name="Miami evening" sheetId="12" r:id="rId13"/>
    <sheet name="Melbourne morning" sheetId="13" r:id="rId14"/>
    <sheet name="Melbourne evening" sheetId="14" r:id="rId15"/>
    <sheet name="Dade morning" sheetId="18" r:id="rId16"/>
    <sheet name="Dade evening" sheetId="19" r:id="rId17"/>
    <sheet name="Florida morning" sheetId="15" r:id="rId18"/>
    <sheet name="Florida evening" sheetId="16" r:id="rId19"/>
    <sheet name="Clark (NV) daily" sheetId="20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6" i="10" l="1"/>
  <c r="D26" i="10"/>
  <c r="C26" i="1"/>
  <c r="D26" i="1"/>
  <c r="E26" i="1"/>
  <c r="F26" i="1"/>
  <c r="G26" i="1"/>
  <c r="H26" i="1"/>
  <c r="I26" i="1" s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J26" i="1" l="1"/>
  <c r="T12" i="1"/>
  <c r="C25" i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C24" i="1"/>
  <c r="D24" i="1"/>
  <c r="E24" i="1"/>
  <c r="G24" i="1"/>
  <c r="H24" i="1"/>
  <c r="C24" i="9"/>
  <c r="D24" i="9"/>
  <c r="C24" i="11"/>
  <c r="D24" i="11"/>
  <c r="C24" i="15"/>
  <c r="D24" i="15"/>
  <c r="C13" i="1"/>
  <c r="C14" i="1"/>
  <c r="C15" i="1"/>
  <c r="C16" i="1"/>
  <c r="C17" i="1"/>
  <c r="C18" i="1"/>
  <c r="C19" i="1"/>
  <c r="C20" i="1"/>
  <c r="C21" i="1"/>
  <c r="C22" i="1"/>
  <c r="C23" i="1"/>
  <c r="C5" i="1"/>
  <c r="C6" i="1"/>
  <c r="C7" i="1"/>
  <c r="C8" i="1"/>
  <c r="C9" i="1"/>
  <c r="C10" i="1"/>
  <c r="C11" i="1"/>
  <c r="C12" i="1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T6" i="1"/>
  <c r="U27" i="1" s="1"/>
  <c r="T9" i="1"/>
  <c r="C6" i="6" s="1"/>
  <c r="W6" i="1"/>
  <c r="S9" i="1"/>
  <c r="S6" i="1"/>
  <c r="K26" i="1" l="1"/>
  <c r="O26" i="1"/>
  <c r="L26" i="1"/>
  <c r="P26" i="1"/>
  <c r="L25" i="1"/>
  <c r="K25" i="1"/>
  <c r="P25" i="1"/>
  <c r="O25" i="1"/>
  <c r="L24" i="1"/>
  <c r="P24" i="1"/>
  <c r="K24" i="1"/>
  <c r="O24" i="1"/>
  <c r="K23" i="1"/>
  <c r="P23" i="1"/>
  <c r="L23" i="1"/>
  <c r="O23" i="1"/>
  <c r="K16" i="1"/>
  <c r="O16" i="1"/>
  <c r="K17" i="1"/>
  <c r="O18" i="1"/>
  <c r="L19" i="1"/>
  <c r="K20" i="1"/>
  <c r="P20" i="1"/>
  <c r="O21" i="1"/>
  <c r="L22" i="1"/>
  <c r="L18" i="1"/>
  <c r="P19" i="1"/>
  <c r="K21" i="1"/>
  <c r="O20" i="1"/>
  <c r="K22" i="1"/>
  <c r="L16" i="1"/>
  <c r="P16" i="1"/>
  <c r="L17" i="1"/>
  <c r="K18" i="1"/>
  <c r="P18" i="1"/>
  <c r="O19" i="1"/>
  <c r="L20" i="1"/>
  <c r="P21" i="1"/>
  <c r="O17" i="1"/>
  <c r="O22" i="1"/>
  <c r="P17" i="1"/>
  <c r="K19" i="1"/>
  <c r="L21" i="1"/>
  <c r="P22" i="1"/>
  <c r="R22" i="1" s="1"/>
  <c r="U31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M26" i="1" l="1"/>
  <c r="Q26" i="1"/>
  <c r="R26" i="1"/>
  <c r="N26" i="1"/>
  <c r="M25" i="1"/>
  <c r="Q25" i="1"/>
  <c r="R25" i="1"/>
  <c r="N24" i="1"/>
  <c r="N25" i="1"/>
  <c r="Q24" i="1"/>
  <c r="R24" i="1"/>
  <c r="M24" i="1"/>
  <c r="N21" i="1"/>
  <c r="R23" i="1"/>
  <c r="Q22" i="1"/>
  <c r="Q18" i="1"/>
  <c r="N23" i="1"/>
  <c r="M16" i="1"/>
  <c r="M23" i="1"/>
  <c r="N19" i="1"/>
  <c r="Q23" i="1"/>
  <c r="R20" i="1"/>
  <c r="N17" i="1"/>
  <c r="R19" i="1"/>
  <c r="Q19" i="1"/>
  <c r="M21" i="1"/>
  <c r="Q17" i="1"/>
  <c r="R17" i="1"/>
  <c r="R18" i="1"/>
  <c r="N18" i="1"/>
  <c r="M18" i="1"/>
  <c r="Q16" i="1"/>
  <c r="R16" i="1"/>
  <c r="R21" i="1"/>
  <c r="Q21" i="1"/>
  <c r="N20" i="1"/>
  <c r="M20" i="1"/>
  <c r="M17" i="1"/>
  <c r="Q20" i="1"/>
  <c r="N22" i="1"/>
  <c r="M22" i="1"/>
  <c r="M19" i="1"/>
  <c r="N16" i="1"/>
  <c r="T21" i="1"/>
  <c r="U39" i="1" s="1"/>
  <c r="C8" i="6" s="1"/>
  <c r="T29" i="1"/>
  <c r="U41" i="1" s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L5" i="1"/>
  <c r="L6" i="1"/>
  <c r="L7" i="1"/>
  <c r="L8" i="1"/>
  <c r="L9" i="1"/>
  <c r="L10" i="1"/>
  <c r="L11" i="1"/>
  <c r="L12" i="1"/>
  <c r="L13" i="1"/>
  <c r="L14" i="1"/>
  <c r="L15" i="1"/>
  <c r="K5" i="1"/>
  <c r="K6" i="1"/>
  <c r="K7" i="1"/>
  <c r="K8" i="1"/>
  <c r="K9" i="1"/>
  <c r="K10" i="1"/>
  <c r="J11" i="1"/>
  <c r="K12" i="1"/>
  <c r="K13" i="1"/>
  <c r="K14" i="1"/>
  <c r="J15" i="1"/>
  <c r="N12" i="1" l="1"/>
  <c r="N8" i="1"/>
  <c r="N7" i="1"/>
  <c r="G8" i="6"/>
  <c r="U43" i="1"/>
  <c r="N9" i="1"/>
  <c r="Q10" i="1"/>
  <c r="R12" i="1"/>
  <c r="Q9" i="1"/>
  <c r="R11" i="1"/>
  <c r="Q5" i="1"/>
  <c r="R7" i="1"/>
  <c r="R9" i="1"/>
  <c r="Q11" i="1"/>
  <c r="R13" i="1"/>
  <c r="R15" i="1"/>
  <c r="Q15" i="1"/>
  <c r="R5" i="1"/>
  <c r="Q7" i="1"/>
  <c r="Q13" i="1"/>
  <c r="R10" i="1"/>
  <c r="Q12" i="1"/>
  <c r="R14" i="1"/>
  <c r="N5" i="1"/>
  <c r="Q14" i="1"/>
  <c r="M13" i="1"/>
  <c r="N13" i="1"/>
  <c r="M9" i="1"/>
  <c r="M12" i="1"/>
  <c r="M8" i="1"/>
  <c r="N14" i="1"/>
  <c r="N10" i="1"/>
  <c r="N6" i="1"/>
  <c r="M7" i="1"/>
  <c r="K15" i="1"/>
  <c r="N15" i="1" s="1"/>
  <c r="K11" i="1"/>
  <c r="N11" i="1" s="1"/>
  <c r="M14" i="1"/>
  <c r="M10" i="1"/>
  <c r="M6" i="1"/>
  <c r="M5" i="1"/>
  <c r="R6" i="1"/>
  <c r="J14" i="1"/>
  <c r="J10" i="1"/>
  <c r="J6" i="1"/>
  <c r="I13" i="1"/>
  <c r="I9" i="1"/>
  <c r="J5" i="1"/>
  <c r="Q6" i="1"/>
  <c r="R8" i="1"/>
  <c r="Q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U33" i="1" l="1"/>
  <c r="T15" i="1"/>
  <c r="U35" i="1" s="1"/>
  <c r="T18" i="1"/>
  <c r="U37" i="1" s="1"/>
  <c r="M11" i="1"/>
  <c r="M15" i="1"/>
  <c r="C14" i="6" l="1"/>
  <c r="G6" i="6"/>
  <c r="G14" i="6"/>
</calcChain>
</file>

<file path=xl/sharedStrings.xml><?xml version="1.0" encoding="utf-8"?>
<sst xmlns="http://schemas.openxmlformats.org/spreadsheetml/2006/main" count="162" uniqueCount="62">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</sst>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19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8" fillId="3" borderId="0" xfId="0" applyNumberFormat="1" applyFont="1" applyFill="1" applyAlignment="1">
      <alignment horizontal="center" vertical="center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</cellXfs>
  <cellStyles count="3">
    <cellStyle name="Heading 3" xfId="1" builtinId="18"/>
    <cellStyle name="Normal" xfId="0" builtinId="0"/>
    <cellStyle name="Percent" xfId="2" builtin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75176831709599"/>
          <c:y val="0.15932203389830507"/>
          <c:w val="0.82159588949686368"/>
          <c:h val="0.72242946750300285"/>
        </c:manualLayout>
      </c:layout>
      <c:lineChart>
        <c:grouping val="standard"/>
        <c:varyColors val="0"/>
        <c:ser>
          <c:idx val="3"/>
          <c:order val="0"/>
          <c:tx>
            <c:strRef>
              <c:f>compute!$B$4</c:f>
              <c:strCache>
                <c:ptCount val="1"/>
                <c:pt idx="0">
                  <c:v>cases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BB1-2147-99CA-ED8FAC8546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BB1-2147-99CA-ED8FAC8546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BB1-2147-99CA-ED8FAC85464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B1-2147-99CA-ED8FAC85464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B1-2147-99CA-ED8FAC85464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B1-2147-99CA-ED8FAC85464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B1-2147-99CA-ED8FAC85464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B1-2147-99CA-ED8FAC85464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B1-2147-99CA-ED8FAC85464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B1-2147-99CA-ED8FAC85464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B1-2147-99CA-ED8FAC85464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B1-2147-99CA-ED8FAC85464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B1-2147-99CA-ED8FAC85464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B1-2147-99CA-ED8FAC85464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B1-2147-99CA-ED8FAC85464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B1-2147-99CA-ED8FAC854646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BB1-2147-99CA-ED8FAC85464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65-4F45-8804-2792797754A3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A6-BF47-9A65-569AA7470795}"/>
                </c:ext>
              </c:extLst>
            </c:dLbl>
            <c:dLbl>
              <c:idx val="19"/>
              <c:layout>
                <c:manualLayout>
                  <c:x val="-0.13230773594187245"/>
                  <c:y val="-1.5258030136082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F8-D441-BE88-F1074230DF7C}"/>
                </c:ext>
              </c:extLst>
            </c:dLbl>
            <c:dLbl>
              <c:idx val="20"/>
              <c:layout>
                <c:manualLayout>
                  <c:x val="-0.12535685221130977"/>
                  <c:y val="-3.22033805459681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accent4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F8-D441-BE88-F1074230DF7C}"/>
                </c:ext>
              </c:extLst>
            </c:dLbl>
            <c:dLbl>
              <c:idx val="21"/>
              <c:layout>
                <c:manualLayout>
                  <c:x val="-8.9647884412727516E-2"/>
                  <c:y val="-4.576086333507425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/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F8-D441-BE88-F1074230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compute!$B$5:$B$10008</c:f>
              <c:numCache>
                <c:formatCode>#,##0</c:formatCode>
                <c:ptCount val="10004"/>
                <c:pt idx="0">
                  <c:v>1147</c:v>
                </c:pt>
                <c:pt idx="1">
                  <c:v>1379</c:v>
                </c:pt>
                <c:pt idx="2">
                  <c:v>1867</c:v>
                </c:pt>
                <c:pt idx="3">
                  <c:v>2484</c:v>
                </c:pt>
                <c:pt idx="4">
                  <c:v>3198</c:v>
                </c:pt>
                <c:pt idx="5">
                  <c:v>4038</c:v>
                </c:pt>
                <c:pt idx="6">
                  <c:v>4950</c:v>
                </c:pt>
                <c:pt idx="7">
                  <c:v>5704</c:v>
                </c:pt>
                <c:pt idx="8">
                  <c:v>6741</c:v>
                </c:pt>
                <c:pt idx="9">
                  <c:v>7773</c:v>
                </c:pt>
                <c:pt idx="10">
                  <c:v>9008</c:v>
                </c:pt>
                <c:pt idx="11">
                  <c:v>10268</c:v>
                </c:pt>
                <c:pt idx="12">
                  <c:v>11545</c:v>
                </c:pt>
                <c:pt idx="13">
                  <c:v>12350</c:v>
                </c:pt>
                <c:pt idx="14">
                  <c:v>13629</c:v>
                </c:pt>
                <c:pt idx="15">
                  <c:v>14747</c:v>
                </c:pt>
                <c:pt idx="16">
                  <c:v>15698</c:v>
                </c:pt>
                <c:pt idx="17">
                  <c:v>16826</c:v>
                </c:pt>
                <c:pt idx="18">
                  <c:v>17968</c:v>
                </c:pt>
                <c:pt idx="19">
                  <c:v>18986</c:v>
                </c:pt>
                <c:pt idx="20">
                  <c:v>19895</c:v>
                </c:pt>
                <c:pt idx="21">
                  <c:v>21019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5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7236167089283334"/>
          <c:h val="0.75142372881355934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cat>
            <c:numRef>
              <c:f>compute!$A$6:$A$10008</c:f>
              <c:numCache>
                <c:formatCode>d\-mmm</c:formatCode>
                <c:ptCount val="10003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</c:numCache>
            </c:numRef>
          </c:cat>
          <c:val>
            <c:numRef>
              <c:f>compute!$D$6:$D$10008</c:f>
              <c:numCache>
                <c:formatCode>0.0%</c:formatCode>
                <c:ptCount val="10003"/>
                <c:pt idx="0">
                  <c:v>0.20226678291194419</c:v>
                </c:pt>
                <c:pt idx="1">
                  <c:v>0.3538796229151559</c:v>
                </c:pt>
                <c:pt idx="2">
                  <c:v>0.33047670058918049</c:v>
                </c:pt>
                <c:pt idx="3">
                  <c:v>0.28743961352657005</c:v>
                </c:pt>
                <c:pt idx="4">
                  <c:v>0.26266416510318952</c:v>
                </c:pt>
                <c:pt idx="5">
                  <c:v>0.22585438335809807</c:v>
                </c:pt>
                <c:pt idx="6">
                  <c:v>0.15232323232323233</c:v>
                </c:pt>
                <c:pt idx="7">
                  <c:v>0.1818022440392707</c:v>
                </c:pt>
                <c:pt idx="8">
                  <c:v>0.15309301290609703</c:v>
                </c:pt>
                <c:pt idx="9">
                  <c:v>0.15888331403576483</c:v>
                </c:pt>
                <c:pt idx="10">
                  <c:v>0.13987566607460036</c:v>
                </c:pt>
                <c:pt idx="11">
                  <c:v>0.12436696532917803</c:v>
                </c:pt>
                <c:pt idx="12">
                  <c:v>6.9727154612386308E-2</c:v>
                </c:pt>
                <c:pt idx="13">
                  <c:v>0.10356275303643725</c:v>
                </c:pt>
                <c:pt idx="14">
                  <c:v>8.2030963386895583E-2</c:v>
                </c:pt>
                <c:pt idx="15">
                  <c:v>6.4487692412016004E-2</c:v>
                </c:pt>
                <c:pt idx="16">
                  <c:v>7.1856287425149698E-2</c:v>
                </c:pt>
                <c:pt idx="17">
                  <c:v>6.7871151788898132E-2</c:v>
                </c:pt>
                <c:pt idx="18">
                  <c:v>5.6656277827248441E-2</c:v>
                </c:pt>
                <c:pt idx="19">
                  <c:v>4.7877383335089015E-2</c:v>
                </c:pt>
                <c:pt idx="20">
                  <c:v>5.6496607187735609E-2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3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6"/>
        <c:majorTimeUnit val="days"/>
      </c:dateAx>
      <c:valAx>
        <c:axId val="1207600816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740565861470706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forward val="1"/>
            <c:dispRSqr val="0"/>
            <c:dispEq val="0"/>
          </c:trendline>
          <c:cat>
            <c:numRef>
              <c:f>compute!$A$6:$A$10008</c:f>
              <c:numCache>
                <c:formatCode>d\-mmm</c:formatCode>
                <c:ptCount val="10003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</c:numCache>
            </c:numRef>
          </c:cat>
          <c:val>
            <c:numRef>
              <c:f>compute!$E$6:$E$10008</c:f>
              <c:numCache>
                <c:formatCode>0.0</c:formatCode>
                <c:ptCount val="10003"/>
                <c:pt idx="0">
                  <c:v>3.7628350468331795</c:v>
                </c:pt>
                <c:pt idx="1">
                  <c:v>2.2878087643770719</c:v>
                </c:pt>
                <c:pt idx="2">
                  <c:v>2.4275188626684923</c:v>
                </c:pt>
                <c:pt idx="3">
                  <c:v>2.7434483587261567</c:v>
                </c:pt>
                <c:pt idx="4">
                  <c:v>2.9720245835721353</c:v>
                </c:pt>
                <c:pt idx="5">
                  <c:v>3.4038194619745781</c:v>
                </c:pt>
                <c:pt idx="6">
                  <c:v>4.8888888400323909</c:v>
                </c:pt>
                <c:pt idx="7">
                  <c:v>4.149573131970862</c:v>
                </c:pt>
                <c:pt idx="8">
                  <c:v>4.8659695214796796</c:v>
                </c:pt>
                <c:pt idx="9">
                  <c:v>4.7006770735803105</c:v>
                </c:pt>
                <c:pt idx="10">
                  <c:v>5.2944657847913597</c:v>
                </c:pt>
                <c:pt idx="11">
                  <c:v>5.9132069389160344</c:v>
                </c:pt>
                <c:pt idx="12">
                  <c:v>10.283530436626666</c:v>
                </c:pt>
                <c:pt idx="13">
                  <c:v>7.0338985663313718</c:v>
                </c:pt>
                <c:pt idx="14">
                  <c:v>8.7918438211140977</c:v>
                </c:pt>
                <c:pt idx="15">
                  <c:v>11.091482948530885</c:v>
                </c:pt>
                <c:pt idx="16">
                  <c:v>9.988863935997184</c:v>
                </c:pt>
                <c:pt idx="17">
                  <c:v>10.555472954784234</c:v>
                </c:pt>
                <c:pt idx="18">
                  <c:v>12.577642507955398</c:v>
                </c:pt>
                <c:pt idx="19">
                  <c:v>14.821421707304372</c:v>
                </c:pt>
                <c:pt idx="20">
                  <c:v>12.612227663194551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32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6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53983718136928"/>
          <c:y val="0.14576271186440679"/>
          <c:w val="0.80642946750300282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compute!$G$5:$G$10008</c:f>
              <c:numCache>
                <c:formatCode>#,##0</c:formatCode>
                <c:ptCount val="10004"/>
                <c:pt idx="0">
                  <c:v>4248.1481481481478</c:v>
                </c:pt>
                <c:pt idx="1">
                  <c:v>5107.4074074074078</c:v>
                </c:pt>
                <c:pt idx="2">
                  <c:v>6914.8148148148148</c:v>
                </c:pt>
                <c:pt idx="3">
                  <c:v>9200</c:v>
                </c:pt>
                <c:pt idx="4">
                  <c:v>11844.444444444445</c:v>
                </c:pt>
                <c:pt idx="5">
                  <c:v>14955.555555555555</c:v>
                </c:pt>
                <c:pt idx="6">
                  <c:v>18333.333333333332</c:v>
                </c:pt>
                <c:pt idx="7">
                  <c:v>21125.925925925927</c:v>
                </c:pt>
                <c:pt idx="8">
                  <c:v>24966.666666666668</c:v>
                </c:pt>
                <c:pt idx="9">
                  <c:v>28788.888888888891</c:v>
                </c:pt>
                <c:pt idx="10">
                  <c:v>33362.962962962964</c:v>
                </c:pt>
                <c:pt idx="11">
                  <c:v>38029.629629629628</c:v>
                </c:pt>
                <c:pt idx="12">
                  <c:v>42759.259259259263</c:v>
                </c:pt>
                <c:pt idx="13">
                  <c:v>45740.740740740737</c:v>
                </c:pt>
                <c:pt idx="14">
                  <c:v>50477.777777777781</c:v>
                </c:pt>
                <c:pt idx="15">
                  <c:v>54618.518518518518</c:v>
                </c:pt>
                <c:pt idx="16">
                  <c:v>58140.740740740737</c:v>
                </c:pt>
                <c:pt idx="17">
                  <c:v>62318.518518518518</c:v>
                </c:pt>
                <c:pt idx="18">
                  <c:v>66548.148148148146</c:v>
                </c:pt>
                <c:pt idx="19">
                  <c:v>70318.518518518526</c:v>
                </c:pt>
                <c:pt idx="20">
                  <c:v>73685.185185185182</c:v>
                </c:pt>
                <c:pt idx="21">
                  <c:v>77848.148148148146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compute!$I$5:$I$10008</c:f>
              <c:numCache>
                <c:formatCode>#,##0</c:formatCode>
                <c:ptCount val="10004"/>
                <c:pt idx="0">
                  <c:v>7455.9334845049125</c:v>
                </c:pt>
                <c:pt idx="1">
                  <c:v>8964.0211640211637</c:v>
                </c:pt>
                <c:pt idx="2">
                  <c:v>12136.205593348452</c:v>
                </c:pt>
                <c:pt idx="3">
                  <c:v>16146.938775510203</c:v>
                </c:pt>
                <c:pt idx="4">
                  <c:v>20788.208616780041</c:v>
                </c:pt>
                <c:pt idx="5">
                  <c:v>26248.5260770975</c:v>
                </c:pt>
                <c:pt idx="6">
                  <c:v>32176.870748299316</c:v>
                </c:pt>
                <c:pt idx="7">
                  <c:v>37078.155706727128</c:v>
                </c:pt>
                <c:pt idx="8">
                  <c:v>43819.047619047604</c:v>
                </c:pt>
                <c:pt idx="9">
                  <c:v>50527.437641723343</c:v>
                </c:pt>
                <c:pt idx="10">
                  <c:v>58555.404383975809</c:v>
                </c:pt>
                <c:pt idx="11">
                  <c:v>66745.880574451992</c:v>
                </c:pt>
                <c:pt idx="12">
                  <c:v>75046.863189720316</c:v>
                </c:pt>
                <c:pt idx="13">
                  <c:v>80279.667422524566</c:v>
                </c:pt>
                <c:pt idx="14">
                  <c:v>88593.65079365077</c:v>
                </c:pt>
                <c:pt idx="15">
                  <c:v>95861.073318216164</c:v>
                </c:pt>
                <c:pt idx="16">
                  <c:v>102042.93272864702</c:v>
                </c:pt>
                <c:pt idx="17">
                  <c:v>109375.35903250187</c:v>
                </c:pt>
                <c:pt idx="18">
                  <c:v>116798.79062736203</c:v>
                </c:pt>
                <c:pt idx="19">
                  <c:v>123416.17535903248</c:v>
                </c:pt>
                <c:pt idx="20">
                  <c:v>129325.01889644745</c:v>
                </c:pt>
                <c:pt idx="21">
                  <c:v>136631.44368858653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spPr>
              <a:ln w="76200" cap="rnd">
                <a:solidFill>
                  <a:schemeClr val="accent5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compute!$F$5:$F$10008</c:f>
              <c:numCache>
                <c:formatCode>#,##0</c:formatCode>
                <c:ptCount val="10004"/>
                <c:pt idx="0">
                  <c:v>9558.3333333333339</c:v>
                </c:pt>
                <c:pt idx="1">
                  <c:v>11491.666666666666</c:v>
                </c:pt>
                <c:pt idx="2">
                  <c:v>15558.333333333334</c:v>
                </c:pt>
                <c:pt idx="3">
                  <c:v>20700</c:v>
                </c:pt>
                <c:pt idx="4">
                  <c:v>26650</c:v>
                </c:pt>
                <c:pt idx="5">
                  <c:v>33650</c:v>
                </c:pt>
                <c:pt idx="6">
                  <c:v>41250</c:v>
                </c:pt>
                <c:pt idx="7">
                  <c:v>47533.333333333336</c:v>
                </c:pt>
                <c:pt idx="8">
                  <c:v>56175</c:v>
                </c:pt>
                <c:pt idx="9">
                  <c:v>64775</c:v>
                </c:pt>
                <c:pt idx="10">
                  <c:v>75066.666666666672</c:v>
                </c:pt>
                <c:pt idx="11">
                  <c:v>85566.666666666672</c:v>
                </c:pt>
                <c:pt idx="12">
                  <c:v>96208.333333333328</c:v>
                </c:pt>
                <c:pt idx="13">
                  <c:v>102916.66666666667</c:v>
                </c:pt>
                <c:pt idx="14">
                  <c:v>113575</c:v>
                </c:pt>
                <c:pt idx="15">
                  <c:v>122891.66666666667</c:v>
                </c:pt>
                <c:pt idx="16">
                  <c:v>130816.66666666667</c:v>
                </c:pt>
                <c:pt idx="17">
                  <c:v>140216.66666666666</c:v>
                </c:pt>
                <c:pt idx="18">
                  <c:v>149733.33333333334</c:v>
                </c:pt>
                <c:pt idx="19">
                  <c:v>158216.66666666666</c:v>
                </c:pt>
                <c:pt idx="20">
                  <c:v>165791.66666666666</c:v>
                </c:pt>
                <c:pt idx="21">
                  <c:v>175158.33333333334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compute!$C$5:$C$27</c:f>
              <c:numCache>
                <c:formatCode>0.0%</c:formatCode>
                <c:ptCount val="23"/>
                <c:pt idx="0">
                  <c:v>5.3404136571744032E-5</c:v>
                </c:pt>
                <c:pt idx="1">
                  <c:v>6.4206019470300807E-5</c:v>
                </c:pt>
                <c:pt idx="2">
                  <c:v>8.6927221429334019E-5</c:v>
                </c:pt>
                <c:pt idx="3">
                  <c:v>1.1565464275868543E-4</c:v>
                </c:pt>
                <c:pt idx="4">
                  <c:v>1.4889836857579549E-4</c:v>
                </c:pt>
                <c:pt idx="5">
                  <c:v>1.880086342429838E-4</c:v>
                </c:pt>
                <c:pt idx="6">
                  <c:v>2.304712083959311E-4</c:v>
                </c:pt>
                <c:pt idx="7">
                  <c:v>2.6557732781624059E-4</c:v>
                </c:pt>
                <c:pt idx="8">
                  <c:v>3.1385988197918618E-4</c:v>
                </c:pt>
                <c:pt idx="9">
                  <c:v>3.6190963694173183E-4</c:v>
                </c:pt>
                <c:pt idx="10">
                  <c:v>4.1941103944051462E-4</c:v>
                </c:pt>
                <c:pt idx="11">
                  <c:v>4.7807643794129707E-4</c:v>
                </c:pt>
                <c:pt idx="12">
                  <c:v>5.375333537234393E-4</c:v>
                </c:pt>
                <c:pt idx="13">
                  <c:v>5.750140249878281E-4</c:v>
                </c:pt>
                <c:pt idx="14">
                  <c:v>6.3456406045013026E-4</c:v>
                </c:pt>
                <c:pt idx="15">
                  <c:v>6.8661796165955477E-4</c:v>
                </c:pt>
                <c:pt idx="16">
                  <c:v>7.3089636957562149E-4</c:v>
                </c:pt>
                <c:pt idx="17">
                  <c:v>7.8341586918584578E-4</c:v>
                </c:pt>
                <c:pt idx="18">
                  <c:v>8.3658720655718994E-4</c:v>
                </c:pt>
                <c:pt idx="19">
                  <c:v>8.8398512375861577E-4</c:v>
                </c:pt>
                <c:pt idx="20">
                  <c:v>9.2630801839132311E-4</c:v>
                </c:pt>
                <c:pt idx="21">
                  <c:v>9.7864127864122743E-4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compute!$C$5:$C$27</c:f>
              <c:numCache>
                <c:formatCode>0.0%</c:formatCode>
                <c:ptCount val="23"/>
                <c:pt idx="0">
                  <c:v>5.3404136571744032E-5</c:v>
                </c:pt>
                <c:pt idx="1">
                  <c:v>6.4206019470300807E-5</c:v>
                </c:pt>
                <c:pt idx="2">
                  <c:v>8.6927221429334019E-5</c:v>
                </c:pt>
                <c:pt idx="3">
                  <c:v>1.1565464275868543E-4</c:v>
                </c:pt>
                <c:pt idx="4">
                  <c:v>1.4889836857579549E-4</c:v>
                </c:pt>
                <c:pt idx="5">
                  <c:v>1.880086342429838E-4</c:v>
                </c:pt>
                <c:pt idx="6">
                  <c:v>2.304712083959311E-4</c:v>
                </c:pt>
                <c:pt idx="7">
                  <c:v>2.6557732781624059E-4</c:v>
                </c:pt>
                <c:pt idx="8">
                  <c:v>3.1385988197918618E-4</c:v>
                </c:pt>
                <c:pt idx="9">
                  <c:v>3.6190963694173183E-4</c:v>
                </c:pt>
                <c:pt idx="10">
                  <c:v>4.1941103944051462E-4</c:v>
                </c:pt>
                <c:pt idx="11">
                  <c:v>4.7807643794129707E-4</c:v>
                </c:pt>
                <c:pt idx="12">
                  <c:v>5.375333537234393E-4</c:v>
                </c:pt>
                <c:pt idx="13">
                  <c:v>5.750140249878281E-4</c:v>
                </c:pt>
                <c:pt idx="14">
                  <c:v>6.3456406045013026E-4</c:v>
                </c:pt>
                <c:pt idx="15">
                  <c:v>6.8661796165955477E-4</c:v>
                </c:pt>
                <c:pt idx="16">
                  <c:v>7.3089636957562149E-4</c:v>
                </c:pt>
                <c:pt idx="17">
                  <c:v>7.8341586918584578E-4</c:v>
                </c:pt>
                <c:pt idx="18">
                  <c:v>8.3658720655718994E-4</c:v>
                </c:pt>
                <c:pt idx="19">
                  <c:v>8.8398512375861577E-4</c:v>
                </c:pt>
                <c:pt idx="20">
                  <c:v>9.2630801839132311E-4</c:v>
                </c:pt>
                <c:pt idx="21">
                  <c:v>9.7864127864122743E-4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529374082476991"/>
          <c:h val="0.74294915254237293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compute!$N$4</c:f>
              <c:strCache>
                <c:ptCount val="1"/>
                <c:pt idx="0">
                  <c:v>average infection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72-1848-8D14-2279B6F7C74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72-1848-8D14-2279B6F7C74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72-1848-8D14-2279B6F7C74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98-8A45-B605-B9194C49FAB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72-1848-8D14-2279B6F7C74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98-8A45-B605-B9194C49FAB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E6-984F-B4E4-5660F27577B3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E6-984F-B4E4-5660F27577B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E6-984F-B4E4-5660F27577B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E6-984F-B4E4-5660F27577B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E6-984F-B4E4-5660F27577B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98-8A45-B605-B9194C49FAB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E6-984F-B4E4-5660F27577B3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E6-984F-B4E4-5660F27577B3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72-1848-8D14-2279B6F7C74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98-8A45-B605-B9194C49FAB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7A-5E43-94E1-C998BAEA117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87-6A46-90CD-4BF42EF8077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87-6A46-90CD-4BF42EF80777}"/>
                </c:ext>
              </c:extLst>
            </c:dLbl>
            <c:dLbl>
              <c:idx val="19"/>
              <c:layout>
                <c:manualLayout>
                  <c:x val="-5.9322033898305086E-2"/>
                  <c:y val="-0.105084745762711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ED-2D40-BB0C-D5284EA7E8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compute!$N$5:$N$10008</c:f>
              <c:numCache>
                <c:formatCode>0.0%</c:formatCode>
                <c:ptCount val="10004"/>
                <c:pt idx="0">
                  <c:v>3.7136663375664778E-4</c:v>
                </c:pt>
                <c:pt idx="1">
                  <c:v>4.4648176804744323E-4</c:v>
                </c:pt>
                <c:pt idx="2">
                  <c:v>6.0448256776256455E-4</c:v>
                </c:pt>
                <c:pt idx="3">
                  <c:v>8.042499723204126E-4</c:v>
                </c:pt>
                <c:pt idx="4">
                  <c:v>1.0354232735429467E-3</c:v>
                </c:pt>
                <c:pt idx="5">
                  <c:v>1.307391863216516E-3</c:v>
                </c:pt>
                <c:pt idx="6">
                  <c:v>1.6026720462906771E-3</c:v>
                </c:pt>
                <c:pt idx="7">
                  <c:v>1.8467962327357622E-3</c:v>
                </c:pt>
                <c:pt idx="8">
                  <c:v>2.182547932130395E-3</c:v>
                </c:pt>
                <c:pt idx="9">
                  <c:v>2.5166807708722088E-3</c:v>
                </c:pt>
                <c:pt idx="10">
                  <c:v>2.916539352118469E-3</c:v>
                </c:pt>
                <c:pt idx="11">
                  <c:v>3.3244922366288229E-3</c:v>
                </c:pt>
                <c:pt idx="12">
                  <c:v>3.737949247358761E-3</c:v>
                </c:pt>
                <c:pt idx="13">
                  <c:v>3.9985858124625987E-3</c:v>
                </c:pt>
                <c:pt idx="14">
                  <c:v>4.4126903674536651E-3</c:v>
                </c:pt>
                <c:pt idx="15">
                  <c:v>4.7746676094239634E-3</c:v>
                </c:pt>
                <c:pt idx="16">
                  <c:v>5.082574905590111E-3</c:v>
                </c:pt>
                <c:pt idx="17">
                  <c:v>5.4477898688660466E-3</c:v>
                </c:pt>
                <c:pt idx="18">
                  <c:v>5.8175376419698759E-3</c:v>
                </c:pt>
                <c:pt idx="19">
                  <c:v>6.1471376708837986E-3</c:v>
                </c:pt>
                <c:pt idx="20">
                  <c:v>6.4414465375662675E-3</c:v>
                </c:pt>
                <c:pt idx="21">
                  <c:v>6.8053664123199483E-3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165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50"/>
        <c:majorTimeUnit val="days"/>
      </c:dateAx>
      <c:valAx>
        <c:axId val="1207600816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7575150140130786"/>
          <c:h val="0.75989830508474576"/>
        </c:manualLayout>
      </c:layout>
      <c:areaChart>
        <c:grouping val="stacked"/>
        <c:varyColors val="0"/>
        <c:ser>
          <c:idx val="3"/>
          <c:order val="0"/>
          <c:tx>
            <c:strRef>
              <c:f>compute!$P$4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compute!$P$5:$P$10008</c:f>
              <c:numCache>
                <c:formatCode>0</c:formatCode>
                <c:ptCount val="10004"/>
                <c:pt idx="0">
                  <c:v>2675.0201768588863</c:v>
                </c:pt>
                <c:pt idx="1">
                  <c:v>2224.980524189371</c:v>
                </c:pt>
                <c:pt idx="2">
                  <c:v>1643.410896013467</c:v>
                </c:pt>
                <c:pt idx="3">
                  <c:v>1235.2045663676099</c:v>
                </c:pt>
                <c:pt idx="4">
                  <c:v>959.42718663450376</c:v>
                </c:pt>
                <c:pt idx="5">
                  <c:v>759.8435222528833</c:v>
                </c:pt>
                <c:pt idx="6">
                  <c:v>619.84810966810971</c:v>
                </c:pt>
                <c:pt idx="7">
                  <c:v>537.91166599879784</c:v>
                </c:pt>
                <c:pt idx="8">
                  <c:v>455.16216330769066</c:v>
                </c:pt>
                <c:pt idx="9">
                  <c:v>394.73152487548475</c:v>
                </c:pt>
                <c:pt idx="10">
                  <c:v>340.61369259071301</c:v>
                </c:pt>
                <c:pt idx="11">
                  <c:v>298.8165312482609</c:v>
                </c:pt>
                <c:pt idx="12">
                  <c:v>265.7642393120089</c:v>
                </c:pt>
                <c:pt idx="13">
                  <c:v>248.44114517061885</c:v>
                </c:pt>
                <c:pt idx="14">
                  <c:v>225.12643208284854</c:v>
                </c:pt>
                <c:pt idx="15">
                  <c:v>208.05914035784517</c:v>
                </c:pt>
                <c:pt idx="16">
                  <c:v>195.45471670640481</c:v>
                </c:pt>
                <c:pt idx="17">
                  <c:v>182.35160720653411</c:v>
                </c:pt>
                <c:pt idx="18">
                  <c:v>170.76180670398168</c:v>
                </c:pt>
                <c:pt idx="19">
                  <c:v>161.60582233525454</c:v>
                </c:pt>
                <c:pt idx="20">
                  <c:v>154.22207302624494</c:v>
                </c:pt>
                <c:pt idx="21">
                  <c:v>145.97498181917041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compute!$Q$4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compute!$Q$5:$Q$10008</c:f>
              <c:numCache>
                <c:formatCode>0</c:formatCode>
                <c:ptCount val="10004"/>
                <c:pt idx="0">
                  <c:v>1070.008070743555</c:v>
                </c:pt>
                <c:pt idx="1">
                  <c:v>889.99220967574865</c:v>
                </c:pt>
                <c:pt idx="2">
                  <c:v>657.36435840538684</c:v>
                </c:pt>
                <c:pt idx="3">
                  <c:v>494.08182654704387</c:v>
                </c:pt>
                <c:pt idx="4">
                  <c:v>383.77087465380134</c:v>
                </c:pt>
                <c:pt idx="5">
                  <c:v>303.93740890115328</c:v>
                </c:pt>
                <c:pt idx="6">
                  <c:v>247.93924386724382</c:v>
                </c:pt>
                <c:pt idx="7">
                  <c:v>215.16466639951909</c:v>
                </c:pt>
                <c:pt idx="8">
                  <c:v>182.06486532307633</c:v>
                </c:pt>
                <c:pt idx="9">
                  <c:v>157.8926099501939</c:v>
                </c:pt>
                <c:pt idx="10">
                  <c:v>136.24547703628519</c:v>
                </c:pt>
                <c:pt idx="11">
                  <c:v>119.52661249930435</c:v>
                </c:pt>
                <c:pt idx="12">
                  <c:v>106.30569572480357</c:v>
                </c:pt>
                <c:pt idx="13">
                  <c:v>99.376458068247558</c:v>
                </c:pt>
                <c:pt idx="14">
                  <c:v>90.050572833139455</c:v>
                </c:pt>
                <c:pt idx="15">
                  <c:v>83.223656143138072</c:v>
                </c:pt>
                <c:pt idx="16">
                  <c:v>78.181886682561952</c:v>
                </c:pt>
                <c:pt idx="17">
                  <c:v>72.940642882613645</c:v>
                </c:pt>
                <c:pt idx="18">
                  <c:v>68.304722681592665</c:v>
                </c:pt>
                <c:pt idx="19">
                  <c:v>64.642328934101812</c:v>
                </c:pt>
                <c:pt idx="20">
                  <c:v>61.688829210497971</c:v>
                </c:pt>
                <c:pt idx="21">
                  <c:v>58.389992727668158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compute!$R$4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layout>
                <c:manualLayout>
                  <c:x val="-5.4237288135593344E-2"/>
                  <c:y val="-6.44067796610169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compute!$A$5:$A$10008</c:f>
              <c:numCache>
                <c:formatCode>d\-mmm</c:formatCode>
                <c:ptCount val="1000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</c:numCache>
            </c:numRef>
          </c:cat>
          <c:val>
            <c:numRef>
              <c:f>compute!$R$5:$R$10008</c:f>
              <c:numCache>
                <c:formatCode>0</c:formatCode>
                <c:ptCount val="10004"/>
                <c:pt idx="0">
                  <c:v>3210.0242122306636</c:v>
                </c:pt>
                <c:pt idx="1">
                  <c:v>2669.9766290272455</c:v>
                </c:pt>
                <c:pt idx="2">
                  <c:v>1972.0930752161603</c:v>
                </c:pt>
                <c:pt idx="3">
                  <c:v>1482.2454796411319</c:v>
                </c:pt>
                <c:pt idx="4">
                  <c:v>1151.3126239614044</c:v>
                </c:pt>
                <c:pt idx="5">
                  <c:v>911.81222670345994</c:v>
                </c:pt>
                <c:pt idx="6">
                  <c:v>743.81773160173157</c:v>
                </c:pt>
                <c:pt idx="7">
                  <c:v>645.49399919855739</c:v>
                </c:pt>
                <c:pt idx="8">
                  <c:v>546.19459596922889</c:v>
                </c:pt>
                <c:pt idx="9">
                  <c:v>473.6778298505817</c:v>
                </c:pt>
                <c:pt idx="10">
                  <c:v>408.73643110885564</c:v>
                </c:pt>
                <c:pt idx="11">
                  <c:v>358.5798374979131</c:v>
                </c:pt>
                <c:pt idx="12">
                  <c:v>318.91708717441065</c:v>
                </c:pt>
                <c:pt idx="13">
                  <c:v>298.12937420474265</c:v>
                </c:pt>
                <c:pt idx="14">
                  <c:v>270.15171849941828</c:v>
                </c:pt>
                <c:pt idx="15">
                  <c:v>249.67096842941419</c:v>
                </c:pt>
                <c:pt idx="16">
                  <c:v>234.54566004768577</c:v>
                </c:pt>
                <c:pt idx="17">
                  <c:v>218.82192864784093</c:v>
                </c:pt>
                <c:pt idx="18">
                  <c:v>204.91416804477802</c:v>
                </c:pt>
                <c:pt idx="19">
                  <c:v>193.92698680230546</c:v>
                </c:pt>
                <c:pt idx="20">
                  <c:v>185.06648763149394</c:v>
                </c:pt>
                <c:pt idx="21">
                  <c:v>175.1699781830045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4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U$27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4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0.25254</cdr:x>
      <cdr:y>0.26271</cdr:y>
    </cdr:from>
    <cdr:to>
      <cdr:x>0.51864</cdr:x>
      <cdr:y>0.50169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FDCF19DA-C04D-3642-83C0-C3A5DDFB8902}"/>
            </a:ext>
          </a:extLst>
        </cdr:cNvPr>
        <cdr:cNvSpPr txBox="1"/>
      </cdr:nvSpPr>
      <cdr:spPr>
        <a:xfrm xmlns:a="http://schemas.openxmlformats.org/drawingml/2006/main">
          <a:off x="1892300" y="1968500"/>
          <a:ext cx="1993900" cy="1790700"/>
        </a:xfrm>
        <a:prstGeom xmlns:a="http://schemas.openxmlformats.org/drawingml/2006/main" prst="roundRect">
          <a:avLst>
            <a:gd name="adj" fmla="val 5363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The number of cases continues to increase, but it is not increasing exponentially.  We have slowed the spread.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</cdr:x>
      <cdr:y>0.29492</cdr:y>
    </cdr:from>
    <cdr:to>
      <cdr:x>0.90678</cdr:x>
      <cdr:y>0.47797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141F9311-692A-F840-B5D7-D3C585DA9D2E}"/>
            </a:ext>
          </a:extLst>
        </cdr:cNvPr>
        <cdr:cNvSpPr txBox="1"/>
      </cdr:nvSpPr>
      <cdr:spPr>
        <a:xfrm xmlns:a="http://schemas.openxmlformats.org/drawingml/2006/main">
          <a:off x="3746504" y="2209832"/>
          <a:ext cx="3047996" cy="1371568"/>
        </a:xfrm>
        <a:prstGeom xmlns:a="http://schemas.openxmlformats.org/drawingml/2006/main" prst="roundRect">
          <a:avLst>
            <a:gd name="adj" fmla="val 765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The percentage</a:t>
          </a:r>
          <a:r>
            <a:rPr lang="en-US" sz="1800" b="0" i="0" u="none" strike="noStrike" baseline="0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 of increase in new cases is steadily dropping.  We might see zero new cases per day in Miami Beach soon.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U$27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0.18305</cdr:x>
      <cdr:y>0.28814</cdr:y>
    </cdr:from>
    <cdr:to>
      <cdr:x>0.48814</cdr:x>
      <cdr:y>0.48983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141F9311-692A-F840-B5D7-D3C585DA9D2E}"/>
            </a:ext>
          </a:extLst>
        </cdr:cNvPr>
        <cdr:cNvSpPr txBox="1"/>
      </cdr:nvSpPr>
      <cdr:spPr>
        <a:xfrm xmlns:a="http://schemas.openxmlformats.org/drawingml/2006/main">
          <a:off x="1371591" y="2159037"/>
          <a:ext cx="2286009" cy="1511264"/>
        </a:xfrm>
        <a:prstGeom xmlns:a="http://schemas.openxmlformats.org/drawingml/2006/main" prst="roundRect">
          <a:avLst>
            <a:gd name="adj" fmla="val 765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0" i="0" u="none" strike="noStrike">
              <a:solidFill>
                <a:schemeClr val="bg1"/>
              </a:solidFill>
              <a:effectLst/>
              <a:latin typeface="Helvetica" pitchFamily="2" charset="0"/>
              <a:ea typeface="+mn-ea"/>
              <a:cs typeface="+mn-cs"/>
            </a:rPr>
            <a:t>The doubling time remains high, indicating that we have slowed the spread.</a:t>
          </a:r>
          <a:endParaRPr lang="en-US" sz="2000" b="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U$27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3" name="Picture 12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4" name="Picture 13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0.22034</cdr:x>
      <cdr:y>0.27458</cdr:y>
    </cdr:from>
    <cdr:to>
      <cdr:x>0.58475</cdr:x>
      <cdr:y>0.51695</cdr:y>
    </cdr:to>
    <cdr:sp macro="" textlink="compute!$U$33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DF3BFB61-C5E4-624F-9591-5EF8EC0509E9}"/>
            </a:ext>
          </a:extLst>
        </cdr:cNvPr>
        <cdr:cNvSpPr txBox="1"/>
      </cdr:nvSpPr>
      <cdr:spPr>
        <a:xfrm xmlns:a="http://schemas.openxmlformats.org/drawingml/2006/main">
          <a:off x="1651005" y="2057399"/>
          <a:ext cx="2730495" cy="1816101"/>
        </a:xfrm>
        <a:prstGeom xmlns:a="http://schemas.openxmlformats.org/drawingml/2006/main" prst="roundRect">
          <a:avLst>
            <a:gd name="adj" fmla="val 717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7E67BFC-B66B-6E47-A8B5-B0078C99A391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Around 175,000 people in Florida may have already been infected with the SARS-CoV-2 virus, based on an estimated population of 21,477,737</a:t>
          </a:fld>
          <a:endParaRPr lang="en-US" sz="18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27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5" name="Picture 24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U$27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0.22881</cdr:x>
      <cdr:y>0.48136</cdr:y>
    </cdr:from>
    <cdr:to>
      <cdr:x>0.45932</cdr:x>
      <cdr:y>0.56611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714473" y="3606794"/>
          <a:ext cx="1727212" cy="63503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0.5678</cdr:x>
      <cdr:y>0.4661</cdr:y>
    </cdr:from>
    <cdr:to>
      <cdr:x>0.90509</cdr:x>
      <cdr:y>0.57627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254490" y="3492470"/>
          <a:ext cx="2527314" cy="8255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2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U$27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0.22644</cdr:x>
      <cdr:y>0.22386</cdr:y>
    </cdr:from>
    <cdr:to>
      <cdr:x>0.82305</cdr:x>
      <cdr:y>0.34081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696750" y="1677373"/>
          <a:ext cx="4470401" cy="876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20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 that herd protection for COVID-19 is between 50% and 66%.</a:t>
          </a:r>
          <a:endParaRPr lang="en-US" sz="20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0.29153</cdr:x>
      <cdr:y>0.42373</cdr:y>
    </cdr:from>
    <cdr:to>
      <cdr:x>0.74345</cdr:x>
      <cdr:y>0.5428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2184400" y="3175000"/>
          <a:ext cx="3386282" cy="89219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20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20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6" name="Rectangle 15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7" name="Picture 16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1" name="Picture 20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0.32203</cdr:x>
      <cdr:y>0.27094</cdr:y>
    </cdr:from>
    <cdr:to>
      <cdr:x>0.74746</cdr:x>
      <cdr:y>0.44576</cdr:y>
    </cdr:to>
    <cdr:sp macro="" textlink="compute!$U$3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412977" y="2030136"/>
          <a:ext cx="3187723" cy="1309964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Florida having been infected with SARS-CoV-2 is currently estimated to be around one in 175.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0.76489</cdr:x>
      <cdr:y>0.7889</cdr:y>
    </cdr:from>
    <cdr:to>
      <cdr:x>0.91405</cdr:x>
      <cdr:y>0.82104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31299" y="5911202"/>
          <a:ext cx="1117656" cy="240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27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85BA41DF-9D33-554F-BF1C-D3CD5C7BB054}"/>
            </a:ext>
          </a:extLst>
        </cdr:cNvPr>
        <cdr:cNvSpPr/>
      </cdr:nvSpPr>
      <cdr:spPr>
        <a:xfrm xmlns:a="http://schemas.openxmlformats.org/drawingml/2006/main">
          <a:off x="10566" y="7112738"/>
          <a:ext cx="7482434" cy="380262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0.90943</cdr:x>
      <cdr:y>0.95922</cdr:y>
    </cdr:from>
    <cdr:to>
      <cdr:x>0.93954</cdr:x>
      <cdr:y>0.98869</cdr:y>
    </cdr:to>
    <cdr:pic>
      <cdr:nvPicPr>
        <cdr:cNvPr id="18" name="Picture 17">
          <a:extLst xmlns:a="http://schemas.openxmlformats.org/drawingml/2006/main">
            <a:ext uri="{FF2B5EF4-FFF2-40B4-BE49-F238E27FC236}">
              <a16:creationId xmlns:a16="http://schemas.microsoft.com/office/drawing/2014/main" id="{24BB73B9-622B-AB4A-802B-11C90135F3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14352" y="7187401"/>
          <a:ext cx="225657" cy="22082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0.94204</cdr:x>
      <cdr:y>0.95535</cdr:y>
    </cdr:from>
    <cdr:to>
      <cdr:x>0.98015</cdr:x>
      <cdr:y>0.9929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011741B-486F-2A43-8993-352E4BF370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58679" y="7158472"/>
          <a:ext cx="285576" cy="28129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0.60555</cdr:x>
      <cdr:y>0.95788</cdr:y>
    </cdr:from>
    <cdr:to>
      <cdr:x>0.8985</cdr:x>
      <cdr:y>0.99864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5F5FA002-A8D8-4C49-A164-FB4CC259D1E7}"/>
            </a:ext>
          </a:extLst>
        </cdr:cNvPr>
        <cdr:cNvSpPr txBox="1"/>
      </cdr:nvSpPr>
      <cdr:spPr>
        <a:xfrm xmlns:a="http://schemas.openxmlformats.org/drawingml/2006/main">
          <a:off x="4537408" y="7177397"/>
          <a:ext cx="2195070" cy="30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0.35813</cdr:x>
      <cdr:y>0.95787</cdr:y>
    </cdr:from>
    <cdr:to>
      <cdr:x>0.6256</cdr:x>
      <cdr:y>0.99665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B9AEBEB1-E7AA-8C44-BE11-D3613EAAB2AE}"/>
            </a:ext>
          </a:extLst>
        </cdr:cNvPr>
        <cdr:cNvSpPr txBox="1"/>
      </cdr:nvSpPr>
      <cdr:spPr>
        <a:xfrm xmlns:a="http://schemas.openxmlformats.org/drawingml/2006/main">
          <a:off x="2683446" y="7177345"/>
          <a:ext cx="2004170" cy="2905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0.03166</cdr:x>
      <cdr:y>0.95837</cdr:y>
    </cdr:from>
    <cdr:to>
      <cdr:x>0.23584</cdr:x>
      <cdr:y>0.98868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7ADED42E-C723-1845-A6C5-00156ADFC6F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237259" y="7181061"/>
          <a:ext cx="1529922" cy="227122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U27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April 13,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Florida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 editAs="oneCell">
    <xdr:from>
      <xdr:col>6</xdr:col>
      <xdr:colOff>2761720</xdr:colOff>
      <xdr:row>18</xdr:row>
      <xdr:rowOff>87933</xdr:rowOff>
    </xdr:from>
    <xdr:to>
      <xdr:col>6</xdr:col>
      <xdr:colOff>2987736</xdr:colOff>
      <xdr:row>18</xdr:row>
      <xdr:rowOff>310723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8519714-BD67-0549-9186-9E476B39E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9529" y="7196897"/>
          <a:ext cx="226016" cy="222790"/>
        </a:xfrm>
        <a:prstGeom prst="rect">
          <a:avLst/>
        </a:prstGeom>
      </xdr:spPr>
    </xdr:pic>
    <xdr:clientData/>
  </xdr:twoCellAnchor>
  <xdr:twoCellAnchor editAs="oneCell">
    <xdr:from>
      <xdr:col>6</xdr:col>
      <xdr:colOff>3006436</xdr:colOff>
      <xdr:row>18</xdr:row>
      <xdr:rowOff>58747</xdr:rowOff>
    </xdr:from>
    <xdr:to>
      <xdr:col>8</xdr:col>
      <xdr:colOff>41266</xdr:colOff>
      <xdr:row>18</xdr:row>
      <xdr:rowOff>342540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CB78546-61B2-F147-BE9A-6488295B6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54245" y="7167711"/>
          <a:ext cx="288256" cy="283793"/>
        </a:xfrm>
        <a:prstGeom prst="rect">
          <a:avLst/>
        </a:prstGeom>
      </xdr:spPr>
    </xdr:pic>
    <xdr:clientData/>
  </xdr:twoCellAnchor>
  <xdr:twoCellAnchor>
    <xdr:from>
      <xdr:col>6</xdr:col>
      <xdr:colOff>481158</xdr:colOff>
      <xdr:row>18</xdr:row>
      <xdr:rowOff>77840</xdr:rowOff>
    </xdr:from>
    <xdr:to>
      <xdr:col>6</xdr:col>
      <xdr:colOff>2679717</xdr:colOff>
      <xdr:row>19</xdr:row>
      <xdr:rowOff>5005</xdr:rowOff>
    </xdr:to>
    <xdr:sp macro="" textlink="">
      <xdr:nvSpPr>
        <xdr:cNvPr id="13" name="TextBox 3">
          <a:extLst>
            <a:ext uri="{FF2B5EF4-FFF2-40B4-BE49-F238E27FC236}">
              <a16:creationId xmlns:a16="http://schemas.microsoft.com/office/drawing/2014/main" id="{970D30E2-4478-7040-8565-2332431848C5}"/>
            </a:ext>
          </a:extLst>
        </xdr:cNvPr>
        <xdr:cNvSpPr txBox="1"/>
      </xdr:nvSpPr>
      <xdr:spPr>
        <a:xfrm>
          <a:off x="4528967" y="7186804"/>
          <a:ext cx="2198559" cy="306647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bg1"/>
              </a:solidFill>
              <a:latin typeface="Helvetica" pitchFamily="2" charset="0"/>
            </a:rPr>
            <a:t>daily updates @BeachCov2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2307251</xdr:colOff>
      <xdr:row>18</xdr:row>
      <xdr:rowOff>77788</xdr:rowOff>
    </xdr:from>
    <xdr:to>
      <xdr:col>6</xdr:col>
      <xdr:colOff>631605</xdr:colOff>
      <xdr:row>18</xdr:row>
      <xdr:rowOff>370903</xdr:rowOff>
    </xdr:to>
    <xdr:sp macro="" textlink="">
      <xdr:nvSpPr>
        <xdr:cNvPr id="14" name="TextBox 1">
          <a:extLst>
            <a:ext uri="{FF2B5EF4-FFF2-40B4-BE49-F238E27FC236}">
              <a16:creationId xmlns:a16="http://schemas.microsoft.com/office/drawing/2014/main" id="{FD0A8590-7A21-364E-8612-513F25D09B8F}"/>
            </a:ext>
          </a:extLst>
        </xdr:cNvPr>
        <xdr:cNvSpPr txBox="1"/>
      </xdr:nvSpPr>
      <xdr:spPr>
        <a:xfrm>
          <a:off x="2666494" y="7186752"/>
          <a:ext cx="2012920" cy="293115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https://BeachCov2.info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212777</xdr:colOff>
      <xdr:row>18</xdr:row>
      <xdr:rowOff>81537</xdr:rowOff>
    </xdr:from>
    <xdr:to>
      <xdr:col>2</xdr:col>
      <xdr:colOff>1389530</xdr:colOff>
      <xdr:row>18</xdr:row>
      <xdr:rowOff>310680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DD3B736-40A5-DA4C-8AE5-3220B2DE2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77" y="7190501"/>
          <a:ext cx="1535996" cy="2291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U26" totalsRowShown="0" headerRowDxfId="22" dataDxfId="21" headerRowCellStyle="Heading 3">
  <autoFilter ref="A4:U26" xr:uid="{550F0C45-D7F8-B94B-924D-6E337BF889A7}"/>
  <tableColumns count="21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0" dataCellStyle="Percent">
      <calculatedColumnFormula>Table2[[#This Row],[cases]]/$B$2</calculatedColumnFormula>
    </tableColumn>
    <tableColumn id="20" xr3:uid="{583731BA-1864-EF40-AEF7-A80834F00231}" name="% increase" dataDxfId="19">
      <calculatedColumnFormula>(Table2[[#This Row],[cases]]-B4)/B4</calculatedColumnFormula>
    </tableColumn>
    <tableColumn id="19" xr3:uid="{C3C6B808-3CB5-8B45-A4B9-4A6CDF5E27BE}" name="doubling time (days)" dataDxfId="7">
      <calculatedColumnFormula>(LN(2)/LN(B5/B4))</calculatedColumnFormula>
    </tableColumn>
    <tableColumn id="22" xr3:uid="{90069003-40F0-4A42-B540-85A67A611F36}" name="estimated infections" dataDxfId="6">
      <calculatedColumnFormula>Table2[[#This Row],[cases]]*100/$S$19</calculatedColumnFormula>
    </tableColumn>
    <tableColumn id="8" xr3:uid="{C899EFA6-17F8-B447-A1DB-6D7083A2F531}" name="infection count, low end of estimate range" dataDxfId="5">
      <calculatedColumnFormula>Table2[[#This Row],[cases]]*100/$S$13</calculatedColumnFormula>
    </tableColumn>
    <tableColumn id="9" xr3:uid="{9DA1C9E0-36F7-DE43-8448-4D8CE8B57839}" name="infection count, high end of estimate range" dataDxfId="4">
      <calculatedColumnFormula>Table2[[#This Row],[cases]]*100/$S$16</calculatedColumnFormula>
    </tableColumn>
    <tableColumn id="11" xr3:uid="{DF5E18EF-399D-9948-A8F2-9862C2232353}" name="infection count difference" dataDxfId="3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2">
      <calculatedColumnFormula>(Table2[[#This Row],[infection count, low end of estimate range]]+Table2[[#This Row],[infection count, high end of estimate range]])/2</calculatedColumnFormula>
    </tableColumn>
    <tableColumn id="12" xr3:uid="{8AB0CE19-F28B-1B41-B08C-6F528E4C628D}" name="infection percentage, low end of estimate range" dataDxfId="18">
      <calculatedColumnFormula>Table2[[#This Row],[infection count, low end of estimate range]]/$S$6</calculatedColumnFormula>
    </tableColumn>
    <tableColumn id="13" xr3:uid="{1109EB50-6E0E-5D49-923A-162321C9390D}" name="infection percentage, high end of estimate range" dataDxfId="17">
      <calculatedColumnFormula>Table2[[#This Row],[infection count, high end of estimate range]]/$S$6</calculatedColumnFormula>
    </tableColumn>
    <tableColumn id="14" xr3:uid="{238DA9D3-166B-A04A-B1CF-89D64E5C9BCE}" name="infection percentage difference" dataDxfId="16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15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14">
      <calculatedColumnFormula>$S$6/(Table2[[#This Row],[cases]]*5)</calculatedColumnFormula>
    </tableColumn>
    <tableColumn id="4" xr3:uid="{244EEAB7-EA2F-9142-A896-C40C6D4A9BE9}" name="1-in-X odds, estimating 7x cases infected" dataDxfId="13">
      <calculatedColumnFormula>$S$6/(Table2[[#This Row],[cases]]*7)</calculatedColumnFormula>
    </tableColumn>
    <tableColumn id="5" xr3:uid="{8F986CA1-2145-0B4C-AAAE-6153D0E4F495}" name="1-in-X odds difference" dataDxfId="12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11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10"/>
    <tableColumn id="17" xr3:uid="{B5DA71D5-91C3-F54E-9A79-5F7DD2472B6E}" name="computed" dataDxfId="9"/>
    <tableColumn id="18" xr3:uid="{22EA3CBE-6B18-9845-9A5C-8FD79B240D43}" name="Column1" dataDxfId="8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A1"/>
  <sheetViews>
    <sheetView tabSelected="1" zoomScaleNormal="100" workbookViewId="0">
      <selection activeCell="L28" sqref="L28"/>
    </sheetView>
  </sheetViews>
  <sheetFormatPr baseColWidth="10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L19" sqref="L19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K10" sqref="K10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L22" sqref="L22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K1" sqref="K1:M396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7">
        <v>43913</v>
      </c>
      <c r="L3" s="71">
        <v>0.2</v>
      </c>
      <c r="M3" s="71">
        <v>1</v>
      </c>
    </row>
    <row r="4" spans="11:13" x14ac:dyDescent="0.2">
      <c r="K4" s="77">
        <v>43914</v>
      </c>
      <c r="L4" s="71">
        <v>0.2</v>
      </c>
      <c r="M4" s="71">
        <v>1</v>
      </c>
    </row>
    <row r="5" spans="11:13" x14ac:dyDescent="0.2">
      <c r="K5" s="77">
        <v>43915</v>
      </c>
      <c r="L5" s="71">
        <v>0.2</v>
      </c>
      <c r="M5" s="71">
        <v>1</v>
      </c>
    </row>
    <row r="6" spans="11:13" x14ac:dyDescent="0.2">
      <c r="K6" s="77">
        <v>43916</v>
      </c>
      <c r="L6" s="71">
        <v>0.2</v>
      </c>
      <c r="M6" s="71">
        <v>1</v>
      </c>
    </row>
    <row r="7" spans="11:13" x14ac:dyDescent="0.2">
      <c r="K7" s="77">
        <v>43917</v>
      </c>
      <c r="L7" s="71">
        <v>0.2</v>
      </c>
      <c r="M7" s="71">
        <v>1</v>
      </c>
    </row>
    <row r="8" spans="11:13" x14ac:dyDescent="0.2">
      <c r="K8" s="77">
        <v>43918</v>
      </c>
      <c r="L8" s="71">
        <v>0.2</v>
      </c>
      <c r="M8" s="71">
        <v>1</v>
      </c>
    </row>
    <row r="9" spans="11:13" x14ac:dyDescent="0.2">
      <c r="K9" s="77">
        <v>43919</v>
      </c>
      <c r="L9" s="71">
        <v>0.2</v>
      </c>
      <c r="M9" s="71">
        <v>1</v>
      </c>
    </row>
    <row r="10" spans="11:13" x14ac:dyDescent="0.2">
      <c r="K10" s="77">
        <v>43920</v>
      </c>
      <c r="L10" s="71">
        <v>0.2</v>
      </c>
      <c r="M10" s="71">
        <v>1</v>
      </c>
    </row>
    <row r="11" spans="11:13" x14ac:dyDescent="0.2">
      <c r="K11" s="77">
        <v>43921</v>
      </c>
      <c r="L11" s="71">
        <v>0.2</v>
      </c>
      <c r="M11" s="71">
        <v>1</v>
      </c>
    </row>
    <row r="12" spans="11:13" x14ac:dyDescent="0.2">
      <c r="K12" s="77">
        <v>43922</v>
      </c>
      <c r="L12" s="71">
        <v>0.2</v>
      </c>
      <c r="M12" s="71">
        <v>1</v>
      </c>
    </row>
    <row r="13" spans="11:13" x14ac:dyDescent="0.2">
      <c r="K13" s="77">
        <v>43923</v>
      </c>
      <c r="L13" s="71">
        <v>0.2</v>
      </c>
      <c r="M13" s="71">
        <v>1</v>
      </c>
    </row>
    <row r="14" spans="11:13" x14ac:dyDescent="0.2">
      <c r="K14" s="77">
        <v>43924</v>
      </c>
      <c r="L14" s="71">
        <v>0.2</v>
      </c>
      <c r="M14" s="71">
        <v>1</v>
      </c>
    </row>
    <row r="15" spans="11:13" x14ac:dyDescent="0.2">
      <c r="K15" s="77">
        <v>43925</v>
      </c>
      <c r="L15" s="71">
        <v>0.2</v>
      </c>
      <c r="M15" s="71">
        <v>1</v>
      </c>
    </row>
    <row r="16" spans="11:13" x14ac:dyDescent="0.2">
      <c r="K16" s="77">
        <v>43926</v>
      </c>
      <c r="L16" s="71">
        <v>0.2</v>
      </c>
      <c r="M16" s="71">
        <v>1</v>
      </c>
    </row>
    <row r="17" spans="11:13" x14ac:dyDescent="0.2">
      <c r="K17" s="77">
        <v>43927</v>
      </c>
      <c r="L17" s="71">
        <v>0.2</v>
      </c>
      <c r="M17" s="71">
        <v>1</v>
      </c>
    </row>
    <row r="18" spans="11:13" x14ac:dyDescent="0.2">
      <c r="K18" s="77">
        <v>43928</v>
      </c>
      <c r="L18" s="71">
        <v>0.2</v>
      </c>
      <c r="M18" s="71">
        <v>1</v>
      </c>
    </row>
    <row r="19" spans="11:13" x14ac:dyDescent="0.2">
      <c r="K19" s="77">
        <v>43929</v>
      </c>
      <c r="L19" s="71">
        <v>0.2</v>
      </c>
      <c r="M19" s="71">
        <v>1</v>
      </c>
    </row>
    <row r="20" spans="11:13" x14ac:dyDescent="0.2">
      <c r="K20" s="77">
        <v>43930</v>
      </c>
      <c r="L20" s="71">
        <v>0.2</v>
      </c>
      <c r="M20" s="71">
        <v>1</v>
      </c>
    </row>
    <row r="21" spans="11:13" x14ac:dyDescent="0.2">
      <c r="K21" s="77">
        <v>43931</v>
      </c>
      <c r="L21" s="71">
        <v>0.2</v>
      </c>
      <c r="M21" s="71">
        <v>1</v>
      </c>
    </row>
    <row r="22" spans="11:13" x14ac:dyDescent="0.2">
      <c r="K22" s="77">
        <v>43932</v>
      </c>
      <c r="L22" s="71">
        <v>0.2</v>
      </c>
      <c r="M22" s="71">
        <v>1</v>
      </c>
    </row>
    <row r="23" spans="11:13" x14ac:dyDescent="0.2">
      <c r="K23" s="77">
        <v>43933</v>
      </c>
      <c r="L23" s="71">
        <v>0.2</v>
      </c>
      <c r="M23" s="71">
        <v>1</v>
      </c>
    </row>
    <row r="24" spans="11:13" x14ac:dyDescent="0.2">
      <c r="K24" s="77">
        <v>43934</v>
      </c>
      <c r="L24" s="71">
        <v>0.2</v>
      </c>
      <c r="M24" s="71">
        <v>1</v>
      </c>
    </row>
    <row r="25" spans="11:13" x14ac:dyDescent="0.2">
      <c r="K25" s="77">
        <v>43935</v>
      </c>
      <c r="L25" s="71">
        <v>0.2</v>
      </c>
      <c r="M25" s="71">
        <v>1</v>
      </c>
    </row>
    <row r="26" spans="11:13" x14ac:dyDescent="0.2">
      <c r="K26" s="77">
        <v>43936</v>
      </c>
      <c r="L26" s="71">
        <v>0.2</v>
      </c>
      <c r="M26" s="71">
        <v>1</v>
      </c>
    </row>
    <row r="27" spans="11:13" x14ac:dyDescent="0.2">
      <c r="K27" s="77">
        <v>43937</v>
      </c>
      <c r="L27" s="71">
        <v>0.2</v>
      </c>
      <c r="M27" s="71">
        <v>1</v>
      </c>
    </row>
    <row r="28" spans="11:13" x14ac:dyDescent="0.2">
      <c r="K28" s="77">
        <v>43938</v>
      </c>
      <c r="L28" s="71">
        <v>0.2</v>
      </c>
      <c r="M28" s="71">
        <v>1</v>
      </c>
    </row>
    <row r="29" spans="11:13" x14ac:dyDescent="0.2">
      <c r="K29" s="77">
        <v>43939</v>
      </c>
      <c r="L29" s="71">
        <v>0.2</v>
      </c>
      <c r="M29" s="71">
        <v>1</v>
      </c>
    </row>
    <row r="30" spans="11:13" x14ac:dyDescent="0.2">
      <c r="K30" s="77">
        <v>43940</v>
      </c>
      <c r="L30" s="71">
        <v>0.2</v>
      </c>
      <c r="M30" s="71">
        <v>1</v>
      </c>
    </row>
    <row r="31" spans="11:13" x14ac:dyDescent="0.2">
      <c r="K31" s="77">
        <v>43941</v>
      </c>
      <c r="L31" s="71">
        <v>0.2</v>
      </c>
      <c r="M31" s="71">
        <v>1</v>
      </c>
    </row>
    <row r="32" spans="11:13" x14ac:dyDescent="0.2">
      <c r="K32" s="77">
        <v>43942</v>
      </c>
      <c r="L32" s="71">
        <v>0.2</v>
      </c>
      <c r="M32" s="71">
        <v>1</v>
      </c>
    </row>
    <row r="33" spans="11:13" x14ac:dyDescent="0.2">
      <c r="K33" s="77">
        <v>43943</v>
      </c>
      <c r="L33" s="71">
        <v>0.2</v>
      </c>
      <c r="M33" s="71">
        <v>1</v>
      </c>
    </row>
    <row r="34" spans="11:13" x14ac:dyDescent="0.2">
      <c r="K34" s="77">
        <v>43944</v>
      </c>
      <c r="L34" s="71">
        <v>0.2</v>
      </c>
      <c r="M34" s="71">
        <v>1</v>
      </c>
    </row>
    <row r="35" spans="11:13" x14ac:dyDescent="0.2">
      <c r="K35" s="77">
        <v>43945</v>
      </c>
      <c r="L35" s="71">
        <v>0.2</v>
      </c>
      <c r="M35" s="71">
        <v>1</v>
      </c>
    </row>
    <row r="36" spans="11:13" x14ac:dyDescent="0.2">
      <c r="K36" s="77">
        <v>43946</v>
      </c>
      <c r="L36" s="71">
        <v>0.2</v>
      </c>
      <c r="M36" s="71">
        <v>1</v>
      </c>
    </row>
    <row r="37" spans="11:13" x14ac:dyDescent="0.2">
      <c r="K37" s="77">
        <v>43947</v>
      </c>
      <c r="L37" s="71">
        <v>0.2</v>
      </c>
      <c r="M37" s="71">
        <v>1</v>
      </c>
    </row>
    <row r="38" spans="11:13" x14ac:dyDescent="0.2">
      <c r="K38" s="77">
        <v>43948</v>
      </c>
      <c r="L38" s="71">
        <v>0.2</v>
      </c>
      <c r="M38" s="71">
        <v>1</v>
      </c>
    </row>
    <row r="39" spans="11:13" x14ac:dyDescent="0.2">
      <c r="K39" s="77">
        <v>43949</v>
      </c>
      <c r="L39" s="71">
        <v>0.2</v>
      </c>
      <c r="M39" s="71">
        <v>1</v>
      </c>
    </row>
    <row r="40" spans="11:13" x14ac:dyDescent="0.2">
      <c r="K40" s="77">
        <v>43950</v>
      </c>
      <c r="L40" s="71">
        <v>0.2</v>
      </c>
      <c r="M40" s="71">
        <v>1</v>
      </c>
    </row>
    <row r="41" spans="11:13" x14ac:dyDescent="0.2">
      <c r="K41" s="77">
        <v>43951</v>
      </c>
      <c r="L41" s="71">
        <v>0.2</v>
      </c>
      <c r="M41" s="71">
        <v>1</v>
      </c>
    </row>
    <row r="42" spans="11:13" x14ac:dyDescent="0.2">
      <c r="K42" s="77">
        <v>43952</v>
      </c>
      <c r="L42" s="71">
        <v>0.2</v>
      </c>
      <c r="M42" s="71">
        <v>1</v>
      </c>
    </row>
    <row r="43" spans="11:13" x14ac:dyDescent="0.2">
      <c r="K43" s="77">
        <v>43953</v>
      </c>
      <c r="L43" s="71">
        <v>0.2</v>
      </c>
      <c r="M43" s="71">
        <v>1</v>
      </c>
    </row>
    <row r="44" spans="11:13" x14ac:dyDescent="0.2">
      <c r="K44" s="77">
        <v>43954</v>
      </c>
      <c r="L44" s="71">
        <v>0.2</v>
      </c>
      <c r="M44" s="71">
        <v>1</v>
      </c>
    </row>
    <row r="45" spans="11:13" x14ac:dyDescent="0.2">
      <c r="K45" s="77">
        <v>43955</v>
      </c>
      <c r="L45" s="71">
        <v>0.2</v>
      </c>
      <c r="M45" s="71">
        <v>1</v>
      </c>
    </row>
    <row r="46" spans="11:13" x14ac:dyDescent="0.2">
      <c r="K46" s="77">
        <v>43956</v>
      </c>
      <c r="L46" s="71">
        <v>0.2</v>
      </c>
      <c r="M46" s="71">
        <v>1</v>
      </c>
    </row>
    <row r="47" spans="11:13" x14ac:dyDescent="0.2">
      <c r="K47" s="77">
        <v>43957</v>
      </c>
      <c r="L47" s="71">
        <v>0.2</v>
      </c>
      <c r="M47" s="71">
        <v>1</v>
      </c>
    </row>
    <row r="48" spans="11:13" x14ac:dyDescent="0.2">
      <c r="K48" s="77">
        <v>43958</v>
      </c>
      <c r="L48" s="71">
        <v>0.2</v>
      </c>
      <c r="M48" s="71">
        <v>1</v>
      </c>
    </row>
    <row r="49" spans="11:13" x14ac:dyDescent="0.2">
      <c r="K49" s="77">
        <v>43959</v>
      </c>
      <c r="L49" s="71">
        <v>0.2</v>
      </c>
      <c r="M49" s="71">
        <v>1</v>
      </c>
    </row>
    <row r="50" spans="11:13" x14ac:dyDescent="0.2">
      <c r="K50" s="77">
        <v>43960</v>
      </c>
      <c r="L50" s="71">
        <v>0.2</v>
      </c>
      <c r="M50" s="71">
        <v>1</v>
      </c>
    </row>
    <row r="51" spans="11:13" x14ac:dyDescent="0.2">
      <c r="K51" s="77">
        <v>43961</v>
      </c>
      <c r="L51" s="71">
        <v>0.2</v>
      </c>
      <c r="M51" s="71">
        <v>1</v>
      </c>
    </row>
    <row r="52" spans="11:13" x14ac:dyDescent="0.2">
      <c r="K52" s="77">
        <v>43962</v>
      </c>
      <c r="L52" s="71">
        <v>0.2</v>
      </c>
      <c r="M52" s="71">
        <v>1</v>
      </c>
    </row>
    <row r="53" spans="11:13" x14ac:dyDescent="0.2">
      <c r="K53" s="77">
        <v>43963</v>
      </c>
      <c r="L53" s="71">
        <v>0.2</v>
      </c>
      <c r="M53" s="71">
        <v>1</v>
      </c>
    </row>
    <row r="54" spans="11:13" x14ac:dyDescent="0.2">
      <c r="K54" s="77">
        <v>43964</v>
      </c>
      <c r="L54" s="71">
        <v>0.2</v>
      </c>
      <c r="M54" s="71">
        <v>1</v>
      </c>
    </row>
    <row r="55" spans="11:13" x14ac:dyDescent="0.2">
      <c r="K55" s="77">
        <v>43965</v>
      </c>
      <c r="L55" s="71">
        <v>0.2</v>
      </c>
      <c r="M55" s="71">
        <v>1</v>
      </c>
    </row>
    <row r="56" spans="11:13" x14ac:dyDescent="0.2">
      <c r="K56" s="77">
        <v>43966</v>
      </c>
      <c r="L56" s="71">
        <v>0.2</v>
      </c>
      <c r="M56" s="71">
        <v>1</v>
      </c>
    </row>
    <row r="57" spans="11:13" x14ac:dyDescent="0.2">
      <c r="K57" s="77">
        <v>43967</v>
      </c>
      <c r="L57" s="71">
        <v>0.2</v>
      </c>
      <c r="M57" s="71">
        <v>1</v>
      </c>
    </row>
    <row r="58" spans="11:13" x14ac:dyDescent="0.2">
      <c r="K58" s="77">
        <v>43968</v>
      </c>
      <c r="L58" s="71">
        <v>0.2</v>
      </c>
      <c r="M58" s="71">
        <v>1</v>
      </c>
    </row>
    <row r="59" spans="11:13" x14ac:dyDescent="0.2">
      <c r="K59" s="77">
        <v>43969</v>
      </c>
      <c r="L59" s="71">
        <v>0.2</v>
      </c>
      <c r="M59" s="71">
        <v>1</v>
      </c>
    </row>
    <row r="60" spans="11:13" x14ac:dyDescent="0.2">
      <c r="K60" s="77">
        <v>43970</v>
      </c>
      <c r="L60" s="71">
        <v>0.2</v>
      </c>
      <c r="M60" s="71">
        <v>1</v>
      </c>
    </row>
    <row r="61" spans="11:13" x14ac:dyDescent="0.2">
      <c r="K61" s="77">
        <v>43971</v>
      </c>
      <c r="L61" s="71">
        <v>0.2</v>
      </c>
      <c r="M61" s="71">
        <v>1</v>
      </c>
    </row>
    <row r="62" spans="11:13" x14ac:dyDescent="0.2">
      <c r="K62" s="77">
        <v>43972</v>
      </c>
      <c r="L62" s="71">
        <v>0.2</v>
      </c>
      <c r="M62" s="71">
        <v>1</v>
      </c>
    </row>
    <row r="63" spans="11:13" x14ac:dyDescent="0.2">
      <c r="K63" s="77">
        <v>43973</v>
      </c>
      <c r="L63" s="71">
        <v>0.2</v>
      </c>
      <c r="M63" s="71">
        <v>1</v>
      </c>
    </row>
    <row r="64" spans="11:13" x14ac:dyDescent="0.2">
      <c r="K64" s="77">
        <v>43974</v>
      </c>
      <c r="L64" s="71">
        <v>0.2</v>
      </c>
      <c r="M64" s="71">
        <v>1</v>
      </c>
    </row>
    <row r="65" spans="11:13" x14ac:dyDescent="0.2">
      <c r="K65" s="77">
        <v>43975</v>
      </c>
      <c r="L65" s="71">
        <v>0.2</v>
      </c>
      <c r="M65" s="71">
        <v>1</v>
      </c>
    </row>
    <row r="66" spans="11:13" x14ac:dyDescent="0.2">
      <c r="K66" s="77">
        <v>43976</v>
      </c>
      <c r="L66" s="71">
        <v>0.2</v>
      </c>
      <c r="M66" s="71">
        <v>1</v>
      </c>
    </row>
    <row r="67" spans="11:13" x14ac:dyDescent="0.2">
      <c r="K67" s="77">
        <v>43977</v>
      </c>
      <c r="L67" s="71">
        <v>0.2</v>
      </c>
      <c r="M67" s="71">
        <v>1</v>
      </c>
    </row>
    <row r="68" spans="11:13" x14ac:dyDescent="0.2">
      <c r="K68" s="77">
        <v>43978</v>
      </c>
      <c r="L68" s="71">
        <v>0.2</v>
      </c>
      <c r="M68" s="71">
        <v>1</v>
      </c>
    </row>
    <row r="69" spans="11:13" x14ac:dyDescent="0.2">
      <c r="K69" s="77">
        <v>43979</v>
      </c>
      <c r="L69" s="71">
        <v>0.2</v>
      </c>
      <c r="M69" s="71">
        <v>1</v>
      </c>
    </row>
    <row r="70" spans="11:13" x14ac:dyDescent="0.2">
      <c r="K70" s="77">
        <v>43980</v>
      </c>
      <c r="L70" s="71">
        <v>0.2</v>
      </c>
      <c r="M70" s="71">
        <v>1</v>
      </c>
    </row>
    <row r="71" spans="11:13" x14ac:dyDescent="0.2">
      <c r="K71" s="77">
        <v>43981</v>
      </c>
      <c r="L71" s="71">
        <v>0.2</v>
      </c>
      <c r="M71" s="71">
        <v>1</v>
      </c>
    </row>
    <row r="72" spans="11:13" x14ac:dyDescent="0.2">
      <c r="K72" s="77">
        <v>43982</v>
      </c>
      <c r="L72" s="71">
        <v>0.2</v>
      </c>
      <c r="M72" s="71">
        <v>1</v>
      </c>
    </row>
    <row r="73" spans="11:13" x14ac:dyDescent="0.2">
      <c r="K73" s="77">
        <v>43983</v>
      </c>
      <c r="L73" s="71">
        <v>0.2</v>
      </c>
      <c r="M73" s="71">
        <v>1</v>
      </c>
    </row>
    <row r="74" spans="11:13" x14ac:dyDescent="0.2">
      <c r="K74" s="77">
        <v>43984</v>
      </c>
      <c r="L74" s="71">
        <v>0.2</v>
      </c>
      <c r="M74" s="71">
        <v>1</v>
      </c>
    </row>
    <row r="75" spans="11:13" x14ac:dyDescent="0.2">
      <c r="K75" s="77">
        <v>43985</v>
      </c>
      <c r="L75" s="71">
        <v>0.2</v>
      </c>
      <c r="M75" s="71">
        <v>1</v>
      </c>
    </row>
    <row r="76" spans="11:13" x14ac:dyDescent="0.2">
      <c r="K76" s="77">
        <v>43986</v>
      </c>
      <c r="L76" s="71">
        <v>0.2</v>
      </c>
      <c r="M76" s="71">
        <v>1</v>
      </c>
    </row>
    <row r="77" spans="11:13" x14ac:dyDescent="0.2">
      <c r="K77" s="77">
        <v>43987</v>
      </c>
      <c r="L77" s="71">
        <v>0.2</v>
      </c>
      <c r="M77" s="71">
        <v>1</v>
      </c>
    </row>
    <row r="78" spans="11:13" x14ac:dyDescent="0.2">
      <c r="K78" s="77">
        <v>43988</v>
      </c>
      <c r="L78" s="71">
        <v>0.2</v>
      </c>
      <c r="M78" s="71">
        <v>1</v>
      </c>
    </row>
    <row r="79" spans="11:13" x14ac:dyDescent="0.2">
      <c r="K79" s="77">
        <v>43989</v>
      </c>
      <c r="L79" s="71">
        <v>0.2</v>
      </c>
      <c r="M79" s="71">
        <v>1</v>
      </c>
    </row>
    <row r="80" spans="11:13" x14ac:dyDescent="0.2">
      <c r="K80" s="77">
        <v>43990</v>
      </c>
      <c r="L80" s="71">
        <v>0.2</v>
      </c>
      <c r="M80" s="71">
        <v>1</v>
      </c>
    </row>
    <row r="81" spans="11:13" x14ac:dyDescent="0.2">
      <c r="K81" s="77">
        <v>43991</v>
      </c>
      <c r="L81" s="71">
        <v>0.2</v>
      </c>
      <c r="M81" s="71">
        <v>1</v>
      </c>
    </row>
    <row r="82" spans="11:13" x14ac:dyDescent="0.2">
      <c r="K82" s="77">
        <v>43992</v>
      </c>
      <c r="L82" s="71">
        <v>0.2</v>
      </c>
      <c r="M82" s="71">
        <v>1</v>
      </c>
    </row>
    <row r="83" spans="11:13" x14ac:dyDescent="0.2">
      <c r="K83" s="77">
        <v>43993</v>
      </c>
      <c r="L83" s="71">
        <v>0.2</v>
      </c>
      <c r="M83" s="71">
        <v>1</v>
      </c>
    </row>
    <row r="84" spans="11:13" x14ac:dyDescent="0.2">
      <c r="K84" s="77">
        <v>43994</v>
      </c>
      <c r="L84" s="71">
        <v>0.2</v>
      </c>
      <c r="M84" s="71">
        <v>1</v>
      </c>
    </row>
    <row r="85" spans="11:13" x14ac:dyDescent="0.2">
      <c r="K85" s="77">
        <v>43995</v>
      </c>
      <c r="L85" s="71">
        <v>0.2</v>
      </c>
      <c r="M85" s="71">
        <v>1</v>
      </c>
    </row>
    <row r="86" spans="11:13" x14ac:dyDescent="0.2">
      <c r="K86" s="77">
        <v>43996</v>
      </c>
      <c r="L86" s="71">
        <v>0.2</v>
      </c>
      <c r="M86" s="71">
        <v>1</v>
      </c>
    </row>
    <row r="87" spans="11:13" x14ac:dyDescent="0.2">
      <c r="K87" s="77">
        <v>43997</v>
      </c>
      <c r="L87" s="71">
        <v>0.2</v>
      </c>
      <c r="M87" s="71">
        <v>1</v>
      </c>
    </row>
    <row r="88" spans="11:13" x14ac:dyDescent="0.2">
      <c r="K88" s="77">
        <v>43998</v>
      </c>
      <c r="L88" s="71">
        <v>0.2</v>
      </c>
      <c r="M88" s="71">
        <v>1</v>
      </c>
    </row>
    <row r="89" spans="11:13" x14ac:dyDescent="0.2">
      <c r="K89" s="77">
        <v>43999</v>
      </c>
      <c r="L89" s="71">
        <v>0.2</v>
      </c>
      <c r="M89" s="71">
        <v>1</v>
      </c>
    </row>
    <row r="90" spans="11:13" x14ac:dyDescent="0.2">
      <c r="K90" s="77">
        <v>44000</v>
      </c>
      <c r="L90" s="71">
        <v>0.2</v>
      </c>
      <c r="M90" s="71">
        <v>1</v>
      </c>
    </row>
    <row r="91" spans="11:13" x14ac:dyDescent="0.2">
      <c r="K91" s="77">
        <v>44001</v>
      </c>
      <c r="L91" s="71">
        <v>0.2</v>
      </c>
      <c r="M91" s="71">
        <v>1</v>
      </c>
    </row>
    <row r="92" spans="11:13" x14ac:dyDescent="0.2">
      <c r="K92" s="77">
        <v>44002</v>
      </c>
      <c r="L92" s="71">
        <v>0.2</v>
      </c>
      <c r="M92" s="71">
        <v>1</v>
      </c>
    </row>
    <row r="93" spans="11:13" x14ac:dyDescent="0.2">
      <c r="K93" s="77">
        <v>44003</v>
      </c>
      <c r="L93" s="71">
        <v>0.2</v>
      </c>
      <c r="M93" s="71">
        <v>1</v>
      </c>
    </row>
    <row r="94" spans="11:13" x14ac:dyDescent="0.2">
      <c r="K94" s="77">
        <v>44004</v>
      </c>
      <c r="L94" s="71">
        <v>0.2</v>
      </c>
      <c r="M94" s="71">
        <v>1</v>
      </c>
    </row>
    <row r="95" spans="11:13" x14ac:dyDescent="0.2">
      <c r="K95" s="77">
        <v>44005</v>
      </c>
      <c r="L95" s="71">
        <v>0.2</v>
      </c>
      <c r="M95" s="71">
        <v>1</v>
      </c>
    </row>
    <row r="96" spans="11:13" x14ac:dyDescent="0.2">
      <c r="K96" s="77">
        <v>44006</v>
      </c>
      <c r="L96" s="71">
        <v>0.2</v>
      </c>
      <c r="M96" s="71">
        <v>1</v>
      </c>
    </row>
    <row r="97" spans="11:13" x14ac:dyDescent="0.2">
      <c r="K97" s="77">
        <v>44007</v>
      </c>
      <c r="L97" s="71">
        <v>0.2</v>
      </c>
      <c r="M97" s="71">
        <v>1</v>
      </c>
    </row>
    <row r="98" spans="11:13" x14ac:dyDescent="0.2">
      <c r="K98" s="77">
        <v>44008</v>
      </c>
      <c r="L98" s="71">
        <v>0.2</v>
      </c>
      <c r="M98" s="71">
        <v>1</v>
      </c>
    </row>
    <row r="99" spans="11:13" x14ac:dyDescent="0.2">
      <c r="K99" s="77">
        <v>44009</v>
      </c>
      <c r="L99" s="71">
        <v>0.2</v>
      </c>
      <c r="M99" s="71">
        <v>1</v>
      </c>
    </row>
    <row r="100" spans="11:13" x14ac:dyDescent="0.2">
      <c r="K100" s="77">
        <v>44010</v>
      </c>
      <c r="L100" s="71">
        <v>0.2</v>
      </c>
      <c r="M100" s="71">
        <v>1</v>
      </c>
    </row>
    <row r="101" spans="11:13" x14ac:dyDescent="0.2">
      <c r="K101" s="77">
        <v>44011</v>
      </c>
      <c r="L101" s="71">
        <v>0.2</v>
      </c>
      <c r="M101" s="71">
        <v>1</v>
      </c>
    </row>
    <row r="102" spans="11:13" x14ac:dyDescent="0.2">
      <c r="K102" s="77">
        <v>44012</v>
      </c>
      <c r="L102" s="71">
        <v>0.2</v>
      </c>
      <c r="M102" s="71">
        <v>1</v>
      </c>
    </row>
    <row r="103" spans="11:13" x14ac:dyDescent="0.2">
      <c r="K103" s="77">
        <v>44013</v>
      </c>
      <c r="L103" s="71">
        <v>0.2</v>
      </c>
      <c r="M103" s="71">
        <v>1</v>
      </c>
    </row>
    <row r="104" spans="11:13" x14ac:dyDescent="0.2">
      <c r="K104" s="77">
        <v>44014</v>
      </c>
      <c r="L104" s="71">
        <v>0.2</v>
      </c>
      <c r="M104" s="71">
        <v>1</v>
      </c>
    </row>
    <row r="105" spans="11:13" x14ac:dyDescent="0.2">
      <c r="K105" s="77">
        <v>44015</v>
      </c>
      <c r="L105" s="71">
        <v>0.2</v>
      </c>
      <c r="M105" s="71">
        <v>1</v>
      </c>
    </row>
    <row r="106" spans="11:13" x14ac:dyDescent="0.2">
      <c r="K106" s="77">
        <v>44016</v>
      </c>
      <c r="L106" s="71">
        <v>0.2</v>
      </c>
      <c r="M106" s="71">
        <v>1</v>
      </c>
    </row>
    <row r="107" spans="11:13" x14ac:dyDescent="0.2">
      <c r="K107" s="77">
        <v>44017</v>
      </c>
      <c r="L107" s="71">
        <v>0.2</v>
      </c>
      <c r="M107" s="71">
        <v>1</v>
      </c>
    </row>
    <row r="108" spans="11:13" x14ac:dyDescent="0.2">
      <c r="K108" s="77">
        <v>44018</v>
      </c>
      <c r="L108" s="71">
        <v>0.2</v>
      </c>
      <c r="M108" s="71">
        <v>1</v>
      </c>
    </row>
    <row r="109" spans="11:13" x14ac:dyDescent="0.2">
      <c r="K109" s="77">
        <v>44019</v>
      </c>
      <c r="L109" s="71">
        <v>0.2</v>
      </c>
      <c r="M109" s="71">
        <v>1</v>
      </c>
    </row>
    <row r="110" spans="11:13" x14ac:dyDescent="0.2">
      <c r="K110" s="77">
        <v>44020</v>
      </c>
      <c r="L110" s="71">
        <v>0.2</v>
      </c>
      <c r="M110" s="71">
        <v>1</v>
      </c>
    </row>
    <row r="111" spans="11:13" x14ac:dyDescent="0.2">
      <c r="K111" s="77">
        <v>44021</v>
      </c>
      <c r="L111" s="71">
        <v>0.2</v>
      </c>
      <c r="M111" s="71">
        <v>1</v>
      </c>
    </row>
    <row r="112" spans="11:13" x14ac:dyDescent="0.2">
      <c r="K112" s="77">
        <v>44022</v>
      </c>
      <c r="L112" s="71">
        <v>0.2</v>
      </c>
      <c r="M112" s="71">
        <v>1</v>
      </c>
    </row>
    <row r="113" spans="11:13" x14ac:dyDescent="0.2">
      <c r="K113" s="77">
        <v>44023</v>
      </c>
      <c r="L113" s="71">
        <v>0.2</v>
      </c>
      <c r="M113" s="71">
        <v>1</v>
      </c>
    </row>
    <row r="114" spans="11:13" x14ac:dyDescent="0.2">
      <c r="K114" s="77">
        <v>44024</v>
      </c>
      <c r="L114" s="71">
        <v>0.2</v>
      </c>
      <c r="M114" s="71">
        <v>1</v>
      </c>
    </row>
    <row r="115" spans="11:13" x14ac:dyDescent="0.2">
      <c r="K115" s="77">
        <v>44025</v>
      </c>
      <c r="L115" s="71">
        <v>0.2</v>
      </c>
      <c r="M115" s="71">
        <v>1</v>
      </c>
    </row>
    <row r="116" spans="11:13" x14ac:dyDescent="0.2">
      <c r="K116" s="77">
        <v>44026</v>
      </c>
      <c r="L116" s="71">
        <v>0.2</v>
      </c>
      <c r="M116" s="71">
        <v>1</v>
      </c>
    </row>
    <row r="117" spans="11:13" x14ac:dyDescent="0.2">
      <c r="K117" s="77">
        <v>44027</v>
      </c>
      <c r="L117" s="71">
        <v>0.2</v>
      </c>
      <c r="M117" s="71">
        <v>1</v>
      </c>
    </row>
    <row r="118" spans="11:13" x14ac:dyDescent="0.2">
      <c r="K118" s="77">
        <v>44028</v>
      </c>
      <c r="L118" s="71">
        <v>0.2</v>
      </c>
      <c r="M118" s="71">
        <v>1</v>
      </c>
    </row>
    <row r="119" spans="11:13" x14ac:dyDescent="0.2">
      <c r="K119" s="77">
        <v>44029</v>
      </c>
      <c r="L119" s="71">
        <v>0.2</v>
      </c>
      <c r="M119" s="71">
        <v>1</v>
      </c>
    </row>
    <row r="120" spans="11:13" x14ac:dyDescent="0.2">
      <c r="K120" s="77">
        <v>44030</v>
      </c>
      <c r="L120" s="71">
        <v>0.2</v>
      </c>
      <c r="M120" s="71">
        <v>1</v>
      </c>
    </row>
    <row r="121" spans="11:13" x14ac:dyDescent="0.2">
      <c r="K121" s="77">
        <v>44031</v>
      </c>
      <c r="L121" s="71">
        <v>0.2</v>
      </c>
      <c r="M121" s="71">
        <v>1</v>
      </c>
    </row>
    <row r="122" spans="11:13" x14ac:dyDescent="0.2">
      <c r="K122" s="77">
        <v>44032</v>
      </c>
      <c r="L122" s="71">
        <v>0.2</v>
      </c>
      <c r="M122" s="71">
        <v>1</v>
      </c>
    </row>
    <row r="123" spans="11:13" x14ac:dyDescent="0.2">
      <c r="K123" s="77">
        <v>44033</v>
      </c>
      <c r="L123" s="71">
        <v>0.2</v>
      </c>
      <c r="M123" s="71">
        <v>1</v>
      </c>
    </row>
    <row r="124" spans="11:13" x14ac:dyDescent="0.2">
      <c r="K124" s="77">
        <v>44034</v>
      </c>
      <c r="L124" s="71">
        <v>0.2</v>
      </c>
      <c r="M124" s="71">
        <v>1</v>
      </c>
    </row>
    <row r="125" spans="11:13" x14ac:dyDescent="0.2">
      <c r="K125" s="77">
        <v>44035</v>
      </c>
      <c r="L125" s="71">
        <v>0.2</v>
      </c>
      <c r="M125" s="71">
        <v>1</v>
      </c>
    </row>
    <row r="126" spans="11:13" x14ac:dyDescent="0.2">
      <c r="K126" s="77">
        <v>44036</v>
      </c>
      <c r="L126" s="71">
        <v>0.2</v>
      </c>
      <c r="M126" s="71">
        <v>1</v>
      </c>
    </row>
    <row r="127" spans="11:13" x14ac:dyDescent="0.2">
      <c r="K127" s="77">
        <v>44037</v>
      </c>
      <c r="L127" s="71">
        <v>0.2</v>
      </c>
      <c r="M127" s="71">
        <v>1</v>
      </c>
    </row>
    <row r="128" spans="11:13" x14ac:dyDescent="0.2">
      <c r="K128" s="77">
        <v>44038</v>
      </c>
      <c r="L128" s="71">
        <v>0.2</v>
      </c>
      <c r="M128" s="71">
        <v>1</v>
      </c>
    </row>
    <row r="129" spans="11:13" x14ac:dyDescent="0.2">
      <c r="K129" s="77">
        <v>44039</v>
      </c>
      <c r="L129" s="71">
        <v>0.2</v>
      </c>
      <c r="M129" s="71">
        <v>1</v>
      </c>
    </row>
    <row r="130" spans="11:13" x14ac:dyDescent="0.2">
      <c r="K130" s="77">
        <v>44040</v>
      </c>
      <c r="L130" s="71">
        <v>0.2</v>
      </c>
      <c r="M130" s="71">
        <v>1</v>
      </c>
    </row>
    <row r="131" spans="11:13" x14ac:dyDescent="0.2">
      <c r="K131" s="77">
        <v>44041</v>
      </c>
      <c r="L131" s="71">
        <v>0.2</v>
      </c>
      <c r="M131" s="71">
        <v>1</v>
      </c>
    </row>
    <row r="132" spans="11:13" x14ac:dyDescent="0.2">
      <c r="K132" s="77">
        <v>44042</v>
      </c>
      <c r="L132" s="71">
        <v>0.2</v>
      </c>
      <c r="M132" s="71">
        <v>1</v>
      </c>
    </row>
    <row r="133" spans="11:13" x14ac:dyDescent="0.2">
      <c r="K133" s="77">
        <v>44043</v>
      </c>
      <c r="L133" s="71">
        <v>0.2</v>
      </c>
      <c r="M133" s="71">
        <v>1</v>
      </c>
    </row>
    <row r="134" spans="11:13" x14ac:dyDescent="0.2">
      <c r="K134" s="77">
        <v>44044</v>
      </c>
      <c r="L134" s="71">
        <v>0.2</v>
      </c>
      <c r="M134" s="71">
        <v>1</v>
      </c>
    </row>
    <row r="135" spans="11:13" x14ac:dyDescent="0.2">
      <c r="K135" s="77">
        <v>44045</v>
      </c>
      <c r="L135" s="71">
        <v>0.2</v>
      </c>
      <c r="M135" s="71">
        <v>1</v>
      </c>
    </row>
    <row r="136" spans="11:13" x14ac:dyDescent="0.2">
      <c r="K136" s="77">
        <v>44046</v>
      </c>
      <c r="L136" s="71">
        <v>0.2</v>
      </c>
      <c r="M136" s="71">
        <v>1</v>
      </c>
    </row>
    <row r="137" spans="11:13" x14ac:dyDescent="0.2">
      <c r="K137" s="77">
        <v>44047</v>
      </c>
      <c r="L137" s="71">
        <v>0.2</v>
      </c>
      <c r="M137" s="71">
        <v>1</v>
      </c>
    </row>
    <row r="138" spans="11:13" x14ac:dyDescent="0.2">
      <c r="K138" s="77">
        <v>44048</v>
      </c>
      <c r="L138" s="71">
        <v>0.2</v>
      </c>
      <c r="M138" s="71">
        <v>1</v>
      </c>
    </row>
    <row r="139" spans="11:13" x14ac:dyDescent="0.2">
      <c r="K139" s="77">
        <v>44049</v>
      </c>
      <c r="L139" s="71">
        <v>0.2</v>
      </c>
      <c r="M139" s="71">
        <v>1</v>
      </c>
    </row>
    <row r="140" spans="11:13" x14ac:dyDescent="0.2">
      <c r="K140" s="77">
        <v>44050</v>
      </c>
      <c r="L140" s="71">
        <v>0.2</v>
      </c>
      <c r="M140" s="71">
        <v>1</v>
      </c>
    </row>
    <row r="141" spans="11:13" x14ac:dyDescent="0.2">
      <c r="K141" s="77">
        <v>44051</v>
      </c>
      <c r="L141" s="71">
        <v>0.2</v>
      </c>
      <c r="M141" s="71">
        <v>1</v>
      </c>
    </row>
    <row r="142" spans="11:13" x14ac:dyDescent="0.2">
      <c r="K142" s="77">
        <v>44052</v>
      </c>
      <c r="L142" s="71">
        <v>0.2</v>
      </c>
      <c r="M142" s="71">
        <v>1</v>
      </c>
    </row>
    <row r="143" spans="11:13" x14ac:dyDescent="0.2">
      <c r="K143" s="77">
        <v>44053</v>
      </c>
      <c r="L143" s="71">
        <v>0.2</v>
      </c>
      <c r="M143" s="71">
        <v>1</v>
      </c>
    </row>
    <row r="144" spans="11:13" x14ac:dyDescent="0.2">
      <c r="K144" s="77">
        <v>44054</v>
      </c>
      <c r="L144" s="71">
        <v>0.2</v>
      </c>
      <c r="M144" s="71">
        <v>1</v>
      </c>
    </row>
    <row r="145" spans="11:13" x14ac:dyDescent="0.2">
      <c r="K145" s="77">
        <v>44055</v>
      </c>
      <c r="L145" s="71">
        <v>0.2</v>
      </c>
      <c r="M145" s="71">
        <v>1</v>
      </c>
    </row>
    <row r="146" spans="11:13" x14ac:dyDescent="0.2">
      <c r="K146" s="77">
        <v>44056</v>
      </c>
      <c r="L146" s="71">
        <v>0.2</v>
      </c>
      <c r="M146" s="71">
        <v>1</v>
      </c>
    </row>
    <row r="147" spans="11:13" x14ac:dyDescent="0.2">
      <c r="K147" s="77">
        <v>44057</v>
      </c>
      <c r="L147" s="71">
        <v>0.2</v>
      </c>
      <c r="M147" s="71">
        <v>1</v>
      </c>
    </row>
    <row r="148" spans="11:13" x14ac:dyDescent="0.2">
      <c r="K148" s="77">
        <v>44058</v>
      </c>
      <c r="L148" s="71">
        <v>0.2</v>
      </c>
      <c r="M148" s="71">
        <v>1</v>
      </c>
    </row>
    <row r="149" spans="11:13" x14ac:dyDescent="0.2">
      <c r="K149" s="77">
        <v>44059</v>
      </c>
      <c r="L149" s="71">
        <v>0.2</v>
      </c>
      <c r="M149" s="71">
        <v>1</v>
      </c>
    </row>
    <row r="150" spans="11:13" x14ac:dyDescent="0.2">
      <c r="K150" s="77">
        <v>44060</v>
      </c>
      <c r="L150" s="71">
        <v>0.2</v>
      </c>
      <c r="M150" s="71">
        <v>1</v>
      </c>
    </row>
    <row r="151" spans="11:13" x14ac:dyDescent="0.2">
      <c r="K151" s="77">
        <v>44061</v>
      </c>
      <c r="L151" s="71">
        <v>0.2</v>
      </c>
      <c r="M151" s="71">
        <v>1</v>
      </c>
    </row>
    <row r="152" spans="11:13" x14ac:dyDescent="0.2">
      <c r="K152" s="77">
        <v>44062</v>
      </c>
      <c r="L152" s="71">
        <v>0.2</v>
      </c>
      <c r="M152" s="71">
        <v>1</v>
      </c>
    </row>
    <row r="153" spans="11:13" x14ac:dyDescent="0.2">
      <c r="K153" s="77">
        <v>44063</v>
      </c>
      <c r="L153" s="71">
        <v>0.2</v>
      </c>
      <c r="M153" s="71">
        <v>1</v>
      </c>
    </row>
    <row r="154" spans="11:13" x14ac:dyDescent="0.2">
      <c r="K154" s="77">
        <v>44064</v>
      </c>
      <c r="L154" s="71">
        <v>0.2</v>
      </c>
      <c r="M154" s="71">
        <v>1</v>
      </c>
    </row>
    <row r="155" spans="11:13" x14ac:dyDescent="0.2">
      <c r="K155" s="77">
        <v>44065</v>
      </c>
      <c r="L155" s="71">
        <v>0.2</v>
      </c>
      <c r="M155" s="71">
        <v>1</v>
      </c>
    </row>
    <row r="156" spans="11:13" x14ac:dyDescent="0.2">
      <c r="K156" s="77">
        <v>44066</v>
      </c>
      <c r="L156" s="71">
        <v>0.2</v>
      </c>
      <c r="M156" s="71">
        <v>1</v>
      </c>
    </row>
    <row r="157" spans="11:13" x14ac:dyDescent="0.2">
      <c r="K157" s="77">
        <v>44067</v>
      </c>
      <c r="L157" s="71">
        <v>0.2</v>
      </c>
      <c r="M157" s="71">
        <v>1</v>
      </c>
    </row>
    <row r="158" spans="11:13" x14ac:dyDescent="0.2">
      <c r="K158" s="77">
        <v>44068</v>
      </c>
      <c r="L158" s="71">
        <v>0.2</v>
      </c>
      <c r="M158" s="71">
        <v>1</v>
      </c>
    </row>
    <row r="159" spans="11:13" x14ac:dyDescent="0.2">
      <c r="K159" s="77">
        <v>44069</v>
      </c>
      <c r="L159" s="71">
        <v>0.2</v>
      </c>
      <c r="M159" s="71">
        <v>1</v>
      </c>
    </row>
    <row r="160" spans="11:13" x14ac:dyDescent="0.2">
      <c r="K160" s="77">
        <v>44070</v>
      </c>
      <c r="L160" s="71">
        <v>0.2</v>
      </c>
      <c r="M160" s="71">
        <v>1</v>
      </c>
    </row>
    <row r="161" spans="11:13" x14ac:dyDescent="0.2">
      <c r="K161" s="77">
        <v>44071</v>
      </c>
      <c r="L161" s="71">
        <v>0.2</v>
      </c>
      <c r="M161" s="71">
        <v>1</v>
      </c>
    </row>
    <row r="162" spans="11:13" x14ac:dyDescent="0.2">
      <c r="K162" s="77">
        <v>44072</v>
      </c>
      <c r="L162" s="71">
        <v>0.2</v>
      </c>
      <c r="M162" s="71">
        <v>1</v>
      </c>
    </row>
    <row r="163" spans="11:13" x14ac:dyDescent="0.2">
      <c r="K163" s="77">
        <v>44073</v>
      </c>
      <c r="L163" s="71">
        <v>0.2</v>
      </c>
      <c r="M163" s="71">
        <v>1</v>
      </c>
    </row>
    <row r="164" spans="11:13" x14ac:dyDescent="0.2">
      <c r="K164" s="77">
        <v>44074</v>
      </c>
      <c r="L164" s="71">
        <v>0.2</v>
      </c>
      <c r="M164" s="71">
        <v>1</v>
      </c>
    </row>
    <row r="165" spans="11:13" x14ac:dyDescent="0.2">
      <c r="K165" s="77">
        <v>44075</v>
      </c>
      <c r="L165" s="71">
        <v>0.2</v>
      </c>
      <c r="M165" s="71">
        <v>1</v>
      </c>
    </row>
    <row r="166" spans="11:13" x14ac:dyDescent="0.2">
      <c r="K166" s="77">
        <v>44076</v>
      </c>
      <c r="L166" s="71">
        <v>0.2</v>
      </c>
      <c r="M166" s="71">
        <v>1</v>
      </c>
    </row>
    <row r="167" spans="11:13" x14ac:dyDescent="0.2">
      <c r="K167" s="77">
        <v>44077</v>
      </c>
      <c r="L167" s="71">
        <v>0.2</v>
      </c>
      <c r="M167" s="71">
        <v>1</v>
      </c>
    </row>
    <row r="168" spans="11:13" x14ac:dyDescent="0.2">
      <c r="K168" s="77">
        <v>44078</v>
      </c>
      <c r="L168" s="71">
        <v>0.2</v>
      </c>
      <c r="M168" s="71">
        <v>1</v>
      </c>
    </row>
    <row r="169" spans="11:13" x14ac:dyDescent="0.2">
      <c r="K169" s="77">
        <v>44079</v>
      </c>
      <c r="L169" s="71">
        <v>0.2</v>
      </c>
      <c r="M169" s="71">
        <v>1</v>
      </c>
    </row>
    <row r="170" spans="11:13" x14ac:dyDescent="0.2">
      <c r="K170" s="77">
        <v>44080</v>
      </c>
      <c r="L170" s="71">
        <v>0.2</v>
      </c>
      <c r="M170" s="71">
        <v>1</v>
      </c>
    </row>
    <row r="171" spans="11:13" x14ac:dyDescent="0.2">
      <c r="K171" s="77">
        <v>44081</v>
      </c>
      <c r="L171" s="71">
        <v>0.2</v>
      </c>
      <c r="M171" s="71">
        <v>1</v>
      </c>
    </row>
    <row r="172" spans="11:13" x14ac:dyDescent="0.2">
      <c r="K172" s="77">
        <v>44082</v>
      </c>
      <c r="L172" s="71">
        <v>0.2</v>
      </c>
      <c r="M172" s="71">
        <v>1</v>
      </c>
    </row>
    <row r="173" spans="11:13" x14ac:dyDescent="0.2">
      <c r="K173" s="77">
        <v>44083</v>
      </c>
      <c r="L173" s="71">
        <v>0.2</v>
      </c>
      <c r="M173" s="71">
        <v>1</v>
      </c>
    </row>
    <row r="174" spans="11:13" x14ac:dyDescent="0.2">
      <c r="K174" s="77">
        <v>44084</v>
      </c>
      <c r="L174" s="71">
        <v>0.2</v>
      </c>
      <c r="M174" s="71">
        <v>1</v>
      </c>
    </row>
    <row r="175" spans="11:13" x14ac:dyDescent="0.2">
      <c r="K175" s="77">
        <v>44085</v>
      </c>
      <c r="L175" s="71">
        <v>0.2</v>
      </c>
      <c r="M175" s="71">
        <v>1</v>
      </c>
    </row>
    <row r="176" spans="11:13" x14ac:dyDescent="0.2">
      <c r="K176" s="77">
        <v>44086</v>
      </c>
      <c r="L176" s="71">
        <v>0.2</v>
      </c>
      <c r="M176" s="71">
        <v>1</v>
      </c>
    </row>
    <row r="177" spans="11:13" x14ac:dyDescent="0.2">
      <c r="K177" s="77">
        <v>44087</v>
      </c>
      <c r="L177" s="71">
        <v>0.2</v>
      </c>
      <c r="M177" s="71">
        <v>1</v>
      </c>
    </row>
    <row r="178" spans="11:13" x14ac:dyDescent="0.2">
      <c r="K178" s="77">
        <v>44088</v>
      </c>
      <c r="L178" s="71">
        <v>0.2</v>
      </c>
      <c r="M178" s="71">
        <v>1</v>
      </c>
    </row>
    <row r="179" spans="11:13" x14ac:dyDescent="0.2">
      <c r="K179" s="77">
        <v>44089</v>
      </c>
      <c r="L179" s="71">
        <v>0.2</v>
      </c>
      <c r="M179" s="71">
        <v>1</v>
      </c>
    </row>
    <row r="180" spans="11:13" x14ac:dyDescent="0.2">
      <c r="K180" s="77">
        <v>44090</v>
      </c>
      <c r="L180" s="71">
        <v>0.2</v>
      </c>
      <c r="M180" s="71">
        <v>1</v>
      </c>
    </row>
    <row r="181" spans="11:13" x14ac:dyDescent="0.2">
      <c r="K181" s="77">
        <v>44091</v>
      </c>
      <c r="L181" s="71">
        <v>0.2</v>
      </c>
      <c r="M181" s="71">
        <v>1</v>
      </c>
    </row>
    <row r="182" spans="11:13" x14ac:dyDescent="0.2">
      <c r="K182" s="77">
        <v>44092</v>
      </c>
      <c r="L182" s="71">
        <v>0.2</v>
      </c>
      <c r="M182" s="71">
        <v>1</v>
      </c>
    </row>
    <row r="183" spans="11:13" x14ac:dyDescent="0.2">
      <c r="K183" s="77">
        <v>44093</v>
      </c>
      <c r="L183" s="71">
        <v>0.2</v>
      </c>
      <c r="M183" s="71">
        <v>1</v>
      </c>
    </row>
    <row r="184" spans="11:13" x14ac:dyDescent="0.2">
      <c r="K184" s="77">
        <v>44094</v>
      </c>
      <c r="L184" s="71">
        <v>0.2</v>
      </c>
      <c r="M184" s="71">
        <v>1</v>
      </c>
    </row>
    <row r="185" spans="11:13" x14ac:dyDescent="0.2">
      <c r="K185" s="77">
        <v>44095</v>
      </c>
      <c r="L185" s="71">
        <v>0.2</v>
      </c>
      <c r="M185" s="71">
        <v>1</v>
      </c>
    </row>
    <row r="186" spans="11:13" x14ac:dyDescent="0.2">
      <c r="K186" s="77">
        <v>44096</v>
      </c>
      <c r="L186" s="71">
        <v>0.2</v>
      </c>
      <c r="M186" s="71">
        <v>1</v>
      </c>
    </row>
    <row r="187" spans="11:13" x14ac:dyDescent="0.2">
      <c r="K187" s="77">
        <v>44097</v>
      </c>
      <c r="L187" s="71">
        <v>0.2</v>
      </c>
      <c r="M187" s="71">
        <v>1</v>
      </c>
    </row>
    <row r="188" spans="11:13" x14ac:dyDescent="0.2">
      <c r="K188" s="77">
        <v>44098</v>
      </c>
      <c r="L188" s="71">
        <v>0.2</v>
      </c>
      <c r="M188" s="71">
        <v>1</v>
      </c>
    </row>
    <row r="189" spans="11:13" x14ac:dyDescent="0.2">
      <c r="K189" s="77">
        <v>44099</v>
      </c>
      <c r="L189" s="71">
        <v>0.2</v>
      </c>
      <c r="M189" s="71">
        <v>1</v>
      </c>
    </row>
    <row r="190" spans="11:13" x14ac:dyDescent="0.2">
      <c r="K190" s="77">
        <v>44100</v>
      </c>
      <c r="L190" s="71">
        <v>0.2</v>
      </c>
      <c r="M190" s="71">
        <v>1</v>
      </c>
    </row>
    <row r="191" spans="11:13" x14ac:dyDescent="0.2">
      <c r="K191" s="77">
        <v>44101</v>
      </c>
      <c r="L191" s="71">
        <v>0.2</v>
      </c>
      <c r="M191" s="71">
        <v>1</v>
      </c>
    </row>
    <row r="192" spans="11:13" x14ac:dyDescent="0.2">
      <c r="K192" s="77">
        <v>44102</v>
      </c>
      <c r="L192" s="71">
        <v>0.2</v>
      </c>
      <c r="M192" s="71">
        <v>1</v>
      </c>
    </row>
    <row r="193" spans="11:13" x14ac:dyDescent="0.2">
      <c r="K193" s="77">
        <v>44103</v>
      </c>
      <c r="L193" s="71">
        <v>0.2</v>
      </c>
      <c r="M193" s="71">
        <v>1</v>
      </c>
    </row>
    <row r="194" spans="11:13" x14ac:dyDescent="0.2">
      <c r="K194" s="77">
        <v>44104</v>
      </c>
      <c r="L194" s="71">
        <v>0.2</v>
      </c>
      <c r="M194" s="71">
        <v>1</v>
      </c>
    </row>
    <row r="195" spans="11:13" x14ac:dyDescent="0.2">
      <c r="K195" s="77">
        <v>44105</v>
      </c>
      <c r="L195" s="71">
        <v>0.2</v>
      </c>
      <c r="M195" s="71">
        <v>1</v>
      </c>
    </row>
    <row r="196" spans="11:13" x14ac:dyDescent="0.2">
      <c r="K196" s="77">
        <v>44106</v>
      </c>
      <c r="L196" s="71">
        <v>0.2</v>
      </c>
      <c r="M196" s="71">
        <v>1</v>
      </c>
    </row>
    <row r="197" spans="11:13" x14ac:dyDescent="0.2">
      <c r="K197" s="77">
        <v>44107</v>
      </c>
      <c r="L197" s="71">
        <v>0.2</v>
      </c>
      <c r="M197" s="71">
        <v>1</v>
      </c>
    </row>
    <row r="198" spans="11:13" x14ac:dyDescent="0.2">
      <c r="K198" s="77">
        <v>44108</v>
      </c>
      <c r="L198" s="71">
        <v>0.2</v>
      </c>
      <c r="M198" s="71">
        <v>1</v>
      </c>
    </row>
    <row r="199" spans="11:13" x14ac:dyDescent="0.2">
      <c r="K199" s="77">
        <v>44109</v>
      </c>
      <c r="L199" s="71">
        <v>0.2</v>
      </c>
      <c r="M199" s="71">
        <v>1</v>
      </c>
    </row>
    <row r="200" spans="11:13" x14ac:dyDescent="0.2">
      <c r="K200" s="77">
        <v>44110</v>
      </c>
      <c r="L200" s="71">
        <v>0.2</v>
      </c>
      <c r="M200" s="71">
        <v>1</v>
      </c>
    </row>
    <row r="201" spans="11:13" x14ac:dyDescent="0.2">
      <c r="K201" s="77">
        <v>44111</v>
      </c>
      <c r="L201" s="71">
        <v>0.2</v>
      </c>
      <c r="M201" s="71">
        <v>1</v>
      </c>
    </row>
    <row r="202" spans="11:13" x14ac:dyDescent="0.2">
      <c r="K202" s="77">
        <v>44112</v>
      </c>
      <c r="L202" s="71">
        <v>0.2</v>
      </c>
      <c r="M202" s="71">
        <v>1</v>
      </c>
    </row>
    <row r="203" spans="11:13" x14ac:dyDescent="0.2">
      <c r="K203" s="77">
        <v>44113</v>
      </c>
      <c r="L203" s="71">
        <v>0.2</v>
      </c>
      <c r="M203" s="71">
        <v>1</v>
      </c>
    </row>
    <row r="204" spans="11:13" x14ac:dyDescent="0.2">
      <c r="K204" s="77">
        <v>44114</v>
      </c>
      <c r="L204" s="71">
        <v>0.2</v>
      </c>
      <c r="M204" s="71">
        <v>1</v>
      </c>
    </row>
    <row r="205" spans="11:13" x14ac:dyDescent="0.2">
      <c r="K205" s="77">
        <v>44115</v>
      </c>
      <c r="L205" s="71">
        <v>0.2</v>
      </c>
      <c r="M205" s="71">
        <v>1</v>
      </c>
    </row>
    <row r="206" spans="11:13" x14ac:dyDescent="0.2">
      <c r="K206" s="77">
        <v>44116</v>
      </c>
      <c r="L206" s="71">
        <v>0.2</v>
      </c>
      <c r="M206" s="71">
        <v>1</v>
      </c>
    </row>
    <row r="207" spans="11:13" x14ac:dyDescent="0.2">
      <c r="K207" s="77">
        <v>44117</v>
      </c>
      <c r="L207" s="71">
        <v>0.2</v>
      </c>
      <c r="M207" s="71">
        <v>1</v>
      </c>
    </row>
    <row r="208" spans="11:13" x14ac:dyDescent="0.2">
      <c r="K208" s="77">
        <v>44118</v>
      </c>
      <c r="L208" s="71">
        <v>0.2</v>
      </c>
      <c r="M208" s="71">
        <v>1</v>
      </c>
    </row>
    <row r="209" spans="11:13" x14ac:dyDescent="0.2">
      <c r="K209" s="77">
        <v>44119</v>
      </c>
      <c r="L209" s="71">
        <v>0.2</v>
      </c>
      <c r="M209" s="71">
        <v>1</v>
      </c>
    </row>
    <row r="210" spans="11:13" x14ac:dyDescent="0.2">
      <c r="K210" s="77">
        <v>44120</v>
      </c>
      <c r="L210" s="71">
        <v>0.2</v>
      </c>
      <c r="M210" s="71">
        <v>1</v>
      </c>
    </row>
    <row r="211" spans="11:13" x14ac:dyDescent="0.2">
      <c r="K211" s="77">
        <v>44121</v>
      </c>
      <c r="L211" s="71">
        <v>0.2</v>
      </c>
      <c r="M211" s="71">
        <v>1</v>
      </c>
    </row>
    <row r="212" spans="11:13" x14ac:dyDescent="0.2">
      <c r="K212" s="77">
        <v>44122</v>
      </c>
      <c r="L212" s="71">
        <v>0.2</v>
      </c>
      <c r="M212" s="71">
        <v>1</v>
      </c>
    </row>
    <row r="213" spans="11:13" x14ac:dyDescent="0.2">
      <c r="K213" s="77">
        <v>44123</v>
      </c>
      <c r="L213" s="71">
        <v>0.2</v>
      </c>
      <c r="M213" s="71">
        <v>1</v>
      </c>
    </row>
    <row r="214" spans="11:13" x14ac:dyDescent="0.2">
      <c r="K214" s="77">
        <v>44124</v>
      </c>
      <c r="L214" s="71">
        <v>0.2</v>
      </c>
      <c r="M214" s="71">
        <v>1</v>
      </c>
    </row>
    <row r="215" spans="11:13" x14ac:dyDescent="0.2">
      <c r="K215" s="77">
        <v>44125</v>
      </c>
      <c r="L215" s="71">
        <v>0.2</v>
      </c>
      <c r="M215" s="71">
        <v>1</v>
      </c>
    </row>
    <row r="216" spans="11:13" x14ac:dyDescent="0.2">
      <c r="K216" s="77">
        <v>44126</v>
      </c>
      <c r="L216" s="71">
        <v>0.2</v>
      </c>
      <c r="M216" s="71">
        <v>1</v>
      </c>
    </row>
    <row r="217" spans="11:13" x14ac:dyDescent="0.2">
      <c r="K217" s="77">
        <v>44127</v>
      </c>
      <c r="L217" s="71">
        <v>0.2</v>
      </c>
      <c r="M217" s="71">
        <v>1</v>
      </c>
    </row>
    <row r="218" spans="11:13" x14ac:dyDescent="0.2">
      <c r="K218" s="77">
        <v>44128</v>
      </c>
      <c r="L218" s="71">
        <v>0.2</v>
      </c>
      <c r="M218" s="71">
        <v>1</v>
      </c>
    </row>
    <row r="219" spans="11:13" x14ac:dyDescent="0.2">
      <c r="K219" s="77">
        <v>44129</v>
      </c>
      <c r="L219" s="71">
        <v>0.2</v>
      </c>
      <c r="M219" s="71">
        <v>1</v>
      </c>
    </row>
    <row r="220" spans="11:13" x14ac:dyDescent="0.2">
      <c r="K220" s="77">
        <v>44130</v>
      </c>
      <c r="L220" s="71">
        <v>0.2</v>
      </c>
      <c r="M220" s="71">
        <v>1</v>
      </c>
    </row>
    <row r="221" spans="11:13" x14ac:dyDescent="0.2">
      <c r="K221" s="77">
        <v>44131</v>
      </c>
      <c r="L221" s="71">
        <v>0.2</v>
      </c>
      <c r="M221" s="71">
        <v>1</v>
      </c>
    </row>
    <row r="222" spans="11:13" x14ac:dyDescent="0.2">
      <c r="K222" s="77">
        <v>44132</v>
      </c>
      <c r="L222" s="71">
        <v>0.2</v>
      </c>
      <c r="M222" s="71">
        <v>1</v>
      </c>
    </row>
    <row r="223" spans="11:13" x14ac:dyDescent="0.2">
      <c r="K223" s="77">
        <v>44133</v>
      </c>
      <c r="L223" s="71">
        <v>0.2</v>
      </c>
      <c r="M223" s="71">
        <v>1</v>
      </c>
    </row>
    <row r="224" spans="11:13" x14ac:dyDescent="0.2">
      <c r="K224" s="77">
        <v>44134</v>
      </c>
      <c r="L224" s="71">
        <v>0.2</v>
      </c>
      <c r="M224" s="71">
        <v>1</v>
      </c>
    </row>
    <row r="225" spans="11:13" x14ac:dyDescent="0.2">
      <c r="K225" s="77">
        <v>44135</v>
      </c>
      <c r="L225" s="71">
        <v>0.2</v>
      </c>
      <c r="M225" s="71">
        <v>1</v>
      </c>
    </row>
    <row r="226" spans="11:13" x14ac:dyDescent="0.2">
      <c r="K226" s="77">
        <v>44136</v>
      </c>
      <c r="L226" s="71">
        <v>0.2</v>
      </c>
      <c r="M226" s="71">
        <v>1</v>
      </c>
    </row>
    <row r="227" spans="11:13" x14ac:dyDescent="0.2">
      <c r="K227" s="77">
        <v>44137</v>
      </c>
      <c r="L227" s="71">
        <v>0.2</v>
      </c>
      <c r="M227" s="71">
        <v>1</v>
      </c>
    </row>
    <row r="228" spans="11:13" x14ac:dyDescent="0.2">
      <c r="K228" s="77">
        <v>44138</v>
      </c>
      <c r="L228" s="71">
        <v>0.2</v>
      </c>
      <c r="M228" s="71">
        <v>1</v>
      </c>
    </row>
    <row r="229" spans="11:13" x14ac:dyDescent="0.2">
      <c r="K229" s="77">
        <v>44139</v>
      </c>
      <c r="L229" s="71">
        <v>0.2</v>
      </c>
      <c r="M229" s="71">
        <v>1</v>
      </c>
    </row>
    <row r="230" spans="11:13" x14ac:dyDescent="0.2">
      <c r="K230" s="77">
        <v>44140</v>
      </c>
      <c r="L230" s="71">
        <v>0.2</v>
      </c>
      <c r="M230" s="71">
        <v>1</v>
      </c>
    </row>
    <row r="231" spans="11:13" x14ac:dyDescent="0.2">
      <c r="K231" s="77">
        <v>44141</v>
      </c>
      <c r="L231" s="71">
        <v>0.2</v>
      </c>
      <c r="M231" s="71">
        <v>1</v>
      </c>
    </row>
    <row r="232" spans="11:13" x14ac:dyDescent="0.2">
      <c r="K232" s="77">
        <v>44142</v>
      </c>
      <c r="L232" s="71">
        <v>0.2</v>
      </c>
      <c r="M232" s="71">
        <v>1</v>
      </c>
    </row>
    <row r="233" spans="11:13" x14ac:dyDescent="0.2">
      <c r="K233" s="77">
        <v>44143</v>
      </c>
      <c r="L233" s="71">
        <v>0.2</v>
      </c>
      <c r="M233" s="71">
        <v>1</v>
      </c>
    </row>
    <row r="234" spans="11:13" x14ac:dyDescent="0.2">
      <c r="K234" s="77">
        <v>44144</v>
      </c>
      <c r="L234" s="71">
        <v>0.2</v>
      </c>
      <c r="M234" s="71">
        <v>1</v>
      </c>
    </row>
    <row r="235" spans="11:13" x14ac:dyDescent="0.2">
      <c r="K235" s="77">
        <v>44145</v>
      </c>
      <c r="L235" s="71">
        <v>0.2</v>
      </c>
      <c r="M235" s="71">
        <v>1</v>
      </c>
    </row>
    <row r="236" spans="11:13" x14ac:dyDescent="0.2">
      <c r="K236" s="77">
        <v>44146</v>
      </c>
      <c r="L236" s="71">
        <v>0.2</v>
      </c>
      <c r="M236" s="71">
        <v>1</v>
      </c>
    </row>
    <row r="237" spans="11:13" x14ac:dyDescent="0.2">
      <c r="K237" s="77">
        <v>44147</v>
      </c>
      <c r="L237" s="71">
        <v>0.2</v>
      </c>
      <c r="M237" s="71">
        <v>1</v>
      </c>
    </row>
    <row r="238" spans="11:13" x14ac:dyDescent="0.2">
      <c r="K238" s="77">
        <v>44148</v>
      </c>
      <c r="L238" s="71">
        <v>0.2</v>
      </c>
      <c r="M238" s="71">
        <v>1</v>
      </c>
    </row>
    <row r="239" spans="11:13" x14ac:dyDescent="0.2">
      <c r="K239" s="77">
        <v>44149</v>
      </c>
      <c r="L239" s="71">
        <v>0.2</v>
      </c>
      <c r="M239" s="71">
        <v>1</v>
      </c>
    </row>
    <row r="240" spans="11:13" x14ac:dyDescent="0.2">
      <c r="K240" s="77">
        <v>44150</v>
      </c>
      <c r="L240" s="71">
        <v>0.2</v>
      </c>
      <c r="M240" s="71">
        <v>1</v>
      </c>
    </row>
    <row r="241" spans="11:13" x14ac:dyDescent="0.2">
      <c r="K241" s="77">
        <v>44151</v>
      </c>
      <c r="L241" s="71">
        <v>0.2</v>
      </c>
      <c r="M241" s="71">
        <v>1</v>
      </c>
    </row>
    <row r="242" spans="11:13" x14ac:dyDescent="0.2">
      <c r="K242" s="77">
        <v>44152</v>
      </c>
      <c r="L242" s="71">
        <v>0.2</v>
      </c>
      <c r="M242" s="71">
        <v>1</v>
      </c>
    </row>
    <row r="243" spans="11:13" x14ac:dyDescent="0.2">
      <c r="K243" s="77">
        <v>44153</v>
      </c>
      <c r="L243" s="71">
        <v>0.2</v>
      </c>
      <c r="M243" s="71">
        <v>1</v>
      </c>
    </row>
    <row r="244" spans="11:13" x14ac:dyDescent="0.2">
      <c r="K244" s="77">
        <v>44154</v>
      </c>
      <c r="L244" s="71">
        <v>0.2</v>
      </c>
      <c r="M244" s="71">
        <v>1</v>
      </c>
    </row>
    <row r="245" spans="11:13" x14ac:dyDescent="0.2">
      <c r="K245" s="77">
        <v>44155</v>
      </c>
      <c r="L245" s="71">
        <v>0.2</v>
      </c>
      <c r="M245" s="71">
        <v>1</v>
      </c>
    </row>
    <row r="246" spans="11:13" x14ac:dyDescent="0.2">
      <c r="K246" s="77">
        <v>44156</v>
      </c>
      <c r="L246" s="71">
        <v>0.2</v>
      </c>
      <c r="M246" s="71">
        <v>1</v>
      </c>
    </row>
    <row r="247" spans="11:13" x14ac:dyDescent="0.2">
      <c r="K247" s="77">
        <v>44157</v>
      </c>
      <c r="L247" s="71">
        <v>0.2</v>
      </c>
      <c r="M247" s="71">
        <v>1</v>
      </c>
    </row>
    <row r="248" spans="11:13" x14ac:dyDescent="0.2">
      <c r="K248" s="77">
        <v>44158</v>
      </c>
      <c r="L248" s="71">
        <v>0.2</v>
      </c>
      <c r="M248" s="71">
        <v>1</v>
      </c>
    </row>
    <row r="249" spans="11:13" x14ac:dyDescent="0.2">
      <c r="K249" s="77">
        <v>44159</v>
      </c>
      <c r="L249" s="71">
        <v>0.2</v>
      </c>
      <c r="M249" s="71">
        <v>1</v>
      </c>
    </row>
    <row r="250" spans="11:13" x14ac:dyDescent="0.2">
      <c r="K250" s="77">
        <v>44160</v>
      </c>
      <c r="L250" s="71">
        <v>0.2</v>
      </c>
      <c r="M250" s="71">
        <v>1</v>
      </c>
    </row>
    <row r="251" spans="11:13" x14ac:dyDescent="0.2">
      <c r="K251" s="77">
        <v>44161</v>
      </c>
      <c r="L251" s="71">
        <v>0.2</v>
      </c>
      <c r="M251" s="71">
        <v>1</v>
      </c>
    </row>
    <row r="252" spans="11:13" x14ac:dyDescent="0.2">
      <c r="K252" s="77">
        <v>44162</v>
      </c>
      <c r="L252" s="71">
        <v>0.2</v>
      </c>
      <c r="M252" s="71">
        <v>1</v>
      </c>
    </row>
    <row r="253" spans="11:13" x14ac:dyDescent="0.2">
      <c r="K253" s="77">
        <v>44163</v>
      </c>
      <c r="L253" s="71">
        <v>0.2</v>
      </c>
      <c r="M253" s="71">
        <v>1</v>
      </c>
    </row>
    <row r="254" spans="11:13" x14ac:dyDescent="0.2">
      <c r="K254" s="77">
        <v>44164</v>
      </c>
      <c r="L254" s="71">
        <v>0.2</v>
      </c>
      <c r="M254" s="71">
        <v>1</v>
      </c>
    </row>
    <row r="255" spans="11:13" x14ac:dyDescent="0.2">
      <c r="K255" s="77">
        <v>44165</v>
      </c>
      <c r="L255" s="71">
        <v>0.2</v>
      </c>
      <c r="M255" s="71">
        <v>1</v>
      </c>
    </row>
    <row r="256" spans="11:13" x14ac:dyDescent="0.2">
      <c r="K256" s="77">
        <v>44166</v>
      </c>
      <c r="L256" s="71">
        <v>0.2</v>
      </c>
      <c r="M256" s="71">
        <v>1</v>
      </c>
    </row>
    <row r="257" spans="11:13" x14ac:dyDescent="0.2">
      <c r="K257" s="77">
        <v>44167</v>
      </c>
      <c r="L257" s="71">
        <v>0.2</v>
      </c>
      <c r="M257" s="71">
        <v>1</v>
      </c>
    </row>
    <row r="258" spans="11:13" x14ac:dyDescent="0.2">
      <c r="K258" s="77">
        <v>44168</v>
      </c>
      <c r="L258" s="71">
        <v>0.2</v>
      </c>
      <c r="M258" s="71">
        <v>1</v>
      </c>
    </row>
    <row r="259" spans="11:13" x14ac:dyDescent="0.2">
      <c r="K259" s="77">
        <v>44169</v>
      </c>
      <c r="L259" s="71">
        <v>0.2</v>
      </c>
      <c r="M259" s="71">
        <v>1</v>
      </c>
    </row>
    <row r="260" spans="11:13" x14ac:dyDescent="0.2">
      <c r="K260" s="77">
        <v>44170</v>
      </c>
      <c r="L260" s="71">
        <v>0.2</v>
      </c>
      <c r="M260" s="71">
        <v>1</v>
      </c>
    </row>
    <row r="261" spans="11:13" x14ac:dyDescent="0.2">
      <c r="K261" s="77">
        <v>44171</v>
      </c>
      <c r="L261" s="71">
        <v>0.2</v>
      </c>
      <c r="M261" s="71">
        <v>1</v>
      </c>
    </row>
    <row r="262" spans="11:13" x14ac:dyDescent="0.2">
      <c r="K262" s="77">
        <v>44172</v>
      </c>
      <c r="L262" s="71">
        <v>0.2</v>
      </c>
      <c r="M262" s="71">
        <v>1</v>
      </c>
    </row>
    <row r="263" spans="11:13" x14ac:dyDescent="0.2">
      <c r="K263" s="77">
        <v>44173</v>
      </c>
      <c r="L263" s="71">
        <v>0.2</v>
      </c>
      <c r="M263" s="71">
        <v>1</v>
      </c>
    </row>
    <row r="264" spans="11:13" x14ac:dyDescent="0.2">
      <c r="K264" s="77">
        <v>44174</v>
      </c>
      <c r="L264" s="71">
        <v>0.2</v>
      </c>
      <c r="M264" s="71">
        <v>1</v>
      </c>
    </row>
    <row r="265" spans="11:13" x14ac:dyDescent="0.2">
      <c r="K265" s="77">
        <v>44175</v>
      </c>
      <c r="L265" s="71">
        <v>0.2</v>
      </c>
      <c r="M265" s="71">
        <v>1</v>
      </c>
    </row>
    <row r="266" spans="11:13" x14ac:dyDescent="0.2">
      <c r="K266" s="77">
        <v>44176</v>
      </c>
      <c r="L266" s="71">
        <v>0.2</v>
      </c>
      <c r="M266" s="71">
        <v>1</v>
      </c>
    </row>
    <row r="267" spans="11:13" x14ac:dyDescent="0.2">
      <c r="K267" s="77">
        <v>44177</v>
      </c>
      <c r="L267" s="71">
        <v>0.2</v>
      </c>
      <c r="M267" s="71">
        <v>1</v>
      </c>
    </row>
    <row r="268" spans="11:13" x14ac:dyDescent="0.2">
      <c r="K268" s="77">
        <v>44178</v>
      </c>
      <c r="L268" s="71">
        <v>0.2</v>
      </c>
      <c r="M268" s="71">
        <v>1</v>
      </c>
    </row>
    <row r="269" spans="11:13" x14ac:dyDescent="0.2">
      <c r="K269" s="77">
        <v>44179</v>
      </c>
      <c r="L269" s="71">
        <v>0.2</v>
      </c>
      <c r="M269" s="71">
        <v>1</v>
      </c>
    </row>
    <row r="270" spans="11:13" x14ac:dyDescent="0.2">
      <c r="K270" s="77">
        <v>44180</v>
      </c>
      <c r="L270" s="71">
        <v>0.2</v>
      </c>
      <c r="M270" s="71">
        <v>1</v>
      </c>
    </row>
    <row r="271" spans="11:13" x14ac:dyDescent="0.2">
      <c r="K271" s="77">
        <v>44181</v>
      </c>
      <c r="L271" s="71">
        <v>0.2</v>
      </c>
      <c r="M271" s="71">
        <v>1</v>
      </c>
    </row>
    <row r="272" spans="11:13" x14ac:dyDescent="0.2">
      <c r="K272" s="77">
        <v>44182</v>
      </c>
      <c r="L272" s="71">
        <v>0.2</v>
      </c>
      <c r="M272" s="71">
        <v>1</v>
      </c>
    </row>
    <row r="273" spans="11:13" x14ac:dyDescent="0.2">
      <c r="K273" s="77">
        <v>44183</v>
      </c>
      <c r="L273" s="71">
        <v>0.2</v>
      </c>
      <c r="M273" s="71">
        <v>1</v>
      </c>
    </row>
    <row r="274" spans="11:13" x14ac:dyDescent="0.2">
      <c r="K274" s="77">
        <v>44184</v>
      </c>
      <c r="L274" s="71">
        <v>0.2</v>
      </c>
      <c r="M274" s="71">
        <v>1</v>
      </c>
    </row>
    <row r="275" spans="11:13" x14ac:dyDescent="0.2">
      <c r="K275" s="77">
        <v>44185</v>
      </c>
      <c r="L275" s="71">
        <v>0.2</v>
      </c>
      <c r="M275" s="71">
        <v>1</v>
      </c>
    </row>
    <row r="276" spans="11:13" x14ac:dyDescent="0.2">
      <c r="K276" s="77">
        <v>44186</v>
      </c>
      <c r="L276" s="71">
        <v>0.2</v>
      </c>
      <c r="M276" s="71">
        <v>1</v>
      </c>
    </row>
    <row r="277" spans="11:13" x14ac:dyDescent="0.2">
      <c r="K277" s="77">
        <v>44187</v>
      </c>
      <c r="L277" s="71">
        <v>0.2</v>
      </c>
      <c r="M277" s="71">
        <v>1</v>
      </c>
    </row>
    <row r="278" spans="11:13" x14ac:dyDescent="0.2">
      <c r="K278" s="77">
        <v>44188</v>
      </c>
      <c r="L278" s="71">
        <v>0.2</v>
      </c>
      <c r="M278" s="71">
        <v>1</v>
      </c>
    </row>
    <row r="279" spans="11:13" x14ac:dyDescent="0.2">
      <c r="K279" s="77">
        <v>44189</v>
      </c>
      <c r="L279" s="71">
        <v>0.2</v>
      </c>
      <c r="M279" s="71">
        <v>1</v>
      </c>
    </row>
    <row r="280" spans="11:13" x14ac:dyDescent="0.2">
      <c r="K280" s="77">
        <v>44190</v>
      </c>
      <c r="L280" s="71">
        <v>0.2</v>
      </c>
      <c r="M280" s="71">
        <v>1</v>
      </c>
    </row>
    <row r="281" spans="11:13" x14ac:dyDescent="0.2">
      <c r="K281" s="77">
        <v>44191</v>
      </c>
      <c r="L281" s="71">
        <v>0.2</v>
      </c>
      <c r="M281" s="71">
        <v>1</v>
      </c>
    </row>
    <row r="282" spans="11:13" x14ac:dyDescent="0.2">
      <c r="K282" s="77">
        <v>44192</v>
      </c>
      <c r="L282" s="71">
        <v>0.2</v>
      </c>
      <c r="M282" s="71">
        <v>1</v>
      </c>
    </row>
    <row r="283" spans="11:13" x14ac:dyDescent="0.2">
      <c r="K283" s="77">
        <v>44193</v>
      </c>
      <c r="L283" s="71">
        <v>0.2</v>
      </c>
      <c r="M283" s="71">
        <v>1</v>
      </c>
    </row>
    <row r="284" spans="11:13" x14ac:dyDescent="0.2">
      <c r="K284" s="77">
        <v>44194</v>
      </c>
      <c r="L284" s="71">
        <v>0.2</v>
      </c>
      <c r="M284" s="71">
        <v>1</v>
      </c>
    </row>
    <row r="285" spans="11:13" x14ac:dyDescent="0.2">
      <c r="K285" s="77">
        <v>44195</v>
      </c>
      <c r="L285" s="71">
        <v>0.2</v>
      </c>
      <c r="M285" s="71">
        <v>1</v>
      </c>
    </row>
    <row r="286" spans="11:13" x14ac:dyDescent="0.2">
      <c r="K286" s="77">
        <v>44196</v>
      </c>
      <c r="L286" s="71">
        <v>0.2</v>
      </c>
      <c r="M286" s="71">
        <v>1</v>
      </c>
    </row>
    <row r="287" spans="11:13" x14ac:dyDescent="0.2">
      <c r="K287" s="77">
        <v>44197</v>
      </c>
      <c r="L287" s="71">
        <v>0.2</v>
      </c>
      <c r="M287" s="71">
        <v>1</v>
      </c>
    </row>
    <row r="288" spans="11:13" x14ac:dyDescent="0.2">
      <c r="K288" s="77">
        <v>44198</v>
      </c>
      <c r="L288" s="71">
        <v>0.2</v>
      </c>
      <c r="M288" s="71">
        <v>1</v>
      </c>
    </row>
    <row r="289" spans="11:13" x14ac:dyDescent="0.2">
      <c r="K289" s="77">
        <v>44199</v>
      </c>
      <c r="L289" s="71">
        <v>0.2</v>
      </c>
      <c r="M289" s="71">
        <v>1</v>
      </c>
    </row>
    <row r="290" spans="11:13" x14ac:dyDescent="0.2">
      <c r="K290" s="77">
        <v>44200</v>
      </c>
      <c r="L290" s="71">
        <v>0.2</v>
      </c>
      <c r="M290" s="71">
        <v>1</v>
      </c>
    </row>
    <row r="291" spans="11:13" x14ac:dyDescent="0.2">
      <c r="K291" s="77">
        <v>44201</v>
      </c>
      <c r="L291" s="71">
        <v>0.2</v>
      </c>
      <c r="M291" s="71">
        <v>1</v>
      </c>
    </row>
    <row r="292" spans="11:13" x14ac:dyDescent="0.2">
      <c r="K292" s="77">
        <v>44202</v>
      </c>
      <c r="L292" s="71">
        <v>0.2</v>
      </c>
      <c r="M292" s="71">
        <v>1</v>
      </c>
    </row>
    <row r="293" spans="11:13" x14ac:dyDescent="0.2">
      <c r="K293" s="77">
        <v>44203</v>
      </c>
      <c r="L293" s="71">
        <v>0.2</v>
      </c>
      <c r="M293" s="71">
        <v>1</v>
      </c>
    </row>
    <row r="294" spans="11:13" x14ac:dyDescent="0.2">
      <c r="K294" s="77">
        <v>44204</v>
      </c>
      <c r="L294" s="71">
        <v>0.2</v>
      </c>
      <c r="M294" s="71">
        <v>1</v>
      </c>
    </row>
    <row r="295" spans="11:13" x14ac:dyDescent="0.2">
      <c r="K295" s="77">
        <v>44205</v>
      </c>
      <c r="L295" s="71">
        <v>0.2</v>
      </c>
      <c r="M295" s="71">
        <v>1</v>
      </c>
    </row>
    <row r="296" spans="11:13" x14ac:dyDescent="0.2">
      <c r="K296" s="77">
        <v>44206</v>
      </c>
      <c r="L296" s="71">
        <v>0.2</v>
      </c>
      <c r="M296" s="71">
        <v>1</v>
      </c>
    </row>
    <row r="297" spans="11:13" x14ac:dyDescent="0.2">
      <c r="K297" s="77">
        <v>44207</v>
      </c>
      <c r="L297" s="71">
        <v>0.2</v>
      </c>
      <c r="M297" s="71">
        <v>1</v>
      </c>
    </row>
    <row r="298" spans="11:13" x14ac:dyDescent="0.2">
      <c r="K298" s="77">
        <v>44208</v>
      </c>
      <c r="L298" s="71">
        <v>0.2</v>
      </c>
      <c r="M298" s="71">
        <v>1</v>
      </c>
    </row>
    <row r="299" spans="11:13" x14ac:dyDescent="0.2">
      <c r="K299" s="77">
        <v>44209</v>
      </c>
      <c r="L299" s="71">
        <v>0.2</v>
      </c>
      <c r="M299" s="71">
        <v>1</v>
      </c>
    </row>
    <row r="300" spans="11:13" x14ac:dyDescent="0.2">
      <c r="K300" s="77">
        <v>44210</v>
      </c>
      <c r="L300" s="71">
        <v>0.2</v>
      </c>
      <c r="M300" s="71">
        <v>1</v>
      </c>
    </row>
    <row r="301" spans="11:13" x14ac:dyDescent="0.2">
      <c r="K301" s="77">
        <v>44211</v>
      </c>
      <c r="L301" s="71">
        <v>0.2</v>
      </c>
      <c r="M301" s="71">
        <v>1</v>
      </c>
    </row>
    <row r="302" spans="11:13" x14ac:dyDescent="0.2">
      <c r="K302" s="77">
        <v>44212</v>
      </c>
      <c r="L302" s="71">
        <v>0.2</v>
      </c>
      <c r="M302" s="71">
        <v>1</v>
      </c>
    </row>
    <row r="303" spans="11:13" x14ac:dyDescent="0.2">
      <c r="K303" s="77">
        <v>44213</v>
      </c>
      <c r="L303" s="71">
        <v>0.2</v>
      </c>
      <c r="M303" s="71">
        <v>1</v>
      </c>
    </row>
    <row r="304" spans="11:13" x14ac:dyDescent="0.2">
      <c r="K304" s="77">
        <v>44214</v>
      </c>
      <c r="L304" s="71">
        <v>0.2</v>
      </c>
      <c r="M304" s="71">
        <v>1</v>
      </c>
    </row>
    <row r="305" spans="11:13" x14ac:dyDescent="0.2">
      <c r="K305" s="77">
        <v>44215</v>
      </c>
      <c r="L305" s="71">
        <v>0.2</v>
      </c>
      <c r="M305" s="71">
        <v>1</v>
      </c>
    </row>
    <row r="306" spans="11:13" x14ac:dyDescent="0.2">
      <c r="K306" s="77">
        <v>44216</v>
      </c>
      <c r="L306" s="71">
        <v>0.2</v>
      </c>
      <c r="M306" s="71">
        <v>1</v>
      </c>
    </row>
    <row r="307" spans="11:13" x14ac:dyDescent="0.2">
      <c r="K307" s="77">
        <v>44217</v>
      </c>
      <c r="L307" s="71">
        <v>0.2</v>
      </c>
      <c r="M307" s="71">
        <v>1</v>
      </c>
    </row>
    <row r="308" spans="11:13" x14ac:dyDescent="0.2">
      <c r="K308" s="77">
        <v>44218</v>
      </c>
      <c r="L308" s="71">
        <v>0.2</v>
      </c>
      <c r="M308" s="71">
        <v>1</v>
      </c>
    </row>
    <row r="309" spans="11:13" x14ac:dyDescent="0.2">
      <c r="K309" s="77">
        <v>44219</v>
      </c>
      <c r="L309" s="71">
        <v>0.2</v>
      </c>
      <c r="M309" s="71">
        <v>1</v>
      </c>
    </row>
    <row r="310" spans="11:13" x14ac:dyDescent="0.2">
      <c r="K310" s="77">
        <v>44220</v>
      </c>
      <c r="L310" s="71">
        <v>0.2</v>
      </c>
      <c r="M310" s="71">
        <v>1</v>
      </c>
    </row>
    <row r="311" spans="11:13" x14ac:dyDescent="0.2">
      <c r="K311" s="77">
        <v>44221</v>
      </c>
      <c r="L311" s="71">
        <v>0.2</v>
      </c>
      <c r="M311" s="71">
        <v>1</v>
      </c>
    </row>
    <row r="312" spans="11:13" x14ac:dyDescent="0.2">
      <c r="K312" s="77">
        <v>44222</v>
      </c>
      <c r="L312" s="71">
        <v>0.2</v>
      </c>
      <c r="M312" s="71">
        <v>1</v>
      </c>
    </row>
    <row r="313" spans="11:13" x14ac:dyDescent="0.2">
      <c r="K313" s="77">
        <v>44223</v>
      </c>
      <c r="L313" s="71">
        <v>0.2</v>
      </c>
      <c r="M313" s="71">
        <v>1</v>
      </c>
    </row>
    <row r="314" spans="11:13" x14ac:dyDescent="0.2">
      <c r="K314" s="77">
        <v>44224</v>
      </c>
      <c r="L314" s="71">
        <v>0.2</v>
      </c>
      <c r="M314" s="71">
        <v>1</v>
      </c>
    </row>
    <row r="315" spans="11:13" x14ac:dyDescent="0.2">
      <c r="K315" s="77">
        <v>44225</v>
      </c>
      <c r="L315" s="71">
        <v>0.2</v>
      </c>
      <c r="M315" s="71">
        <v>1</v>
      </c>
    </row>
    <row r="316" spans="11:13" x14ac:dyDescent="0.2">
      <c r="K316" s="77">
        <v>44226</v>
      </c>
      <c r="L316" s="71">
        <v>0.2</v>
      </c>
      <c r="M316" s="71">
        <v>1</v>
      </c>
    </row>
    <row r="317" spans="11:13" x14ac:dyDescent="0.2">
      <c r="K317" s="77">
        <v>44227</v>
      </c>
      <c r="L317" s="71">
        <v>0.2</v>
      </c>
      <c r="M317" s="71">
        <v>1</v>
      </c>
    </row>
    <row r="318" spans="11:13" x14ac:dyDescent="0.2">
      <c r="K318" s="77">
        <v>44228</v>
      </c>
      <c r="L318" s="71">
        <v>0.2</v>
      </c>
      <c r="M318" s="71">
        <v>1</v>
      </c>
    </row>
    <row r="319" spans="11:13" x14ac:dyDescent="0.2">
      <c r="K319" s="77">
        <v>44229</v>
      </c>
      <c r="L319" s="71">
        <v>0.2</v>
      </c>
      <c r="M319" s="71">
        <v>1</v>
      </c>
    </row>
    <row r="320" spans="11:13" x14ac:dyDescent="0.2">
      <c r="K320" s="77">
        <v>44230</v>
      </c>
      <c r="L320" s="71">
        <v>0.2</v>
      </c>
      <c r="M320" s="71">
        <v>1</v>
      </c>
    </row>
    <row r="321" spans="11:13" x14ac:dyDescent="0.2">
      <c r="K321" s="77">
        <v>44231</v>
      </c>
      <c r="L321" s="71">
        <v>0.2</v>
      </c>
      <c r="M321" s="71">
        <v>1</v>
      </c>
    </row>
    <row r="322" spans="11:13" x14ac:dyDescent="0.2">
      <c r="K322" s="77">
        <v>44232</v>
      </c>
      <c r="L322" s="71">
        <v>0.2</v>
      </c>
      <c r="M322" s="71">
        <v>1</v>
      </c>
    </row>
    <row r="323" spans="11:13" x14ac:dyDescent="0.2">
      <c r="K323" s="77">
        <v>44233</v>
      </c>
      <c r="L323" s="71">
        <v>0.2</v>
      </c>
      <c r="M323" s="71">
        <v>1</v>
      </c>
    </row>
    <row r="324" spans="11:13" x14ac:dyDescent="0.2">
      <c r="K324" s="77">
        <v>44234</v>
      </c>
      <c r="L324" s="71">
        <v>0.2</v>
      </c>
      <c r="M324" s="71">
        <v>1</v>
      </c>
    </row>
    <row r="325" spans="11:13" x14ac:dyDescent="0.2">
      <c r="K325" s="77">
        <v>44235</v>
      </c>
      <c r="L325" s="71">
        <v>0.2</v>
      </c>
      <c r="M325" s="71">
        <v>1</v>
      </c>
    </row>
    <row r="326" spans="11:13" x14ac:dyDescent="0.2">
      <c r="K326" s="77">
        <v>44236</v>
      </c>
      <c r="L326" s="71">
        <v>0.2</v>
      </c>
      <c r="M326" s="71">
        <v>1</v>
      </c>
    </row>
    <row r="327" spans="11:13" x14ac:dyDescent="0.2">
      <c r="K327" s="77">
        <v>44237</v>
      </c>
      <c r="L327" s="71">
        <v>0.2</v>
      </c>
      <c r="M327" s="71">
        <v>1</v>
      </c>
    </row>
    <row r="328" spans="11:13" x14ac:dyDescent="0.2">
      <c r="K328" s="77">
        <v>44238</v>
      </c>
      <c r="L328" s="71">
        <v>0.2</v>
      </c>
      <c r="M328" s="71">
        <v>1</v>
      </c>
    </row>
    <row r="329" spans="11:13" x14ac:dyDescent="0.2">
      <c r="K329" s="77">
        <v>44239</v>
      </c>
      <c r="L329" s="71">
        <v>0.2</v>
      </c>
      <c r="M329" s="71">
        <v>1</v>
      </c>
    </row>
    <row r="330" spans="11:13" x14ac:dyDescent="0.2">
      <c r="K330" s="77">
        <v>44240</v>
      </c>
      <c r="L330" s="71">
        <v>0.2</v>
      </c>
      <c r="M330" s="71">
        <v>1</v>
      </c>
    </row>
    <row r="331" spans="11:13" x14ac:dyDescent="0.2">
      <c r="K331" s="77">
        <v>44241</v>
      </c>
      <c r="L331" s="71">
        <v>0.2</v>
      </c>
      <c r="M331" s="71">
        <v>1</v>
      </c>
    </row>
    <row r="332" spans="11:13" x14ac:dyDescent="0.2">
      <c r="K332" s="77">
        <v>44242</v>
      </c>
      <c r="L332" s="71">
        <v>0.2</v>
      </c>
      <c r="M332" s="71">
        <v>1</v>
      </c>
    </row>
    <row r="333" spans="11:13" x14ac:dyDescent="0.2">
      <c r="K333" s="77">
        <v>44243</v>
      </c>
      <c r="L333" s="71">
        <v>0.2</v>
      </c>
      <c r="M333" s="71">
        <v>1</v>
      </c>
    </row>
    <row r="334" spans="11:13" x14ac:dyDescent="0.2">
      <c r="K334" s="77">
        <v>44244</v>
      </c>
      <c r="L334" s="71">
        <v>0.2</v>
      </c>
      <c r="M334" s="71">
        <v>1</v>
      </c>
    </row>
    <row r="335" spans="11:13" x14ac:dyDescent="0.2">
      <c r="K335" s="77">
        <v>44245</v>
      </c>
      <c r="L335" s="71">
        <v>0.2</v>
      </c>
      <c r="M335" s="71">
        <v>1</v>
      </c>
    </row>
    <row r="336" spans="11:13" x14ac:dyDescent="0.2">
      <c r="K336" s="77">
        <v>44246</v>
      </c>
      <c r="L336" s="71">
        <v>0.2</v>
      </c>
      <c r="M336" s="71">
        <v>1</v>
      </c>
    </row>
    <row r="337" spans="11:13" x14ac:dyDescent="0.2">
      <c r="K337" s="77">
        <v>44247</v>
      </c>
      <c r="L337" s="71">
        <v>0.2</v>
      </c>
      <c r="M337" s="71">
        <v>1</v>
      </c>
    </row>
    <row r="338" spans="11:13" x14ac:dyDescent="0.2">
      <c r="K338" s="77">
        <v>44248</v>
      </c>
      <c r="L338" s="71">
        <v>0.2</v>
      </c>
      <c r="M338" s="71">
        <v>1</v>
      </c>
    </row>
    <row r="339" spans="11:13" x14ac:dyDescent="0.2">
      <c r="K339" s="77">
        <v>44249</v>
      </c>
      <c r="L339" s="71">
        <v>0.2</v>
      </c>
      <c r="M339" s="71">
        <v>1</v>
      </c>
    </row>
    <row r="340" spans="11:13" x14ac:dyDescent="0.2">
      <c r="K340" s="77">
        <v>44250</v>
      </c>
      <c r="L340" s="71">
        <v>0.2</v>
      </c>
      <c r="M340" s="71">
        <v>1</v>
      </c>
    </row>
    <row r="341" spans="11:13" x14ac:dyDescent="0.2">
      <c r="K341" s="77">
        <v>44251</v>
      </c>
      <c r="L341" s="71">
        <v>0.2</v>
      </c>
      <c r="M341" s="71">
        <v>1</v>
      </c>
    </row>
    <row r="342" spans="11:13" x14ac:dyDescent="0.2">
      <c r="K342" s="77">
        <v>44252</v>
      </c>
      <c r="L342" s="71">
        <v>0.2</v>
      </c>
      <c r="M342" s="71">
        <v>1</v>
      </c>
    </row>
    <row r="343" spans="11:13" x14ac:dyDescent="0.2">
      <c r="K343" s="77">
        <v>44253</v>
      </c>
      <c r="L343" s="71">
        <v>0.2</v>
      </c>
      <c r="M343" s="71">
        <v>1</v>
      </c>
    </row>
    <row r="344" spans="11:13" x14ac:dyDescent="0.2">
      <c r="K344" s="77">
        <v>44254</v>
      </c>
      <c r="L344" s="71">
        <v>0.2</v>
      </c>
      <c r="M344" s="71">
        <v>1</v>
      </c>
    </row>
    <row r="345" spans="11:13" x14ac:dyDescent="0.2">
      <c r="K345" s="77">
        <v>44255</v>
      </c>
      <c r="L345" s="71">
        <v>0.2</v>
      </c>
      <c r="M345" s="71">
        <v>1</v>
      </c>
    </row>
    <row r="346" spans="11:13" x14ac:dyDescent="0.2">
      <c r="K346" s="77">
        <v>44256</v>
      </c>
      <c r="L346" s="71">
        <v>0.2</v>
      </c>
      <c r="M346" s="71">
        <v>1</v>
      </c>
    </row>
    <row r="347" spans="11:13" x14ac:dyDescent="0.2">
      <c r="K347" s="77">
        <v>44257</v>
      </c>
      <c r="L347" s="71">
        <v>0.2</v>
      </c>
      <c r="M347" s="71">
        <v>1</v>
      </c>
    </row>
    <row r="348" spans="11:13" x14ac:dyDescent="0.2">
      <c r="K348" s="77">
        <v>44258</v>
      </c>
      <c r="L348" s="71">
        <v>0.2</v>
      </c>
      <c r="M348" s="71">
        <v>1</v>
      </c>
    </row>
    <row r="349" spans="11:13" x14ac:dyDescent="0.2">
      <c r="K349" s="77">
        <v>44259</v>
      </c>
      <c r="L349" s="71">
        <v>0.2</v>
      </c>
      <c r="M349" s="71">
        <v>1</v>
      </c>
    </row>
    <row r="350" spans="11:13" x14ac:dyDescent="0.2">
      <c r="K350" s="77">
        <v>44260</v>
      </c>
      <c r="L350" s="71">
        <v>0.2</v>
      </c>
      <c r="M350" s="71">
        <v>1</v>
      </c>
    </row>
    <row r="351" spans="11:13" x14ac:dyDescent="0.2">
      <c r="K351" s="77">
        <v>44261</v>
      </c>
      <c r="L351" s="71">
        <v>0.2</v>
      </c>
      <c r="M351" s="71">
        <v>1</v>
      </c>
    </row>
    <row r="352" spans="11:13" x14ac:dyDescent="0.2">
      <c r="K352" s="77">
        <v>44262</v>
      </c>
      <c r="L352" s="71">
        <v>0.2</v>
      </c>
      <c r="M352" s="71">
        <v>1</v>
      </c>
    </row>
    <row r="353" spans="11:13" x14ac:dyDescent="0.2">
      <c r="K353" s="77">
        <v>44263</v>
      </c>
      <c r="L353" s="71">
        <v>0.2</v>
      </c>
      <c r="M353" s="71">
        <v>1</v>
      </c>
    </row>
    <row r="354" spans="11:13" x14ac:dyDescent="0.2">
      <c r="K354" s="77">
        <v>44264</v>
      </c>
      <c r="L354" s="71">
        <v>0.2</v>
      </c>
      <c r="M354" s="71">
        <v>1</v>
      </c>
    </row>
    <row r="355" spans="11:13" x14ac:dyDescent="0.2">
      <c r="K355" s="77">
        <v>44265</v>
      </c>
      <c r="L355" s="71">
        <v>0.2</v>
      </c>
      <c r="M355" s="71">
        <v>1</v>
      </c>
    </row>
    <row r="356" spans="11:13" x14ac:dyDescent="0.2">
      <c r="K356" s="77">
        <v>44266</v>
      </c>
      <c r="L356" s="71">
        <v>0.2</v>
      </c>
      <c r="M356" s="71">
        <v>1</v>
      </c>
    </row>
    <row r="357" spans="11:13" x14ac:dyDescent="0.2">
      <c r="K357" s="77">
        <v>44267</v>
      </c>
      <c r="L357" s="71">
        <v>0.2</v>
      </c>
      <c r="M357" s="71">
        <v>1</v>
      </c>
    </row>
    <row r="358" spans="11:13" x14ac:dyDescent="0.2">
      <c r="K358" s="77">
        <v>44268</v>
      </c>
      <c r="L358" s="71">
        <v>0.2</v>
      </c>
      <c r="M358" s="71">
        <v>1</v>
      </c>
    </row>
    <row r="359" spans="11:13" x14ac:dyDescent="0.2">
      <c r="K359" s="77">
        <v>44269</v>
      </c>
      <c r="L359" s="71">
        <v>0.2</v>
      </c>
      <c r="M359" s="71">
        <v>1</v>
      </c>
    </row>
    <row r="360" spans="11:13" x14ac:dyDescent="0.2">
      <c r="K360" s="77">
        <v>44270</v>
      </c>
      <c r="L360" s="71">
        <v>0.2</v>
      </c>
      <c r="M360" s="71">
        <v>1</v>
      </c>
    </row>
    <row r="361" spans="11:13" x14ac:dyDescent="0.2">
      <c r="K361" s="77">
        <v>44271</v>
      </c>
      <c r="L361" s="71">
        <v>0.2</v>
      </c>
      <c r="M361" s="71">
        <v>1</v>
      </c>
    </row>
    <row r="362" spans="11:13" x14ac:dyDescent="0.2">
      <c r="K362" s="77">
        <v>44272</v>
      </c>
      <c r="L362" s="71">
        <v>0.2</v>
      </c>
      <c r="M362" s="71">
        <v>1</v>
      </c>
    </row>
    <row r="363" spans="11:13" x14ac:dyDescent="0.2">
      <c r="K363" s="77">
        <v>44273</v>
      </c>
      <c r="L363" s="71">
        <v>0.2</v>
      </c>
      <c r="M363" s="71">
        <v>1</v>
      </c>
    </row>
    <row r="364" spans="11:13" x14ac:dyDescent="0.2">
      <c r="K364" s="77">
        <v>44274</v>
      </c>
      <c r="L364" s="71">
        <v>0.2</v>
      </c>
      <c r="M364" s="71">
        <v>1</v>
      </c>
    </row>
    <row r="365" spans="11:13" x14ac:dyDescent="0.2">
      <c r="K365" s="77">
        <v>44275</v>
      </c>
      <c r="L365" s="71">
        <v>0.2</v>
      </c>
      <c r="M365" s="71">
        <v>1</v>
      </c>
    </row>
    <row r="366" spans="11:13" x14ac:dyDescent="0.2">
      <c r="K366" s="77">
        <v>44276</v>
      </c>
      <c r="L366" s="71">
        <v>0.2</v>
      </c>
      <c r="M366" s="71">
        <v>1</v>
      </c>
    </row>
    <row r="367" spans="11:13" x14ac:dyDescent="0.2">
      <c r="K367" s="77">
        <v>44277</v>
      </c>
      <c r="L367" s="71">
        <v>0.2</v>
      </c>
      <c r="M367" s="71">
        <v>1</v>
      </c>
    </row>
    <row r="368" spans="11:13" x14ac:dyDescent="0.2">
      <c r="K368" s="77">
        <v>44278</v>
      </c>
      <c r="L368" s="71">
        <v>0.2</v>
      </c>
      <c r="M368" s="71">
        <v>1</v>
      </c>
    </row>
    <row r="369" spans="11:13" x14ac:dyDescent="0.2">
      <c r="K369" s="77">
        <v>44279</v>
      </c>
      <c r="L369" s="71">
        <v>0.2</v>
      </c>
      <c r="M369" s="71">
        <v>1</v>
      </c>
    </row>
    <row r="370" spans="11:13" x14ac:dyDescent="0.2">
      <c r="K370" s="77">
        <v>44280</v>
      </c>
      <c r="L370" s="71">
        <v>0.2</v>
      </c>
      <c r="M370" s="71">
        <v>1</v>
      </c>
    </row>
    <row r="371" spans="11:13" x14ac:dyDescent="0.2">
      <c r="K371" s="77">
        <v>44281</v>
      </c>
      <c r="L371" s="71">
        <v>0.2</v>
      </c>
      <c r="M371" s="71">
        <v>1</v>
      </c>
    </row>
    <row r="372" spans="11:13" x14ac:dyDescent="0.2">
      <c r="K372" s="77">
        <v>44282</v>
      </c>
      <c r="L372" s="71">
        <v>0.2</v>
      </c>
      <c r="M372" s="71">
        <v>1</v>
      </c>
    </row>
    <row r="373" spans="11:13" x14ac:dyDescent="0.2">
      <c r="K373" s="77">
        <v>44283</v>
      </c>
      <c r="L373" s="71">
        <v>0.2</v>
      </c>
      <c r="M373" s="71">
        <v>1</v>
      </c>
    </row>
    <row r="374" spans="11:13" x14ac:dyDescent="0.2">
      <c r="K374" s="77">
        <v>44284</v>
      </c>
      <c r="L374" s="71">
        <v>0.2</v>
      </c>
      <c r="M374" s="71">
        <v>1</v>
      </c>
    </row>
    <row r="375" spans="11:13" x14ac:dyDescent="0.2">
      <c r="K375" s="77">
        <v>44285</v>
      </c>
      <c r="L375" s="71">
        <v>0.2</v>
      </c>
      <c r="M375" s="71">
        <v>1</v>
      </c>
    </row>
    <row r="376" spans="11:13" x14ac:dyDescent="0.2">
      <c r="K376" s="77">
        <v>44286</v>
      </c>
      <c r="L376" s="71">
        <v>0.2</v>
      </c>
      <c r="M376" s="71">
        <v>1</v>
      </c>
    </row>
    <row r="377" spans="11:13" x14ac:dyDescent="0.2">
      <c r="K377" s="77">
        <v>44287</v>
      </c>
      <c r="L377" s="71">
        <v>0.2</v>
      </c>
      <c r="M377" s="71">
        <v>1</v>
      </c>
    </row>
    <row r="378" spans="11:13" x14ac:dyDescent="0.2">
      <c r="K378" s="77">
        <v>44288</v>
      </c>
      <c r="L378" s="71">
        <v>0.2</v>
      </c>
      <c r="M378" s="71">
        <v>1</v>
      </c>
    </row>
    <row r="379" spans="11:13" x14ac:dyDescent="0.2">
      <c r="K379" s="77">
        <v>44289</v>
      </c>
      <c r="L379" s="71">
        <v>0.2</v>
      </c>
      <c r="M379" s="71">
        <v>1</v>
      </c>
    </row>
    <row r="380" spans="11:13" x14ac:dyDescent="0.2">
      <c r="K380" s="77">
        <v>44290</v>
      </c>
      <c r="L380" s="71">
        <v>0.2</v>
      </c>
      <c r="M380" s="71">
        <v>1</v>
      </c>
    </row>
    <row r="381" spans="11:13" x14ac:dyDescent="0.2">
      <c r="K381" s="77">
        <v>44291</v>
      </c>
      <c r="L381" s="71">
        <v>0.2</v>
      </c>
      <c r="M381" s="71">
        <v>1</v>
      </c>
    </row>
    <row r="382" spans="11:13" x14ac:dyDescent="0.2">
      <c r="K382" s="77">
        <v>44292</v>
      </c>
      <c r="L382" s="71">
        <v>0.2</v>
      </c>
      <c r="M382" s="71">
        <v>1</v>
      </c>
    </row>
    <row r="383" spans="11:13" x14ac:dyDescent="0.2">
      <c r="K383" s="77">
        <v>44293</v>
      </c>
      <c r="L383" s="71">
        <v>0.2</v>
      </c>
      <c r="M383" s="71">
        <v>1</v>
      </c>
    </row>
    <row r="384" spans="11:13" x14ac:dyDescent="0.2">
      <c r="K384" s="77">
        <v>44294</v>
      </c>
      <c r="L384" s="71">
        <v>0.2</v>
      </c>
      <c r="M384" s="71">
        <v>1</v>
      </c>
    </row>
    <row r="385" spans="11:13" x14ac:dyDescent="0.2">
      <c r="K385" s="77">
        <v>44295</v>
      </c>
      <c r="L385" s="71">
        <v>0.2</v>
      </c>
      <c r="M385" s="71">
        <v>1</v>
      </c>
    </row>
    <row r="386" spans="11:13" x14ac:dyDescent="0.2">
      <c r="K386" s="77">
        <v>44296</v>
      </c>
      <c r="L386" s="71">
        <v>0.2</v>
      </c>
      <c r="M386" s="71">
        <v>1</v>
      </c>
    </row>
    <row r="387" spans="11:13" x14ac:dyDescent="0.2">
      <c r="K387" s="77">
        <v>44297</v>
      </c>
      <c r="L387" s="71">
        <v>0.2</v>
      </c>
      <c r="M387" s="71">
        <v>1</v>
      </c>
    </row>
    <row r="388" spans="11:13" x14ac:dyDescent="0.2">
      <c r="K388" s="77">
        <v>44298</v>
      </c>
      <c r="L388" s="71">
        <v>0.2</v>
      </c>
      <c r="M388" s="71">
        <v>1</v>
      </c>
    </row>
    <row r="389" spans="11:13" x14ac:dyDescent="0.2">
      <c r="K389" s="77">
        <v>44299</v>
      </c>
      <c r="L389" s="71">
        <v>0.2</v>
      </c>
      <c r="M389" s="71">
        <v>1</v>
      </c>
    </row>
    <row r="390" spans="11:13" x14ac:dyDescent="0.2">
      <c r="K390" s="77">
        <v>44300</v>
      </c>
      <c r="L390" s="71">
        <v>0.2</v>
      </c>
      <c r="M390" s="71">
        <v>1</v>
      </c>
    </row>
    <row r="391" spans="11:13" x14ac:dyDescent="0.2">
      <c r="K391" s="77">
        <v>44301</v>
      </c>
      <c r="L391" s="71">
        <v>0.2</v>
      </c>
      <c r="M391" s="71">
        <v>1</v>
      </c>
    </row>
    <row r="392" spans="11:13" x14ac:dyDescent="0.2">
      <c r="K392" s="77">
        <v>44302</v>
      </c>
      <c r="L392" s="71">
        <v>0.2</v>
      </c>
      <c r="M392" s="71">
        <v>1</v>
      </c>
    </row>
    <row r="393" spans="11:13" x14ac:dyDescent="0.2">
      <c r="K393" s="77">
        <v>44303</v>
      </c>
      <c r="L393" s="71">
        <v>0.2</v>
      </c>
      <c r="M393" s="71">
        <v>1</v>
      </c>
    </row>
    <row r="394" spans="11:13" x14ac:dyDescent="0.2">
      <c r="K394" s="77">
        <v>44304</v>
      </c>
      <c r="L394" s="71">
        <v>0.2</v>
      </c>
      <c r="M394" s="71">
        <v>1</v>
      </c>
    </row>
    <row r="395" spans="11:13" x14ac:dyDescent="0.2">
      <c r="K395" s="77">
        <v>44305</v>
      </c>
      <c r="L395" s="71">
        <v>0.2</v>
      </c>
      <c r="M395" s="71">
        <v>1</v>
      </c>
    </row>
    <row r="396" spans="11:13" x14ac:dyDescent="0.2">
      <c r="K396" s="77">
        <v>44306</v>
      </c>
      <c r="L396" s="71">
        <v>0.2</v>
      </c>
      <c r="M396" s="71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P26" sqref="P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7">
        <v>43913</v>
      </c>
      <c r="L3" s="71">
        <v>0.5</v>
      </c>
      <c r="M3" s="71">
        <v>0.16</v>
      </c>
    </row>
    <row r="4" spans="11:13" x14ac:dyDescent="0.2">
      <c r="K4" s="77">
        <v>43914</v>
      </c>
      <c r="L4" s="71">
        <v>0.5</v>
      </c>
      <c r="M4" s="71">
        <v>0.16</v>
      </c>
    </row>
    <row r="5" spans="11:13" x14ac:dyDescent="0.2">
      <c r="K5" s="77">
        <v>43915</v>
      </c>
      <c r="L5" s="71">
        <v>0.5</v>
      </c>
      <c r="M5" s="71">
        <v>0.16</v>
      </c>
    </row>
    <row r="6" spans="11:13" x14ac:dyDescent="0.2">
      <c r="K6" s="77">
        <v>43916</v>
      </c>
      <c r="L6" s="71">
        <v>0.5</v>
      </c>
      <c r="M6" s="71">
        <v>0.16</v>
      </c>
    </row>
    <row r="7" spans="11:13" x14ac:dyDescent="0.2">
      <c r="K7" s="77">
        <v>43917</v>
      </c>
      <c r="L7" s="71">
        <v>0.5</v>
      </c>
      <c r="M7" s="71">
        <v>0.16</v>
      </c>
    </row>
    <row r="8" spans="11:13" x14ac:dyDescent="0.2">
      <c r="K8" s="77">
        <v>43918</v>
      </c>
      <c r="L8" s="71">
        <v>0.5</v>
      </c>
      <c r="M8" s="71">
        <v>0.16</v>
      </c>
    </row>
    <row r="9" spans="11:13" x14ac:dyDescent="0.2">
      <c r="K9" s="77">
        <v>43919</v>
      </c>
      <c r="L9" s="71">
        <v>0.5</v>
      </c>
      <c r="M9" s="71">
        <v>0.16</v>
      </c>
    </row>
    <row r="10" spans="11:13" x14ac:dyDescent="0.2">
      <c r="K10" s="77">
        <v>43920</v>
      </c>
      <c r="L10" s="71">
        <v>0.5</v>
      </c>
      <c r="M10" s="71">
        <v>0.16</v>
      </c>
    </row>
    <row r="11" spans="11:13" x14ac:dyDescent="0.2">
      <c r="K11" s="77">
        <v>43921</v>
      </c>
      <c r="L11" s="71">
        <v>0.5</v>
      </c>
      <c r="M11" s="71">
        <v>0.16</v>
      </c>
    </row>
    <row r="12" spans="11:13" x14ac:dyDescent="0.2">
      <c r="K12" s="77">
        <v>43922</v>
      </c>
      <c r="L12" s="71">
        <v>0.5</v>
      </c>
      <c r="M12" s="71">
        <v>0.16</v>
      </c>
    </row>
    <row r="13" spans="11:13" x14ac:dyDescent="0.2">
      <c r="K13" s="77">
        <v>43923</v>
      </c>
      <c r="L13" s="71">
        <v>0.5</v>
      </c>
      <c r="M13" s="71">
        <v>0.16</v>
      </c>
    </row>
    <row r="14" spans="11:13" x14ac:dyDescent="0.2">
      <c r="K14" s="77">
        <v>43924</v>
      </c>
      <c r="L14" s="71">
        <v>0.5</v>
      </c>
      <c r="M14" s="71">
        <v>0.16</v>
      </c>
    </row>
    <row r="15" spans="11:13" x14ac:dyDescent="0.2">
      <c r="K15" s="77">
        <v>43925</v>
      </c>
      <c r="L15" s="71">
        <v>0.5</v>
      </c>
      <c r="M15" s="71">
        <v>0.16</v>
      </c>
    </row>
    <row r="16" spans="11:13" x14ac:dyDescent="0.2">
      <c r="K16" s="77">
        <v>43926</v>
      </c>
      <c r="L16" s="71">
        <v>0.5</v>
      </c>
      <c r="M16" s="71">
        <v>0.16</v>
      </c>
    </row>
    <row r="17" spans="11:13" x14ac:dyDescent="0.2">
      <c r="K17" s="77">
        <v>43927</v>
      </c>
      <c r="L17" s="71">
        <v>0.5</v>
      </c>
      <c r="M17" s="71">
        <v>0.16</v>
      </c>
    </row>
    <row r="18" spans="11:13" x14ac:dyDescent="0.2">
      <c r="K18" s="77">
        <v>43928</v>
      </c>
      <c r="L18" s="71">
        <v>0.5</v>
      </c>
      <c r="M18" s="71">
        <v>0.16</v>
      </c>
    </row>
    <row r="19" spans="11:13" x14ac:dyDescent="0.2">
      <c r="K19" s="77">
        <v>43929</v>
      </c>
      <c r="L19" s="71">
        <v>0.5</v>
      </c>
      <c r="M19" s="71">
        <v>0.16</v>
      </c>
    </row>
    <row r="20" spans="11:13" x14ac:dyDescent="0.2">
      <c r="K20" s="77">
        <v>43930</v>
      </c>
      <c r="L20" s="71">
        <v>0.5</v>
      </c>
      <c r="M20" s="71">
        <v>0.16</v>
      </c>
    </row>
    <row r="21" spans="11:13" x14ac:dyDescent="0.2">
      <c r="K21" s="77">
        <v>43931</v>
      </c>
      <c r="L21" s="71">
        <v>0.5</v>
      </c>
      <c r="M21" s="71">
        <v>0.16</v>
      </c>
    </row>
    <row r="22" spans="11:13" x14ac:dyDescent="0.2">
      <c r="K22" s="77">
        <v>43932</v>
      </c>
      <c r="L22" s="71">
        <v>0.5</v>
      </c>
      <c r="M22" s="71">
        <v>0.16</v>
      </c>
    </row>
    <row r="23" spans="11:13" x14ac:dyDescent="0.2">
      <c r="K23" s="77">
        <v>43933</v>
      </c>
      <c r="L23" s="71">
        <v>0.5</v>
      </c>
      <c r="M23" s="71">
        <v>0.16</v>
      </c>
    </row>
    <row r="24" spans="11:13" x14ac:dyDescent="0.2">
      <c r="K24" s="77">
        <v>43934</v>
      </c>
      <c r="L24" s="71">
        <v>0.5</v>
      </c>
      <c r="M24" s="71">
        <v>0.16</v>
      </c>
    </row>
    <row r="25" spans="11:13" x14ac:dyDescent="0.2">
      <c r="K25" s="77">
        <v>43935</v>
      </c>
      <c r="L25" s="71">
        <v>0.5</v>
      </c>
      <c r="M25" s="71">
        <v>0.16</v>
      </c>
    </row>
    <row r="26" spans="11:13" x14ac:dyDescent="0.2">
      <c r="K26" s="77">
        <v>43936</v>
      </c>
      <c r="L26" s="71">
        <v>0.5</v>
      </c>
      <c r="M26" s="71">
        <v>0.16</v>
      </c>
    </row>
    <row r="27" spans="11:13" x14ac:dyDescent="0.2">
      <c r="K27" s="77">
        <v>43937</v>
      </c>
      <c r="L27" s="71">
        <v>0.5</v>
      </c>
      <c r="M27" s="71">
        <v>0.16</v>
      </c>
    </row>
    <row r="28" spans="11:13" x14ac:dyDescent="0.2">
      <c r="K28" s="77">
        <v>43938</v>
      </c>
      <c r="L28" s="71">
        <v>0.5</v>
      </c>
      <c r="M28" s="71">
        <v>0.16</v>
      </c>
    </row>
    <row r="29" spans="11:13" x14ac:dyDescent="0.2">
      <c r="K29" s="77">
        <v>43939</v>
      </c>
      <c r="L29" s="71">
        <v>0.5</v>
      </c>
      <c r="M29" s="71">
        <v>0.16</v>
      </c>
    </row>
    <row r="30" spans="11:13" x14ac:dyDescent="0.2">
      <c r="K30" s="77">
        <v>43940</v>
      </c>
      <c r="L30" s="71">
        <v>0.5</v>
      </c>
      <c r="M30" s="71">
        <v>0.16</v>
      </c>
    </row>
    <row r="31" spans="11:13" x14ac:dyDescent="0.2">
      <c r="K31" s="77">
        <v>43941</v>
      </c>
      <c r="L31" s="71">
        <v>0.5</v>
      </c>
      <c r="M31" s="71">
        <v>0.16</v>
      </c>
    </row>
    <row r="32" spans="11:13" x14ac:dyDescent="0.2">
      <c r="K32" s="77">
        <v>43942</v>
      </c>
      <c r="L32" s="71">
        <v>0.5</v>
      </c>
      <c r="M32" s="71">
        <v>0.16</v>
      </c>
    </row>
    <row r="33" spans="11:13" x14ac:dyDescent="0.2">
      <c r="K33" s="77">
        <v>43943</v>
      </c>
      <c r="L33" s="71">
        <v>0.5</v>
      </c>
      <c r="M33" s="71">
        <v>0.16</v>
      </c>
    </row>
    <row r="34" spans="11:13" x14ac:dyDescent="0.2">
      <c r="K34" s="77">
        <v>43944</v>
      </c>
      <c r="L34" s="71">
        <v>0.5</v>
      </c>
      <c r="M34" s="71">
        <v>0.16</v>
      </c>
    </row>
    <row r="35" spans="11:13" x14ac:dyDescent="0.2">
      <c r="K35" s="77">
        <v>43945</v>
      </c>
      <c r="L35" s="71">
        <v>0.5</v>
      </c>
      <c r="M35" s="71">
        <v>0.16</v>
      </c>
    </row>
    <row r="36" spans="11:13" x14ac:dyDescent="0.2">
      <c r="K36" s="77">
        <v>43946</v>
      </c>
      <c r="L36" s="71">
        <v>0.5</v>
      </c>
      <c r="M36" s="71">
        <v>0.16</v>
      </c>
    </row>
    <row r="37" spans="11:13" x14ac:dyDescent="0.2">
      <c r="K37" s="77">
        <v>43947</v>
      </c>
      <c r="L37" s="71">
        <v>0.5</v>
      </c>
      <c r="M37" s="71">
        <v>0.16</v>
      </c>
    </row>
    <row r="38" spans="11:13" x14ac:dyDescent="0.2">
      <c r="K38" s="77">
        <v>43948</v>
      </c>
      <c r="L38" s="71">
        <v>0.5</v>
      </c>
      <c r="M38" s="71">
        <v>0.16</v>
      </c>
    </row>
    <row r="39" spans="11:13" x14ac:dyDescent="0.2">
      <c r="K39" s="77">
        <v>43949</v>
      </c>
      <c r="L39" s="71">
        <v>0.5</v>
      </c>
      <c r="M39" s="71">
        <v>0.16</v>
      </c>
    </row>
    <row r="40" spans="11:13" x14ac:dyDescent="0.2">
      <c r="K40" s="77">
        <v>43950</v>
      </c>
      <c r="L40" s="71">
        <v>0.5</v>
      </c>
      <c r="M40" s="71">
        <v>0.16</v>
      </c>
    </row>
    <row r="41" spans="11:13" x14ac:dyDescent="0.2">
      <c r="K41" s="77">
        <v>43951</v>
      </c>
      <c r="L41" s="71">
        <v>0.5</v>
      </c>
      <c r="M41" s="71">
        <v>0.16</v>
      </c>
    </row>
    <row r="42" spans="11:13" x14ac:dyDescent="0.2">
      <c r="K42" s="77">
        <v>43952</v>
      </c>
      <c r="L42" s="71">
        <v>0.5</v>
      </c>
      <c r="M42" s="71">
        <v>0.16</v>
      </c>
    </row>
    <row r="43" spans="11:13" x14ac:dyDescent="0.2">
      <c r="K43" s="77">
        <v>43953</v>
      </c>
      <c r="L43" s="71">
        <v>0.5</v>
      </c>
      <c r="M43" s="71">
        <v>0.16</v>
      </c>
    </row>
    <row r="44" spans="11:13" x14ac:dyDescent="0.2">
      <c r="K44" s="77">
        <v>43954</v>
      </c>
      <c r="L44" s="71">
        <v>0.5</v>
      </c>
      <c r="M44" s="71">
        <v>0.16</v>
      </c>
    </row>
    <row r="45" spans="11:13" x14ac:dyDescent="0.2">
      <c r="K45" s="77">
        <v>43955</v>
      </c>
      <c r="L45" s="71">
        <v>0.5</v>
      </c>
      <c r="M45" s="71">
        <v>0.16</v>
      </c>
    </row>
    <row r="46" spans="11:13" x14ac:dyDescent="0.2">
      <c r="K46" s="77">
        <v>43956</v>
      </c>
      <c r="L46" s="71">
        <v>0.5</v>
      </c>
      <c r="M46" s="71">
        <v>0.16</v>
      </c>
    </row>
    <row r="47" spans="11:13" x14ac:dyDescent="0.2">
      <c r="K47" s="77">
        <v>43957</v>
      </c>
      <c r="L47" s="71">
        <v>0.5</v>
      </c>
      <c r="M47" s="71">
        <v>0.16</v>
      </c>
    </row>
    <row r="48" spans="11:13" x14ac:dyDescent="0.2">
      <c r="K48" s="77">
        <v>43958</v>
      </c>
      <c r="L48" s="71">
        <v>0.5</v>
      </c>
      <c r="M48" s="71">
        <v>0.16</v>
      </c>
    </row>
    <row r="49" spans="11:13" x14ac:dyDescent="0.2">
      <c r="K49" s="77">
        <v>43959</v>
      </c>
      <c r="L49" s="71">
        <v>0.5</v>
      </c>
      <c r="M49" s="71">
        <v>0.16</v>
      </c>
    </row>
    <row r="50" spans="11:13" x14ac:dyDescent="0.2">
      <c r="K50" s="77">
        <v>43960</v>
      </c>
      <c r="L50" s="71">
        <v>0.5</v>
      </c>
      <c r="M50" s="71">
        <v>0.16</v>
      </c>
    </row>
    <row r="51" spans="11:13" x14ac:dyDescent="0.2">
      <c r="K51" s="77">
        <v>43961</v>
      </c>
      <c r="L51" s="71">
        <v>0.5</v>
      </c>
      <c r="M51" s="71">
        <v>0.16</v>
      </c>
    </row>
    <row r="52" spans="11:13" x14ac:dyDescent="0.2">
      <c r="K52" s="77">
        <v>43962</v>
      </c>
      <c r="L52" s="71">
        <v>0.5</v>
      </c>
      <c r="M52" s="71">
        <v>0.16</v>
      </c>
    </row>
    <row r="53" spans="11:13" x14ac:dyDescent="0.2">
      <c r="K53" s="77">
        <v>43963</v>
      </c>
      <c r="L53" s="71">
        <v>0.5</v>
      </c>
      <c r="M53" s="71">
        <v>0.16</v>
      </c>
    </row>
    <row r="54" spans="11:13" x14ac:dyDescent="0.2">
      <c r="K54" s="77">
        <v>43964</v>
      </c>
      <c r="L54" s="71">
        <v>0.5</v>
      </c>
      <c r="M54" s="71">
        <v>0.16</v>
      </c>
    </row>
    <row r="55" spans="11:13" x14ac:dyDescent="0.2">
      <c r="K55" s="77">
        <v>43965</v>
      </c>
      <c r="L55" s="71">
        <v>0.5</v>
      </c>
      <c r="M55" s="71">
        <v>0.16</v>
      </c>
    </row>
    <row r="56" spans="11:13" x14ac:dyDescent="0.2">
      <c r="K56" s="77">
        <v>43966</v>
      </c>
      <c r="L56" s="71">
        <v>0.5</v>
      </c>
      <c r="M56" s="71">
        <v>0.16</v>
      </c>
    </row>
    <row r="57" spans="11:13" x14ac:dyDescent="0.2">
      <c r="K57" s="77">
        <v>43967</v>
      </c>
      <c r="L57" s="71">
        <v>0.5</v>
      </c>
      <c r="M57" s="71">
        <v>0.16</v>
      </c>
    </row>
    <row r="58" spans="11:13" x14ac:dyDescent="0.2">
      <c r="K58" s="77">
        <v>43968</v>
      </c>
      <c r="L58" s="71">
        <v>0.5</v>
      </c>
      <c r="M58" s="71">
        <v>0.16</v>
      </c>
    </row>
    <row r="59" spans="11:13" x14ac:dyDescent="0.2">
      <c r="K59" s="77">
        <v>43969</v>
      </c>
      <c r="L59" s="71">
        <v>0.5</v>
      </c>
      <c r="M59" s="71">
        <v>0.16</v>
      </c>
    </row>
    <row r="60" spans="11:13" x14ac:dyDescent="0.2">
      <c r="K60" s="77">
        <v>43970</v>
      </c>
      <c r="L60" s="71">
        <v>0.5</v>
      </c>
      <c r="M60" s="71">
        <v>0.16</v>
      </c>
    </row>
    <row r="61" spans="11:13" x14ac:dyDescent="0.2">
      <c r="K61" s="77">
        <v>43971</v>
      </c>
      <c r="L61" s="71">
        <v>0.5</v>
      </c>
      <c r="M61" s="71">
        <v>0.16</v>
      </c>
    </row>
    <row r="62" spans="11:13" x14ac:dyDescent="0.2">
      <c r="K62" s="77">
        <v>43972</v>
      </c>
      <c r="L62" s="71">
        <v>0.5</v>
      </c>
      <c r="M62" s="71">
        <v>0.16</v>
      </c>
    </row>
    <row r="63" spans="11:13" x14ac:dyDescent="0.2">
      <c r="K63" s="77">
        <v>43973</v>
      </c>
      <c r="L63" s="71">
        <v>0.5</v>
      </c>
      <c r="M63" s="71">
        <v>0.16</v>
      </c>
    </row>
    <row r="64" spans="11:13" x14ac:dyDescent="0.2">
      <c r="K64" s="77">
        <v>43974</v>
      </c>
      <c r="L64" s="71">
        <v>0.5</v>
      </c>
      <c r="M64" s="71">
        <v>0.16</v>
      </c>
    </row>
    <row r="65" spans="11:13" x14ac:dyDescent="0.2">
      <c r="K65" s="77">
        <v>43975</v>
      </c>
      <c r="L65" s="71">
        <v>0.5</v>
      </c>
      <c r="M65" s="71">
        <v>0.16</v>
      </c>
    </row>
    <row r="66" spans="11:13" x14ac:dyDescent="0.2">
      <c r="K66" s="77">
        <v>43976</v>
      </c>
      <c r="L66" s="71">
        <v>0.5</v>
      </c>
      <c r="M66" s="71">
        <v>0.16</v>
      </c>
    </row>
    <row r="67" spans="11:13" x14ac:dyDescent="0.2">
      <c r="K67" s="77">
        <v>43977</v>
      </c>
      <c r="L67" s="71">
        <v>0.5</v>
      </c>
      <c r="M67" s="71">
        <v>0.16</v>
      </c>
    </row>
    <row r="68" spans="11:13" x14ac:dyDescent="0.2">
      <c r="K68" s="77">
        <v>43978</v>
      </c>
      <c r="L68" s="71">
        <v>0.5</v>
      </c>
      <c r="M68" s="71">
        <v>0.16</v>
      </c>
    </row>
    <row r="69" spans="11:13" x14ac:dyDescent="0.2">
      <c r="K69" s="77">
        <v>43979</v>
      </c>
      <c r="L69" s="71">
        <v>0.5</v>
      </c>
      <c r="M69" s="71">
        <v>0.16</v>
      </c>
    </row>
    <row r="70" spans="11:13" x14ac:dyDescent="0.2">
      <c r="K70" s="77">
        <v>43980</v>
      </c>
      <c r="L70" s="71">
        <v>0.5</v>
      </c>
      <c r="M70" s="71">
        <v>0.16</v>
      </c>
    </row>
    <row r="71" spans="11:13" x14ac:dyDescent="0.2">
      <c r="K71" s="77">
        <v>43981</v>
      </c>
      <c r="L71" s="71">
        <v>0.5</v>
      </c>
      <c r="M71" s="71">
        <v>0.16</v>
      </c>
    </row>
    <row r="72" spans="11:13" x14ac:dyDescent="0.2">
      <c r="K72" s="77">
        <v>43982</v>
      </c>
      <c r="L72" s="71">
        <v>0.5</v>
      </c>
      <c r="M72" s="71">
        <v>0.16</v>
      </c>
    </row>
    <row r="73" spans="11:13" x14ac:dyDescent="0.2">
      <c r="K73" s="77">
        <v>43983</v>
      </c>
      <c r="L73" s="71">
        <v>0.5</v>
      </c>
      <c r="M73" s="71">
        <v>0.16</v>
      </c>
    </row>
    <row r="74" spans="11:13" x14ac:dyDescent="0.2">
      <c r="K74" s="77">
        <v>43984</v>
      </c>
      <c r="L74" s="71">
        <v>0.5</v>
      </c>
      <c r="M74" s="71">
        <v>0.16</v>
      </c>
    </row>
    <row r="75" spans="11:13" x14ac:dyDescent="0.2">
      <c r="K75" s="77">
        <v>43985</v>
      </c>
      <c r="L75" s="71">
        <v>0.5</v>
      </c>
      <c r="M75" s="71">
        <v>0.16</v>
      </c>
    </row>
    <row r="76" spans="11:13" x14ac:dyDescent="0.2">
      <c r="K76" s="77">
        <v>43986</v>
      </c>
      <c r="L76" s="71">
        <v>0.5</v>
      </c>
      <c r="M76" s="71">
        <v>0.16</v>
      </c>
    </row>
    <row r="77" spans="11:13" x14ac:dyDescent="0.2">
      <c r="K77" s="77">
        <v>43987</v>
      </c>
      <c r="L77" s="71">
        <v>0.5</v>
      </c>
      <c r="M77" s="71">
        <v>0.16</v>
      </c>
    </row>
    <row r="78" spans="11:13" x14ac:dyDescent="0.2">
      <c r="K78" s="77">
        <v>43988</v>
      </c>
      <c r="L78" s="71">
        <v>0.5</v>
      </c>
      <c r="M78" s="71">
        <v>0.16</v>
      </c>
    </row>
    <row r="79" spans="11:13" x14ac:dyDescent="0.2">
      <c r="K79" s="77">
        <v>43989</v>
      </c>
      <c r="L79" s="71">
        <v>0.5</v>
      </c>
      <c r="M79" s="71">
        <v>0.16</v>
      </c>
    </row>
    <row r="80" spans="11:13" x14ac:dyDescent="0.2">
      <c r="K80" s="77">
        <v>43990</v>
      </c>
      <c r="L80" s="71">
        <v>0.5</v>
      </c>
      <c r="M80" s="71">
        <v>0.16</v>
      </c>
    </row>
    <row r="81" spans="11:13" x14ac:dyDescent="0.2">
      <c r="K81" s="77">
        <v>43991</v>
      </c>
      <c r="L81" s="71">
        <v>0.5</v>
      </c>
      <c r="M81" s="71">
        <v>0.16</v>
      </c>
    </row>
    <row r="82" spans="11:13" x14ac:dyDescent="0.2">
      <c r="K82" s="77">
        <v>43992</v>
      </c>
      <c r="L82" s="71">
        <v>0.5</v>
      </c>
      <c r="M82" s="71">
        <v>0.16</v>
      </c>
    </row>
    <row r="83" spans="11:13" x14ac:dyDescent="0.2">
      <c r="K83" s="77">
        <v>43993</v>
      </c>
      <c r="L83" s="71">
        <v>0.5</v>
      </c>
      <c r="M83" s="71">
        <v>0.16</v>
      </c>
    </row>
    <row r="84" spans="11:13" x14ac:dyDescent="0.2">
      <c r="K84" s="77">
        <v>43994</v>
      </c>
      <c r="L84" s="71">
        <v>0.5</v>
      </c>
      <c r="M84" s="71">
        <v>0.16</v>
      </c>
    </row>
    <row r="85" spans="11:13" x14ac:dyDescent="0.2">
      <c r="K85" s="77">
        <v>43995</v>
      </c>
      <c r="L85" s="71">
        <v>0.5</v>
      </c>
      <c r="M85" s="71">
        <v>0.16</v>
      </c>
    </row>
    <row r="86" spans="11:13" x14ac:dyDescent="0.2">
      <c r="K86" s="77">
        <v>43996</v>
      </c>
      <c r="L86" s="71">
        <v>0.5</v>
      </c>
      <c r="M86" s="71">
        <v>0.16</v>
      </c>
    </row>
    <row r="87" spans="11:13" x14ac:dyDescent="0.2">
      <c r="K87" s="77">
        <v>43997</v>
      </c>
      <c r="L87" s="71">
        <v>0.5</v>
      </c>
      <c r="M87" s="71">
        <v>0.16</v>
      </c>
    </row>
    <row r="88" spans="11:13" x14ac:dyDescent="0.2">
      <c r="K88" s="77">
        <v>43998</v>
      </c>
      <c r="L88" s="71">
        <v>0.5</v>
      </c>
      <c r="M88" s="71">
        <v>0.16</v>
      </c>
    </row>
    <row r="89" spans="11:13" x14ac:dyDescent="0.2">
      <c r="K89" s="77">
        <v>43999</v>
      </c>
      <c r="L89" s="71">
        <v>0.5</v>
      </c>
      <c r="M89" s="71">
        <v>0.16</v>
      </c>
    </row>
    <row r="90" spans="11:13" x14ac:dyDescent="0.2">
      <c r="K90" s="77">
        <v>44000</v>
      </c>
      <c r="L90" s="71">
        <v>0.5</v>
      </c>
      <c r="M90" s="71">
        <v>0.16</v>
      </c>
    </row>
    <row r="91" spans="11:13" x14ac:dyDescent="0.2">
      <c r="K91" s="77">
        <v>44001</v>
      </c>
      <c r="L91" s="71">
        <v>0.5</v>
      </c>
      <c r="M91" s="71">
        <v>0.16</v>
      </c>
    </row>
    <row r="92" spans="11:13" x14ac:dyDescent="0.2">
      <c r="K92" s="77">
        <v>44002</v>
      </c>
      <c r="L92" s="71">
        <v>0.5</v>
      </c>
      <c r="M92" s="71">
        <v>0.16</v>
      </c>
    </row>
    <row r="93" spans="11:13" x14ac:dyDescent="0.2">
      <c r="K93" s="77">
        <v>44003</v>
      </c>
      <c r="L93" s="71">
        <v>0.5</v>
      </c>
      <c r="M93" s="71">
        <v>0.16</v>
      </c>
    </row>
    <row r="94" spans="11:13" x14ac:dyDescent="0.2">
      <c r="K94" s="77">
        <v>44004</v>
      </c>
      <c r="L94" s="71">
        <v>0.5</v>
      </c>
      <c r="M94" s="71">
        <v>0.16</v>
      </c>
    </row>
    <row r="95" spans="11:13" x14ac:dyDescent="0.2">
      <c r="K95" s="77">
        <v>44005</v>
      </c>
      <c r="L95" s="71">
        <v>0.5</v>
      </c>
      <c r="M95" s="71">
        <v>0.16</v>
      </c>
    </row>
    <row r="96" spans="11:13" x14ac:dyDescent="0.2">
      <c r="K96" s="77">
        <v>44006</v>
      </c>
      <c r="L96" s="71">
        <v>0.5</v>
      </c>
      <c r="M96" s="71">
        <v>0.16</v>
      </c>
    </row>
    <row r="97" spans="11:13" x14ac:dyDescent="0.2">
      <c r="K97" s="77">
        <v>44007</v>
      </c>
      <c r="L97" s="71">
        <v>0.5</v>
      </c>
      <c r="M97" s="71">
        <v>0.16</v>
      </c>
    </row>
    <row r="98" spans="11:13" x14ac:dyDescent="0.2">
      <c r="K98" s="77">
        <v>44008</v>
      </c>
      <c r="L98" s="71">
        <v>0.5</v>
      </c>
      <c r="M98" s="71">
        <v>0.16</v>
      </c>
    </row>
    <row r="99" spans="11:13" x14ac:dyDescent="0.2">
      <c r="K99" s="77">
        <v>44009</v>
      </c>
      <c r="L99" s="71">
        <v>0.5</v>
      </c>
      <c r="M99" s="71">
        <v>0.16</v>
      </c>
    </row>
    <row r="100" spans="11:13" x14ac:dyDescent="0.2">
      <c r="K100" s="77">
        <v>44010</v>
      </c>
      <c r="L100" s="71">
        <v>0.5</v>
      </c>
      <c r="M100" s="71">
        <v>0.16</v>
      </c>
    </row>
    <row r="101" spans="11:13" x14ac:dyDescent="0.2">
      <c r="K101" s="77">
        <v>44011</v>
      </c>
      <c r="L101" s="71">
        <v>0.5</v>
      </c>
      <c r="M101" s="71">
        <v>0.16</v>
      </c>
    </row>
    <row r="102" spans="11:13" x14ac:dyDescent="0.2">
      <c r="K102" s="77">
        <v>44012</v>
      </c>
      <c r="L102" s="71">
        <v>0.5</v>
      </c>
      <c r="M102" s="71">
        <v>0.16</v>
      </c>
    </row>
    <row r="103" spans="11:13" x14ac:dyDescent="0.2">
      <c r="K103" s="77">
        <v>44013</v>
      </c>
      <c r="L103" s="71">
        <v>0.5</v>
      </c>
      <c r="M103" s="71">
        <v>0.16</v>
      </c>
    </row>
    <row r="104" spans="11:13" x14ac:dyDescent="0.2">
      <c r="K104" s="77">
        <v>44014</v>
      </c>
      <c r="L104" s="71">
        <v>0.5</v>
      </c>
      <c r="M104" s="71">
        <v>0.16</v>
      </c>
    </row>
    <row r="105" spans="11:13" x14ac:dyDescent="0.2">
      <c r="K105" s="77">
        <v>44015</v>
      </c>
      <c r="L105" s="71">
        <v>0.5</v>
      </c>
      <c r="M105" s="71">
        <v>0.16</v>
      </c>
    </row>
    <row r="106" spans="11:13" x14ac:dyDescent="0.2">
      <c r="K106" s="77">
        <v>44016</v>
      </c>
      <c r="L106" s="71">
        <v>0.5</v>
      </c>
      <c r="M106" s="71">
        <v>0.16</v>
      </c>
    </row>
    <row r="107" spans="11:13" x14ac:dyDescent="0.2">
      <c r="K107" s="77">
        <v>44017</v>
      </c>
      <c r="L107" s="71">
        <v>0.5</v>
      </c>
      <c r="M107" s="71">
        <v>0.16</v>
      </c>
    </row>
    <row r="108" spans="11:13" x14ac:dyDescent="0.2">
      <c r="K108" s="77">
        <v>44018</v>
      </c>
      <c r="L108" s="71">
        <v>0.5</v>
      </c>
      <c r="M108" s="71">
        <v>0.16</v>
      </c>
    </row>
    <row r="109" spans="11:13" x14ac:dyDescent="0.2">
      <c r="K109" s="77">
        <v>44019</v>
      </c>
      <c r="L109" s="71">
        <v>0.5</v>
      </c>
      <c r="M109" s="71">
        <v>0.16</v>
      </c>
    </row>
    <row r="110" spans="11:13" x14ac:dyDescent="0.2">
      <c r="K110" s="77">
        <v>44020</v>
      </c>
      <c r="L110" s="71">
        <v>0.5</v>
      </c>
      <c r="M110" s="71">
        <v>0.16</v>
      </c>
    </row>
    <row r="111" spans="11:13" x14ac:dyDescent="0.2">
      <c r="K111" s="77">
        <v>44021</v>
      </c>
      <c r="L111" s="71">
        <v>0.5</v>
      </c>
      <c r="M111" s="71">
        <v>0.16</v>
      </c>
    </row>
    <row r="112" spans="11:13" x14ac:dyDescent="0.2">
      <c r="K112" s="77">
        <v>44022</v>
      </c>
      <c r="L112" s="71">
        <v>0.5</v>
      </c>
      <c r="M112" s="71">
        <v>0.16</v>
      </c>
    </row>
    <row r="113" spans="11:13" x14ac:dyDescent="0.2">
      <c r="K113" s="77">
        <v>44023</v>
      </c>
      <c r="L113" s="71">
        <v>0.5</v>
      </c>
      <c r="M113" s="71">
        <v>0.16</v>
      </c>
    </row>
    <row r="114" spans="11:13" x14ac:dyDescent="0.2">
      <c r="K114" s="77">
        <v>44024</v>
      </c>
      <c r="L114" s="71">
        <v>0.5</v>
      </c>
      <c r="M114" s="71">
        <v>0.16</v>
      </c>
    </row>
    <row r="115" spans="11:13" x14ac:dyDescent="0.2">
      <c r="K115" s="77">
        <v>44025</v>
      </c>
      <c r="L115" s="71">
        <v>0.5</v>
      </c>
      <c r="M115" s="71">
        <v>0.16</v>
      </c>
    </row>
    <row r="116" spans="11:13" x14ac:dyDescent="0.2">
      <c r="K116" s="77">
        <v>44026</v>
      </c>
      <c r="L116" s="71">
        <v>0.5</v>
      </c>
      <c r="M116" s="71">
        <v>0.16</v>
      </c>
    </row>
    <row r="117" spans="11:13" x14ac:dyDescent="0.2">
      <c r="K117" s="77">
        <v>44027</v>
      </c>
      <c r="L117" s="71">
        <v>0.5</v>
      </c>
      <c r="M117" s="71">
        <v>0.16</v>
      </c>
    </row>
    <row r="118" spans="11:13" x14ac:dyDescent="0.2">
      <c r="K118" s="77">
        <v>44028</v>
      </c>
      <c r="L118" s="71">
        <v>0.5</v>
      </c>
      <c r="M118" s="71">
        <v>0.16</v>
      </c>
    </row>
    <row r="119" spans="11:13" x14ac:dyDescent="0.2">
      <c r="K119" s="77">
        <v>44029</v>
      </c>
      <c r="L119" s="71">
        <v>0.5</v>
      </c>
      <c r="M119" s="71">
        <v>0.16</v>
      </c>
    </row>
    <row r="120" spans="11:13" x14ac:dyDescent="0.2">
      <c r="K120" s="77">
        <v>44030</v>
      </c>
      <c r="L120" s="71">
        <v>0.5</v>
      </c>
      <c r="M120" s="71">
        <v>0.16</v>
      </c>
    </row>
    <row r="121" spans="11:13" x14ac:dyDescent="0.2">
      <c r="K121" s="77">
        <v>44031</v>
      </c>
      <c r="L121" s="71">
        <v>0.5</v>
      </c>
      <c r="M121" s="71">
        <v>0.16</v>
      </c>
    </row>
    <row r="122" spans="11:13" x14ac:dyDescent="0.2">
      <c r="K122" s="77">
        <v>44032</v>
      </c>
      <c r="L122" s="71">
        <v>0.5</v>
      </c>
      <c r="M122" s="71">
        <v>0.16</v>
      </c>
    </row>
    <row r="123" spans="11:13" x14ac:dyDescent="0.2">
      <c r="K123" s="77">
        <v>44033</v>
      </c>
      <c r="L123" s="71">
        <v>0.5</v>
      </c>
      <c r="M123" s="71">
        <v>0.16</v>
      </c>
    </row>
    <row r="124" spans="11:13" x14ac:dyDescent="0.2">
      <c r="K124" s="77">
        <v>44034</v>
      </c>
      <c r="L124" s="71">
        <v>0.5</v>
      </c>
      <c r="M124" s="71">
        <v>0.16</v>
      </c>
    </row>
    <row r="125" spans="11:13" x14ac:dyDescent="0.2">
      <c r="K125" s="77">
        <v>44035</v>
      </c>
      <c r="L125" s="71">
        <v>0.5</v>
      </c>
      <c r="M125" s="71">
        <v>0.16</v>
      </c>
    </row>
    <row r="126" spans="11:13" x14ac:dyDescent="0.2">
      <c r="K126" s="77">
        <v>44036</v>
      </c>
      <c r="L126" s="71">
        <v>0.5</v>
      </c>
      <c r="M126" s="71">
        <v>0.16</v>
      </c>
    </row>
    <row r="127" spans="11:13" x14ac:dyDescent="0.2">
      <c r="K127" s="77">
        <v>44037</v>
      </c>
      <c r="L127" s="71">
        <v>0.5</v>
      </c>
      <c r="M127" s="71">
        <v>0.16</v>
      </c>
    </row>
    <row r="128" spans="11:13" x14ac:dyDescent="0.2">
      <c r="K128" s="77">
        <v>44038</v>
      </c>
      <c r="L128" s="71">
        <v>0.5</v>
      </c>
      <c r="M128" s="71">
        <v>0.16</v>
      </c>
    </row>
    <row r="129" spans="11:13" x14ac:dyDescent="0.2">
      <c r="K129" s="77">
        <v>44039</v>
      </c>
      <c r="L129" s="71">
        <v>0.5</v>
      </c>
      <c r="M129" s="71">
        <v>0.16</v>
      </c>
    </row>
    <row r="130" spans="11:13" x14ac:dyDescent="0.2">
      <c r="K130" s="77">
        <v>44040</v>
      </c>
      <c r="L130" s="71">
        <v>0.5</v>
      </c>
      <c r="M130" s="71">
        <v>0.16</v>
      </c>
    </row>
    <row r="131" spans="11:13" x14ac:dyDescent="0.2">
      <c r="K131" s="77">
        <v>44041</v>
      </c>
      <c r="L131" s="71">
        <v>0.5</v>
      </c>
      <c r="M131" s="71">
        <v>0.16</v>
      </c>
    </row>
    <row r="132" spans="11:13" x14ac:dyDescent="0.2">
      <c r="K132" s="77">
        <v>44042</v>
      </c>
      <c r="L132" s="71">
        <v>0.5</v>
      </c>
      <c r="M132" s="71">
        <v>0.16</v>
      </c>
    </row>
    <row r="133" spans="11:13" x14ac:dyDescent="0.2">
      <c r="K133" s="77">
        <v>44043</v>
      </c>
      <c r="L133" s="71">
        <v>0.5</v>
      </c>
      <c r="M133" s="71">
        <v>0.16</v>
      </c>
    </row>
    <row r="134" spans="11:13" x14ac:dyDescent="0.2">
      <c r="K134" s="77">
        <v>44044</v>
      </c>
      <c r="L134" s="71">
        <v>0.5</v>
      </c>
      <c r="M134" s="71">
        <v>0.16</v>
      </c>
    </row>
    <row r="135" spans="11:13" x14ac:dyDescent="0.2">
      <c r="K135" s="77">
        <v>44045</v>
      </c>
      <c r="L135" s="71">
        <v>0.5</v>
      </c>
      <c r="M135" s="71">
        <v>0.16</v>
      </c>
    </row>
    <row r="136" spans="11:13" x14ac:dyDescent="0.2">
      <c r="K136" s="77">
        <v>44046</v>
      </c>
      <c r="L136" s="71">
        <v>0.5</v>
      </c>
      <c r="M136" s="71">
        <v>0.16</v>
      </c>
    </row>
    <row r="137" spans="11:13" x14ac:dyDescent="0.2">
      <c r="K137" s="77">
        <v>44047</v>
      </c>
      <c r="L137" s="71">
        <v>0.5</v>
      </c>
      <c r="M137" s="71">
        <v>0.16</v>
      </c>
    </row>
    <row r="138" spans="11:13" x14ac:dyDescent="0.2">
      <c r="K138" s="77">
        <v>44048</v>
      </c>
      <c r="L138" s="71">
        <v>0.5</v>
      </c>
      <c r="M138" s="71">
        <v>0.16</v>
      </c>
    </row>
    <row r="139" spans="11:13" x14ac:dyDescent="0.2">
      <c r="K139" s="77">
        <v>44049</v>
      </c>
      <c r="L139" s="71">
        <v>0.5</v>
      </c>
      <c r="M139" s="71">
        <v>0.16</v>
      </c>
    </row>
    <row r="140" spans="11:13" x14ac:dyDescent="0.2">
      <c r="K140" s="77">
        <v>44050</v>
      </c>
      <c r="L140" s="71">
        <v>0.5</v>
      </c>
      <c r="M140" s="71">
        <v>0.16</v>
      </c>
    </row>
    <row r="141" spans="11:13" x14ac:dyDescent="0.2">
      <c r="K141" s="77">
        <v>44051</v>
      </c>
      <c r="L141" s="71">
        <v>0.5</v>
      </c>
      <c r="M141" s="71">
        <v>0.16</v>
      </c>
    </row>
    <row r="142" spans="11:13" x14ac:dyDescent="0.2">
      <c r="K142" s="77">
        <v>44052</v>
      </c>
      <c r="L142" s="71">
        <v>0.5</v>
      </c>
      <c r="M142" s="71">
        <v>0.16</v>
      </c>
    </row>
    <row r="143" spans="11:13" x14ac:dyDescent="0.2">
      <c r="K143" s="77">
        <v>44053</v>
      </c>
      <c r="L143" s="71">
        <v>0.5</v>
      </c>
      <c r="M143" s="71">
        <v>0.16</v>
      </c>
    </row>
    <row r="144" spans="11:13" x14ac:dyDescent="0.2">
      <c r="K144" s="77">
        <v>44054</v>
      </c>
      <c r="L144" s="71">
        <v>0.5</v>
      </c>
      <c r="M144" s="71">
        <v>0.16</v>
      </c>
    </row>
    <row r="145" spans="11:13" x14ac:dyDescent="0.2">
      <c r="K145" s="77">
        <v>44055</v>
      </c>
      <c r="L145" s="71">
        <v>0.5</v>
      </c>
      <c r="M145" s="71">
        <v>0.16</v>
      </c>
    </row>
    <row r="146" spans="11:13" x14ac:dyDescent="0.2">
      <c r="K146" s="77">
        <v>44056</v>
      </c>
      <c r="L146" s="71">
        <v>0.5</v>
      </c>
      <c r="M146" s="71">
        <v>0.16</v>
      </c>
    </row>
    <row r="147" spans="11:13" x14ac:dyDescent="0.2">
      <c r="K147" s="77">
        <v>44057</v>
      </c>
      <c r="L147" s="71">
        <v>0.5</v>
      </c>
      <c r="M147" s="71">
        <v>0.16</v>
      </c>
    </row>
    <row r="148" spans="11:13" x14ac:dyDescent="0.2">
      <c r="K148" s="77">
        <v>44058</v>
      </c>
      <c r="L148" s="71">
        <v>0.5</v>
      </c>
      <c r="M148" s="71">
        <v>0.16</v>
      </c>
    </row>
    <row r="149" spans="11:13" x14ac:dyDescent="0.2">
      <c r="K149" s="77">
        <v>44059</v>
      </c>
      <c r="L149" s="71">
        <v>0.5</v>
      </c>
      <c r="M149" s="71">
        <v>0.16</v>
      </c>
    </row>
    <row r="150" spans="11:13" x14ac:dyDescent="0.2">
      <c r="K150" s="77">
        <v>44060</v>
      </c>
      <c r="L150" s="71">
        <v>0.5</v>
      </c>
      <c r="M150" s="71">
        <v>0.16</v>
      </c>
    </row>
    <row r="151" spans="11:13" x14ac:dyDescent="0.2">
      <c r="K151" s="77">
        <v>44061</v>
      </c>
      <c r="L151" s="71">
        <v>0.5</v>
      </c>
      <c r="M151" s="71">
        <v>0.16</v>
      </c>
    </row>
    <row r="152" spans="11:13" x14ac:dyDescent="0.2">
      <c r="K152" s="77">
        <v>44062</v>
      </c>
      <c r="L152" s="71">
        <v>0.5</v>
      </c>
      <c r="M152" s="71">
        <v>0.16</v>
      </c>
    </row>
    <row r="153" spans="11:13" x14ac:dyDescent="0.2">
      <c r="K153" s="77">
        <v>44063</v>
      </c>
      <c r="L153" s="71">
        <v>0.5</v>
      </c>
      <c r="M153" s="71">
        <v>0.16</v>
      </c>
    </row>
    <row r="154" spans="11:13" x14ac:dyDescent="0.2">
      <c r="K154" s="77">
        <v>44064</v>
      </c>
      <c r="L154" s="71">
        <v>0.5</v>
      </c>
      <c r="M154" s="71">
        <v>0.16</v>
      </c>
    </row>
    <row r="155" spans="11:13" x14ac:dyDescent="0.2">
      <c r="K155" s="77">
        <v>44065</v>
      </c>
      <c r="L155" s="71">
        <v>0.5</v>
      </c>
      <c r="M155" s="71">
        <v>0.16</v>
      </c>
    </row>
    <row r="156" spans="11:13" x14ac:dyDescent="0.2">
      <c r="K156" s="77">
        <v>44066</v>
      </c>
      <c r="L156" s="71">
        <v>0.5</v>
      </c>
      <c r="M156" s="71">
        <v>0.16</v>
      </c>
    </row>
    <row r="157" spans="11:13" x14ac:dyDescent="0.2">
      <c r="K157" s="77">
        <v>44067</v>
      </c>
      <c r="L157" s="71">
        <v>0.5</v>
      </c>
      <c r="M157" s="71">
        <v>0.16</v>
      </c>
    </row>
    <row r="158" spans="11:13" x14ac:dyDescent="0.2">
      <c r="K158" s="77">
        <v>44068</v>
      </c>
      <c r="L158" s="71">
        <v>0.5</v>
      </c>
      <c r="M158" s="71">
        <v>0.16</v>
      </c>
    </row>
    <row r="159" spans="11:13" x14ac:dyDescent="0.2">
      <c r="K159" s="77">
        <v>44069</v>
      </c>
      <c r="L159" s="71">
        <v>0.5</v>
      </c>
      <c r="M159" s="71">
        <v>0.16</v>
      </c>
    </row>
    <row r="160" spans="11:13" x14ac:dyDescent="0.2">
      <c r="K160" s="77">
        <v>44070</v>
      </c>
      <c r="L160" s="71">
        <v>0.5</v>
      </c>
      <c r="M160" s="71">
        <v>0.16</v>
      </c>
    </row>
    <row r="161" spans="11:13" x14ac:dyDescent="0.2">
      <c r="K161" s="77">
        <v>44071</v>
      </c>
      <c r="L161" s="71">
        <v>0.5</v>
      </c>
      <c r="M161" s="71">
        <v>0.16</v>
      </c>
    </row>
    <row r="162" spans="11:13" x14ac:dyDescent="0.2">
      <c r="K162" s="77">
        <v>44072</v>
      </c>
      <c r="L162" s="71">
        <v>0.5</v>
      </c>
      <c r="M162" s="71">
        <v>0.16</v>
      </c>
    </row>
    <row r="163" spans="11:13" x14ac:dyDescent="0.2">
      <c r="K163" s="77">
        <v>44073</v>
      </c>
      <c r="L163" s="71">
        <v>0.5</v>
      </c>
      <c r="M163" s="71">
        <v>0.16</v>
      </c>
    </row>
    <row r="164" spans="11:13" x14ac:dyDescent="0.2">
      <c r="K164" s="77">
        <v>44074</v>
      </c>
      <c r="L164" s="71">
        <v>0.5</v>
      </c>
      <c r="M164" s="71">
        <v>0.16</v>
      </c>
    </row>
    <row r="165" spans="11:13" x14ac:dyDescent="0.2">
      <c r="K165" s="77">
        <v>44075</v>
      </c>
      <c r="L165" s="71">
        <v>0.5</v>
      </c>
      <c r="M165" s="71">
        <v>0.16</v>
      </c>
    </row>
    <row r="166" spans="11:13" x14ac:dyDescent="0.2">
      <c r="K166" s="77">
        <v>44076</v>
      </c>
      <c r="L166" s="71">
        <v>0.5</v>
      </c>
      <c r="M166" s="71">
        <v>0.16</v>
      </c>
    </row>
    <row r="167" spans="11:13" x14ac:dyDescent="0.2">
      <c r="K167" s="77">
        <v>44077</v>
      </c>
      <c r="L167" s="71">
        <v>0.5</v>
      </c>
      <c r="M167" s="71">
        <v>0.16</v>
      </c>
    </row>
    <row r="168" spans="11:13" x14ac:dyDescent="0.2">
      <c r="K168" s="77">
        <v>44078</v>
      </c>
      <c r="L168" s="71">
        <v>0.5</v>
      </c>
      <c r="M168" s="71">
        <v>0.16</v>
      </c>
    </row>
    <row r="169" spans="11:13" x14ac:dyDescent="0.2">
      <c r="K169" s="77">
        <v>44079</v>
      </c>
      <c r="L169" s="71">
        <v>0.5</v>
      </c>
      <c r="M169" s="71">
        <v>0.16</v>
      </c>
    </row>
    <row r="170" spans="11:13" x14ac:dyDescent="0.2">
      <c r="K170" s="77">
        <v>44080</v>
      </c>
      <c r="L170" s="71">
        <v>0.5</v>
      </c>
      <c r="M170" s="71">
        <v>0.16</v>
      </c>
    </row>
    <row r="171" spans="11:13" x14ac:dyDescent="0.2">
      <c r="K171" s="77">
        <v>44081</v>
      </c>
      <c r="L171" s="71">
        <v>0.5</v>
      </c>
      <c r="M171" s="71">
        <v>0.16</v>
      </c>
    </row>
    <row r="172" spans="11:13" x14ac:dyDescent="0.2">
      <c r="K172" s="77">
        <v>44082</v>
      </c>
      <c r="L172" s="71">
        <v>0.5</v>
      </c>
      <c r="M172" s="71">
        <v>0.16</v>
      </c>
    </row>
    <row r="173" spans="11:13" x14ac:dyDescent="0.2">
      <c r="K173" s="77">
        <v>44083</v>
      </c>
      <c r="L173" s="71">
        <v>0.5</v>
      </c>
      <c r="M173" s="71">
        <v>0.16</v>
      </c>
    </row>
    <row r="174" spans="11:13" x14ac:dyDescent="0.2">
      <c r="K174" s="77">
        <v>44084</v>
      </c>
      <c r="L174" s="71">
        <v>0.5</v>
      </c>
      <c r="M174" s="71">
        <v>0.16</v>
      </c>
    </row>
    <row r="175" spans="11:13" x14ac:dyDescent="0.2">
      <c r="K175" s="77">
        <v>44085</v>
      </c>
      <c r="L175" s="71">
        <v>0.5</v>
      </c>
      <c r="M175" s="71">
        <v>0.16</v>
      </c>
    </row>
    <row r="176" spans="11:13" x14ac:dyDescent="0.2">
      <c r="K176" s="77">
        <v>44086</v>
      </c>
      <c r="L176" s="71">
        <v>0.5</v>
      </c>
      <c r="M176" s="71">
        <v>0.16</v>
      </c>
    </row>
    <row r="177" spans="11:13" x14ac:dyDescent="0.2">
      <c r="K177" s="77">
        <v>44087</v>
      </c>
      <c r="L177" s="71">
        <v>0.5</v>
      </c>
      <c r="M177" s="71">
        <v>0.16</v>
      </c>
    </row>
    <row r="178" spans="11:13" x14ac:dyDescent="0.2">
      <c r="K178" s="77">
        <v>44088</v>
      </c>
      <c r="L178" s="71">
        <v>0.5</v>
      </c>
      <c r="M178" s="71">
        <v>0.16</v>
      </c>
    </row>
    <row r="179" spans="11:13" x14ac:dyDescent="0.2">
      <c r="K179" s="77">
        <v>44089</v>
      </c>
      <c r="L179" s="71">
        <v>0.5</v>
      </c>
      <c r="M179" s="71">
        <v>0.16</v>
      </c>
    </row>
    <row r="180" spans="11:13" x14ac:dyDescent="0.2">
      <c r="K180" s="77">
        <v>44090</v>
      </c>
      <c r="L180" s="71">
        <v>0.5</v>
      </c>
      <c r="M180" s="71">
        <v>0.16</v>
      </c>
    </row>
    <row r="181" spans="11:13" x14ac:dyDescent="0.2">
      <c r="K181" s="77">
        <v>44091</v>
      </c>
      <c r="L181" s="71">
        <v>0.5</v>
      </c>
      <c r="M181" s="71">
        <v>0.16</v>
      </c>
    </row>
    <row r="182" spans="11:13" x14ac:dyDescent="0.2">
      <c r="K182" s="77">
        <v>44092</v>
      </c>
      <c r="L182" s="71">
        <v>0.5</v>
      </c>
      <c r="M182" s="71">
        <v>0.16</v>
      </c>
    </row>
    <row r="183" spans="11:13" x14ac:dyDescent="0.2">
      <c r="K183" s="77">
        <v>44093</v>
      </c>
      <c r="L183" s="71">
        <v>0.5</v>
      </c>
      <c r="M183" s="71">
        <v>0.16</v>
      </c>
    </row>
    <row r="184" spans="11:13" x14ac:dyDescent="0.2">
      <c r="K184" s="77">
        <v>44094</v>
      </c>
      <c r="L184" s="71">
        <v>0.5</v>
      </c>
      <c r="M184" s="71">
        <v>0.16</v>
      </c>
    </row>
    <row r="185" spans="11:13" x14ac:dyDescent="0.2">
      <c r="K185" s="77">
        <v>44095</v>
      </c>
      <c r="L185" s="71">
        <v>0.5</v>
      </c>
      <c r="M185" s="71">
        <v>0.16</v>
      </c>
    </row>
    <row r="186" spans="11:13" x14ac:dyDescent="0.2">
      <c r="K186" s="77">
        <v>44096</v>
      </c>
      <c r="L186" s="71">
        <v>0.5</v>
      </c>
      <c r="M186" s="71">
        <v>0.16</v>
      </c>
    </row>
    <row r="187" spans="11:13" x14ac:dyDescent="0.2">
      <c r="K187" s="77">
        <v>44097</v>
      </c>
      <c r="L187" s="71">
        <v>0.5</v>
      </c>
      <c r="M187" s="71">
        <v>0.16</v>
      </c>
    </row>
    <row r="188" spans="11:13" x14ac:dyDescent="0.2">
      <c r="K188" s="77">
        <v>44098</v>
      </c>
      <c r="L188" s="71">
        <v>0.5</v>
      </c>
      <c r="M188" s="71">
        <v>0.16</v>
      </c>
    </row>
    <row r="189" spans="11:13" x14ac:dyDescent="0.2">
      <c r="K189" s="77">
        <v>44099</v>
      </c>
      <c r="L189" s="71">
        <v>0.5</v>
      </c>
      <c r="M189" s="71">
        <v>0.16</v>
      </c>
    </row>
    <row r="190" spans="11:13" x14ac:dyDescent="0.2">
      <c r="K190" s="77">
        <v>44100</v>
      </c>
      <c r="L190" s="71">
        <v>0.5</v>
      </c>
      <c r="M190" s="71">
        <v>0.16</v>
      </c>
    </row>
    <row r="191" spans="11:13" x14ac:dyDescent="0.2">
      <c r="K191" s="77">
        <v>44101</v>
      </c>
      <c r="L191" s="71">
        <v>0.5</v>
      </c>
      <c r="M191" s="71">
        <v>0.16</v>
      </c>
    </row>
    <row r="192" spans="11:13" x14ac:dyDescent="0.2">
      <c r="K192" s="77">
        <v>44102</v>
      </c>
      <c r="L192" s="71">
        <v>0.5</v>
      </c>
      <c r="M192" s="71">
        <v>0.16</v>
      </c>
    </row>
    <row r="193" spans="11:13" x14ac:dyDescent="0.2">
      <c r="K193" s="77">
        <v>44103</v>
      </c>
      <c r="L193" s="71">
        <v>0.5</v>
      </c>
      <c r="M193" s="71">
        <v>0.16</v>
      </c>
    </row>
    <row r="194" spans="11:13" x14ac:dyDescent="0.2">
      <c r="K194" s="77">
        <v>44104</v>
      </c>
      <c r="L194" s="71">
        <v>0.5</v>
      </c>
      <c r="M194" s="71">
        <v>0.16</v>
      </c>
    </row>
    <row r="195" spans="11:13" x14ac:dyDescent="0.2">
      <c r="K195" s="77">
        <v>44105</v>
      </c>
      <c r="L195" s="71">
        <v>0.5</v>
      </c>
      <c r="M195" s="71">
        <v>0.16</v>
      </c>
    </row>
    <row r="196" spans="11:13" x14ac:dyDescent="0.2">
      <c r="K196" s="77">
        <v>44106</v>
      </c>
      <c r="L196" s="71">
        <v>0.5</v>
      </c>
      <c r="M196" s="71">
        <v>0.16</v>
      </c>
    </row>
    <row r="197" spans="11:13" x14ac:dyDescent="0.2">
      <c r="K197" s="77">
        <v>44107</v>
      </c>
      <c r="L197" s="71">
        <v>0.5</v>
      </c>
      <c r="M197" s="71">
        <v>0.16</v>
      </c>
    </row>
    <row r="198" spans="11:13" x14ac:dyDescent="0.2">
      <c r="K198" s="77">
        <v>44108</v>
      </c>
      <c r="L198" s="71">
        <v>0.5</v>
      </c>
      <c r="M198" s="71">
        <v>0.16</v>
      </c>
    </row>
    <row r="199" spans="11:13" x14ac:dyDescent="0.2">
      <c r="K199" s="77">
        <v>44109</v>
      </c>
      <c r="L199" s="71">
        <v>0.5</v>
      </c>
      <c r="M199" s="71">
        <v>0.16</v>
      </c>
    </row>
    <row r="200" spans="11:13" x14ac:dyDescent="0.2">
      <c r="K200" s="77">
        <v>44110</v>
      </c>
      <c r="L200" s="71">
        <v>0.5</v>
      </c>
      <c r="M200" s="71">
        <v>0.16</v>
      </c>
    </row>
    <row r="201" spans="11:13" x14ac:dyDescent="0.2">
      <c r="K201" s="77">
        <v>44111</v>
      </c>
      <c r="L201" s="71">
        <v>0.5</v>
      </c>
      <c r="M201" s="71">
        <v>0.16</v>
      </c>
    </row>
    <row r="202" spans="11:13" x14ac:dyDescent="0.2">
      <c r="K202" s="77">
        <v>44112</v>
      </c>
      <c r="L202" s="71">
        <v>0.5</v>
      </c>
      <c r="M202" s="71">
        <v>0.16</v>
      </c>
    </row>
    <row r="203" spans="11:13" x14ac:dyDescent="0.2">
      <c r="K203" s="77">
        <v>44113</v>
      </c>
      <c r="L203" s="71">
        <v>0.5</v>
      </c>
      <c r="M203" s="71">
        <v>0.16</v>
      </c>
    </row>
    <row r="204" spans="11:13" x14ac:dyDescent="0.2">
      <c r="K204" s="77">
        <v>44114</v>
      </c>
      <c r="L204" s="71">
        <v>0.5</v>
      </c>
      <c r="M204" s="71">
        <v>0.16</v>
      </c>
    </row>
    <row r="205" spans="11:13" x14ac:dyDescent="0.2">
      <c r="K205" s="77">
        <v>44115</v>
      </c>
      <c r="L205" s="71">
        <v>0.5</v>
      </c>
      <c r="M205" s="71">
        <v>0.16</v>
      </c>
    </row>
    <row r="206" spans="11:13" x14ac:dyDescent="0.2">
      <c r="K206" s="77">
        <v>44116</v>
      </c>
      <c r="L206" s="71">
        <v>0.5</v>
      </c>
      <c r="M206" s="71">
        <v>0.16</v>
      </c>
    </row>
    <row r="207" spans="11:13" x14ac:dyDescent="0.2">
      <c r="K207" s="77">
        <v>44117</v>
      </c>
      <c r="L207" s="71">
        <v>0.5</v>
      </c>
      <c r="M207" s="71">
        <v>0.16</v>
      </c>
    </row>
    <row r="208" spans="11:13" x14ac:dyDescent="0.2">
      <c r="K208" s="77">
        <v>44118</v>
      </c>
      <c r="L208" s="71">
        <v>0.5</v>
      </c>
      <c r="M208" s="71">
        <v>0.16</v>
      </c>
    </row>
    <row r="209" spans="11:13" x14ac:dyDescent="0.2">
      <c r="K209" s="77">
        <v>44119</v>
      </c>
      <c r="L209" s="71">
        <v>0.5</v>
      </c>
      <c r="M209" s="71">
        <v>0.16</v>
      </c>
    </row>
    <row r="210" spans="11:13" x14ac:dyDescent="0.2">
      <c r="K210" s="77">
        <v>44120</v>
      </c>
      <c r="L210" s="71">
        <v>0.5</v>
      </c>
      <c r="M210" s="71">
        <v>0.16</v>
      </c>
    </row>
    <row r="211" spans="11:13" x14ac:dyDescent="0.2">
      <c r="K211" s="77">
        <v>44121</v>
      </c>
      <c r="L211" s="71">
        <v>0.5</v>
      </c>
      <c r="M211" s="71">
        <v>0.16</v>
      </c>
    </row>
    <row r="212" spans="11:13" x14ac:dyDescent="0.2">
      <c r="K212" s="77">
        <v>44122</v>
      </c>
      <c r="L212" s="71">
        <v>0.5</v>
      </c>
      <c r="M212" s="71">
        <v>0.16</v>
      </c>
    </row>
    <row r="213" spans="11:13" x14ac:dyDescent="0.2">
      <c r="K213" s="77">
        <v>44123</v>
      </c>
      <c r="L213" s="71">
        <v>0.5</v>
      </c>
      <c r="M213" s="71">
        <v>0.16</v>
      </c>
    </row>
    <row r="214" spans="11:13" x14ac:dyDescent="0.2">
      <c r="K214" s="77">
        <v>44124</v>
      </c>
      <c r="L214" s="71">
        <v>0.5</v>
      </c>
      <c r="M214" s="71">
        <v>0.16</v>
      </c>
    </row>
    <row r="215" spans="11:13" x14ac:dyDescent="0.2">
      <c r="K215" s="77">
        <v>44125</v>
      </c>
      <c r="L215" s="71">
        <v>0.5</v>
      </c>
      <c r="M215" s="71">
        <v>0.16</v>
      </c>
    </row>
    <row r="216" spans="11:13" x14ac:dyDescent="0.2">
      <c r="K216" s="77">
        <v>44126</v>
      </c>
      <c r="L216" s="71">
        <v>0.5</v>
      </c>
      <c r="M216" s="71">
        <v>0.16</v>
      </c>
    </row>
    <row r="217" spans="11:13" x14ac:dyDescent="0.2">
      <c r="K217" s="77">
        <v>44127</v>
      </c>
      <c r="L217" s="71">
        <v>0.5</v>
      </c>
      <c r="M217" s="71">
        <v>0.16</v>
      </c>
    </row>
    <row r="218" spans="11:13" x14ac:dyDescent="0.2">
      <c r="K218" s="77">
        <v>44128</v>
      </c>
      <c r="L218" s="71">
        <v>0.5</v>
      </c>
      <c r="M218" s="71">
        <v>0.16</v>
      </c>
    </row>
    <row r="219" spans="11:13" x14ac:dyDescent="0.2">
      <c r="K219" s="77">
        <v>44129</v>
      </c>
      <c r="L219" s="71">
        <v>0.5</v>
      </c>
      <c r="M219" s="71">
        <v>0.16</v>
      </c>
    </row>
    <row r="220" spans="11:13" x14ac:dyDescent="0.2">
      <c r="K220" s="77">
        <v>44130</v>
      </c>
      <c r="L220" s="71">
        <v>0.5</v>
      </c>
      <c r="M220" s="71">
        <v>0.16</v>
      </c>
    </row>
    <row r="221" spans="11:13" x14ac:dyDescent="0.2">
      <c r="K221" s="77">
        <v>44131</v>
      </c>
      <c r="L221" s="71">
        <v>0.5</v>
      </c>
      <c r="M221" s="71">
        <v>0.16</v>
      </c>
    </row>
    <row r="222" spans="11:13" x14ac:dyDescent="0.2">
      <c r="K222" s="77">
        <v>44132</v>
      </c>
      <c r="L222" s="71">
        <v>0.5</v>
      </c>
      <c r="M222" s="71">
        <v>0.16</v>
      </c>
    </row>
    <row r="223" spans="11:13" x14ac:dyDescent="0.2">
      <c r="K223" s="77">
        <v>44133</v>
      </c>
      <c r="L223" s="71">
        <v>0.5</v>
      </c>
      <c r="M223" s="71">
        <v>0.16</v>
      </c>
    </row>
    <row r="224" spans="11:13" x14ac:dyDescent="0.2">
      <c r="K224" s="77">
        <v>44134</v>
      </c>
      <c r="L224" s="71">
        <v>0.5</v>
      </c>
      <c r="M224" s="71">
        <v>0.16</v>
      </c>
    </row>
    <row r="225" spans="11:13" x14ac:dyDescent="0.2">
      <c r="K225" s="77">
        <v>44135</v>
      </c>
      <c r="L225" s="71">
        <v>0.5</v>
      </c>
      <c r="M225" s="71">
        <v>0.16</v>
      </c>
    </row>
    <row r="226" spans="11:13" x14ac:dyDescent="0.2">
      <c r="K226" s="77">
        <v>44136</v>
      </c>
      <c r="L226" s="71">
        <v>0.5</v>
      </c>
      <c r="M226" s="71">
        <v>0.16</v>
      </c>
    </row>
    <row r="227" spans="11:13" x14ac:dyDescent="0.2">
      <c r="K227" s="77">
        <v>44137</v>
      </c>
      <c r="L227" s="71">
        <v>0.5</v>
      </c>
      <c r="M227" s="71">
        <v>0.16</v>
      </c>
    </row>
    <row r="228" spans="11:13" x14ac:dyDescent="0.2">
      <c r="K228" s="77">
        <v>44138</v>
      </c>
      <c r="L228" s="71">
        <v>0.5</v>
      </c>
      <c r="M228" s="71">
        <v>0.16</v>
      </c>
    </row>
    <row r="229" spans="11:13" x14ac:dyDescent="0.2">
      <c r="K229" s="77">
        <v>44139</v>
      </c>
      <c r="L229" s="71">
        <v>0.5</v>
      </c>
      <c r="M229" s="71">
        <v>0.16</v>
      </c>
    </row>
    <row r="230" spans="11:13" x14ac:dyDescent="0.2">
      <c r="K230" s="77">
        <v>44140</v>
      </c>
      <c r="L230" s="71">
        <v>0.5</v>
      </c>
      <c r="M230" s="71">
        <v>0.16</v>
      </c>
    </row>
    <row r="231" spans="11:13" x14ac:dyDescent="0.2">
      <c r="K231" s="77">
        <v>44141</v>
      </c>
      <c r="L231" s="71">
        <v>0.5</v>
      </c>
      <c r="M231" s="71">
        <v>0.16</v>
      </c>
    </row>
    <row r="232" spans="11:13" x14ac:dyDescent="0.2">
      <c r="K232" s="77">
        <v>44142</v>
      </c>
      <c r="L232" s="71">
        <v>0.5</v>
      </c>
      <c r="M232" s="71">
        <v>0.16</v>
      </c>
    </row>
    <row r="233" spans="11:13" x14ac:dyDescent="0.2">
      <c r="K233" s="77">
        <v>44143</v>
      </c>
      <c r="L233" s="71">
        <v>0.5</v>
      </c>
      <c r="M233" s="71">
        <v>0.16</v>
      </c>
    </row>
    <row r="234" spans="11:13" x14ac:dyDescent="0.2">
      <c r="K234" s="77">
        <v>44144</v>
      </c>
      <c r="L234" s="71">
        <v>0.5</v>
      </c>
      <c r="M234" s="71">
        <v>0.16</v>
      </c>
    </row>
    <row r="235" spans="11:13" x14ac:dyDescent="0.2">
      <c r="K235" s="77">
        <v>44145</v>
      </c>
      <c r="L235" s="71">
        <v>0.5</v>
      </c>
      <c r="M235" s="71">
        <v>0.16</v>
      </c>
    </row>
    <row r="236" spans="11:13" x14ac:dyDescent="0.2">
      <c r="K236" s="77">
        <v>44146</v>
      </c>
      <c r="L236" s="71">
        <v>0.5</v>
      </c>
      <c r="M236" s="71">
        <v>0.16</v>
      </c>
    </row>
    <row r="237" spans="11:13" x14ac:dyDescent="0.2">
      <c r="K237" s="77">
        <v>44147</v>
      </c>
      <c r="L237" s="71">
        <v>0.5</v>
      </c>
      <c r="M237" s="71">
        <v>0.16</v>
      </c>
    </row>
    <row r="238" spans="11:13" x14ac:dyDescent="0.2">
      <c r="K238" s="77">
        <v>44148</v>
      </c>
      <c r="L238" s="71">
        <v>0.5</v>
      </c>
      <c r="M238" s="71">
        <v>0.16</v>
      </c>
    </row>
    <row r="239" spans="11:13" x14ac:dyDescent="0.2">
      <c r="K239" s="77">
        <v>44149</v>
      </c>
      <c r="L239" s="71">
        <v>0.5</v>
      </c>
      <c r="M239" s="71">
        <v>0.16</v>
      </c>
    </row>
    <row r="240" spans="11:13" x14ac:dyDescent="0.2">
      <c r="K240" s="77">
        <v>44150</v>
      </c>
      <c r="L240" s="71">
        <v>0.5</v>
      </c>
      <c r="M240" s="71">
        <v>0.16</v>
      </c>
    </row>
    <row r="241" spans="11:13" x14ac:dyDescent="0.2">
      <c r="K241" s="77">
        <v>44151</v>
      </c>
      <c r="L241" s="71">
        <v>0.5</v>
      </c>
      <c r="M241" s="71">
        <v>0.16</v>
      </c>
    </row>
    <row r="242" spans="11:13" x14ac:dyDescent="0.2">
      <c r="K242" s="77">
        <v>44152</v>
      </c>
      <c r="L242" s="71">
        <v>0.5</v>
      </c>
      <c r="M242" s="71">
        <v>0.16</v>
      </c>
    </row>
    <row r="243" spans="11:13" x14ac:dyDescent="0.2">
      <c r="K243" s="77">
        <v>44153</v>
      </c>
      <c r="L243" s="71">
        <v>0.5</v>
      </c>
      <c r="M243" s="71">
        <v>0.16</v>
      </c>
    </row>
    <row r="244" spans="11:13" x14ac:dyDescent="0.2">
      <c r="K244" s="77">
        <v>44154</v>
      </c>
      <c r="L244" s="71">
        <v>0.5</v>
      </c>
      <c r="M244" s="71">
        <v>0.16</v>
      </c>
    </row>
    <row r="245" spans="11:13" x14ac:dyDescent="0.2">
      <c r="K245" s="77">
        <v>44155</v>
      </c>
      <c r="L245" s="71">
        <v>0.5</v>
      </c>
      <c r="M245" s="71">
        <v>0.16</v>
      </c>
    </row>
    <row r="246" spans="11:13" x14ac:dyDescent="0.2">
      <c r="K246" s="77">
        <v>44156</v>
      </c>
      <c r="L246" s="71">
        <v>0.5</v>
      </c>
      <c r="M246" s="71">
        <v>0.16</v>
      </c>
    </row>
    <row r="247" spans="11:13" x14ac:dyDescent="0.2">
      <c r="K247" s="77">
        <v>44157</v>
      </c>
      <c r="L247" s="71">
        <v>0.5</v>
      </c>
      <c r="M247" s="71">
        <v>0.16</v>
      </c>
    </row>
    <row r="248" spans="11:13" x14ac:dyDescent="0.2">
      <c r="K248" s="77">
        <v>44158</v>
      </c>
      <c r="L248" s="71">
        <v>0.5</v>
      </c>
      <c r="M248" s="71">
        <v>0.16</v>
      </c>
    </row>
    <row r="249" spans="11:13" x14ac:dyDescent="0.2">
      <c r="K249" s="77">
        <v>44159</v>
      </c>
      <c r="L249" s="71">
        <v>0.5</v>
      </c>
      <c r="M249" s="71">
        <v>0.16</v>
      </c>
    </row>
    <row r="250" spans="11:13" x14ac:dyDescent="0.2">
      <c r="K250" s="77">
        <v>44160</v>
      </c>
      <c r="L250" s="71">
        <v>0.5</v>
      </c>
      <c r="M250" s="71">
        <v>0.16</v>
      </c>
    </row>
    <row r="251" spans="11:13" x14ac:dyDescent="0.2">
      <c r="K251" s="77">
        <v>44161</v>
      </c>
      <c r="L251" s="71">
        <v>0.5</v>
      </c>
      <c r="M251" s="71">
        <v>0.16</v>
      </c>
    </row>
    <row r="252" spans="11:13" x14ac:dyDescent="0.2">
      <c r="K252" s="77">
        <v>44162</v>
      </c>
      <c r="L252" s="71">
        <v>0.5</v>
      </c>
      <c r="M252" s="71">
        <v>0.16</v>
      </c>
    </row>
    <row r="253" spans="11:13" x14ac:dyDescent="0.2">
      <c r="K253" s="77">
        <v>44163</v>
      </c>
      <c r="L253" s="71">
        <v>0.5</v>
      </c>
      <c r="M253" s="71">
        <v>0.16</v>
      </c>
    </row>
    <row r="254" spans="11:13" x14ac:dyDescent="0.2">
      <c r="K254" s="77">
        <v>44164</v>
      </c>
      <c r="L254" s="71">
        <v>0.5</v>
      </c>
      <c r="M254" s="71">
        <v>0.16</v>
      </c>
    </row>
    <row r="255" spans="11:13" x14ac:dyDescent="0.2">
      <c r="K255" s="77">
        <v>44165</v>
      </c>
      <c r="L255" s="71">
        <v>0.5</v>
      </c>
      <c r="M255" s="71">
        <v>0.16</v>
      </c>
    </row>
    <row r="256" spans="11:13" x14ac:dyDescent="0.2">
      <c r="K256" s="77">
        <v>44166</v>
      </c>
      <c r="L256" s="71">
        <v>0.5</v>
      </c>
      <c r="M256" s="71">
        <v>0.16</v>
      </c>
    </row>
    <row r="257" spans="11:13" x14ac:dyDescent="0.2">
      <c r="K257" s="77">
        <v>44167</v>
      </c>
      <c r="L257" s="71">
        <v>0.5</v>
      </c>
      <c r="M257" s="71">
        <v>0.16</v>
      </c>
    </row>
    <row r="258" spans="11:13" x14ac:dyDescent="0.2">
      <c r="K258" s="77">
        <v>44168</v>
      </c>
      <c r="L258" s="71">
        <v>0.5</v>
      </c>
      <c r="M258" s="71">
        <v>0.16</v>
      </c>
    </row>
    <row r="259" spans="11:13" x14ac:dyDescent="0.2">
      <c r="K259" s="77">
        <v>44169</v>
      </c>
      <c r="L259" s="71">
        <v>0.5</v>
      </c>
      <c r="M259" s="71">
        <v>0.16</v>
      </c>
    </row>
    <row r="260" spans="11:13" x14ac:dyDescent="0.2">
      <c r="K260" s="77">
        <v>44170</v>
      </c>
      <c r="L260" s="71">
        <v>0.5</v>
      </c>
      <c r="M260" s="71">
        <v>0.16</v>
      </c>
    </row>
    <row r="261" spans="11:13" x14ac:dyDescent="0.2">
      <c r="K261" s="77">
        <v>44171</v>
      </c>
      <c r="L261" s="71">
        <v>0.5</v>
      </c>
      <c r="M261" s="71">
        <v>0.16</v>
      </c>
    </row>
    <row r="262" spans="11:13" x14ac:dyDescent="0.2">
      <c r="K262" s="77">
        <v>44172</v>
      </c>
      <c r="L262" s="71">
        <v>0.5</v>
      </c>
      <c r="M262" s="71">
        <v>0.16</v>
      </c>
    </row>
    <row r="263" spans="11:13" x14ac:dyDescent="0.2">
      <c r="K263" s="77">
        <v>44173</v>
      </c>
      <c r="L263" s="71">
        <v>0.5</v>
      </c>
      <c r="M263" s="71">
        <v>0.16</v>
      </c>
    </row>
    <row r="264" spans="11:13" x14ac:dyDescent="0.2">
      <c r="K264" s="77">
        <v>44174</v>
      </c>
      <c r="L264" s="71">
        <v>0.5</v>
      </c>
      <c r="M264" s="71">
        <v>0.16</v>
      </c>
    </row>
    <row r="265" spans="11:13" x14ac:dyDescent="0.2">
      <c r="K265" s="77">
        <v>44175</v>
      </c>
      <c r="L265" s="71">
        <v>0.5</v>
      </c>
      <c r="M265" s="71">
        <v>0.16</v>
      </c>
    </row>
    <row r="266" spans="11:13" x14ac:dyDescent="0.2">
      <c r="K266" s="77">
        <v>44176</v>
      </c>
      <c r="L266" s="71">
        <v>0.5</v>
      </c>
      <c r="M266" s="71">
        <v>0.16</v>
      </c>
    </row>
    <row r="267" spans="11:13" x14ac:dyDescent="0.2">
      <c r="K267" s="77">
        <v>44177</v>
      </c>
      <c r="L267" s="71">
        <v>0.5</v>
      </c>
      <c r="M267" s="71">
        <v>0.16</v>
      </c>
    </row>
    <row r="268" spans="11:13" x14ac:dyDescent="0.2">
      <c r="K268" s="77">
        <v>44178</v>
      </c>
      <c r="L268" s="71">
        <v>0.5</v>
      </c>
      <c r="M268" s="71">
        <v>0.16</v>
      </c>
    </row>
    <row r="269" spans="11:13" x14ac:dyDescent="0.2">
      <c r="K269" s="77">
        <v>44179</v>
      </c>
      <c r="L269" s="71">
        <v>0.5</v>
      </c>
      <c r="M269" s="71">
        <v>0.16</v>
      </c>
    </row>
    <row r="270" spans="11:13" x14ac:dyDescent="0.2">
      <c r="K270" s="77">
        <v>44180</v>
      </c>
      <c r="L270" s="71">
        <v>0.5</v>
      </c>
      <c r="M270" s="71">
        <v>0.16</v>
      </c>
    </row>
    <row r="271" spans="11:13" x14ac:dyDescent="0.2">
      <c r="K271" s="77">
        <v>44181</v>
      </c>
      <c r="L271" s="71">
        <v>0.5</v>
      </c>
      <c r="M271" s="71">
        <v>0.16</v>
      </c>
    </row>
    <row r="272" spans="11:13" x14ac:dyDescent="0.2">
      <c r="K272" s="77">
        <v>44182</v>
      </c>
      <c r="L272" s="71">
        <v>0.5</v>
      </c>
      <c r="M272" s="71">
        <v>0.16</v>
      </c>
    </row>
    <row r="273" spans="11:13" x14ac:dyDescent="0.2">
      <c r="K273" s="77">
        <v>44183</v>
      </c>
      <c r="L273" s="71">
        <v>0.5</v>
      </c>
      <c r="M273" s="71">
        <v>0.16</v>
      </c>
    </row>
    <row r="274" spans="11:13" x14ac:dyDescent="0.2">
      <c r="K274" s="77">
        <v>44184</v>
      </c>
      <c r="L274" s="71">
        <v>0.5</v>
      </c>
      <c r="M274" s="71">
        <v>0.16</v>
      </c>
    </row>
    <row r="275" spans="11:13" x14ac:dyDescent="0.2">
      <c r="K275" s="77">
        <v>44185</v>
      </c>
      <c r="L275" s="71">
        <v>0.5</v>
      </c>
      <c r="M275" s="71">
        <v>0.16</v>
      </c>
    </row>
    <row r="276" spans="11:13" x14ac:dyDescent="0.2">
      <c r="K276" s="77">
        <v>44186</v>
      </c>
      <c r="L276" s="71">
        <v>0.5</v>
      </c>
      <c r="M276" s="71">
        <v>0.16</v>
      </c>
    </row>
    <row r="277" spans="11:13" x14ac:dyDescent="0.2">
      <c r="K277" s="77">
        <v>44187</v>
      </c>
      <c r="L277" s="71">
        <v>0.5</v>
      </c>
      <c r="M277" s="71">
        <v>0.16</v>
      </c>
    </row>
    <row r="278" spans="11:13" x14ac:dyDescent="0.2">
      <c r="K278" s="77">
        <v>44188</v>
      </c>
      <c r="L278" s="71">
        <v>0.5</v>
      </c>
      <c r="M278" s="71">
        <v>0.16</v>
      </c>
    </row>
    <row r="279" spans="11:13" x14ac:dyDescent="0.2">
      <c r="K279" s="77">
        <v>44189</v>
      </c>
      <c r="L279" s="71">
        <v>0.5</v>
      </c>
      <c r="M279" s="71">
        <v>0.16</v>
      </c>
    </row>
    <row r="280" spans="11:13" x14ac:dyDescent="0.2">
      <c r="K280" s="77">
        <v>44190</v>
      </c>
      <c r="L280" s="71">
        <v>0.5</v>
      </c>
      <c r="M280" s="71">
        <v>0.16</v>
      </c>
    </row>
    <row r="281" spans="11:13" x14ac:dyDescent="0.2">
      <c r="K281" s="77">
        <v>44191</v>
      </c>
      <c r="L281" s="71">
        <v>0.5</v>
      </c>
      <c r="M281" s="71">
        <v>0.16</v>
      </c>
    </row>
    <row r="282" spans="11:13" x14ac:dyDescent="0.2">
      <c r="K282" s="77">
        <v>44192</v>
      </c>
      <c r="L282" s="71">
        <v>0.5</v>
      </c>
      <c r="M282" s="71">
        <v>0.16</v>
      </c>
    </row>
    <row r="283" spans="11:13" x14ac:dyDescent="0.2">
      <c r="K283" s="77">
        <v>44193</v>
      </c>
      <c r="L283" s="71">
        <v>0.5</v>
      </c>
      <c r="M283" s="71">
        <v>0.16</v>
      </c>
    </row>
    <row r="284" spans="11:13" x14ac:dyDescent="0.2">
      <c r="K284" s="77">
        <v>44194</v>
      </c>
      <c r="L284" s="71">
        <v>0.5</v>
      </c>
      <c r="M284" s="71">
        <v>0.16</v>
      </c>
    </row>
    <row r="285" spans="11:13" x14ac:dyDescent="0.2">
      <c r="K285" s="77">
        <v>44195</v>
      </c>
      <c r="L285" s="71">
        <v>0.5</v>
      </c>
      <c r="M285" s="71">
        <v>0.16</v>
      </c>
    </row>
    <row r="286" spans="11:13" x14ac:dyDescent="0.2">
      <c r="K286" s="77">
        <v>44196</v>
      </c>
      <c r="L286" s="71">
        <v>0.5</v>
      </c>
      <c r="M286" s="71">
        <v>0.16</v>
      </c>
    </row>
    <row r="287" spans="11:13" x14ac:dyDescent="0.2">
      <c r="K287" s="77">
        <v>44197</v>
      </c>
      <c r="L287" s="71">
        <v>0.5</v>
      </c>
      <c r="M287" s="71">
        <v>0.16</v>
      </c>
    </row>
    <row r="288" spans="11:13" x14ac:dyDescent="0.2">
      <c r="K288" s="77">
        <v>44198</v>
      </c>
      <c r="L288" s="71">
        <v>0.5</v>
      </c>
      <c r="M288" s="71">
        <v>0.16</v>
      </c>
    </row>
    <row r="289" spans="11:13" x14ac:dyDescent="0.2">
      <c r="K289" s="77">
        <v>44199</v>
      </c>
      <c r="L289" s="71">
        <v>0.5</v>
      </c>
      <c r="M289" s="71">
        <v>0.16</v>
      </c>
    </row>
    <row r="290" spans="11:13" x14ac:dyDescent="0.2">
      <c r="K290" s="77">
        <v>44200</v>
      </c>
      <c r="L290" s="71">
        <v>0.5</v>
      </c>
      <c r="M290" s="71">
        <v>0.16</v>
      </c>
    </row>
    <row r="291" spans="11:13" x14ac:dyDescent="0.2">
      <c r="K291" s="77">
        <v>44201</v>
      </c>
      <c r="L291" s="71">
        <v>0.5</v>
      </c>
      <c r="M291" s="71">
        <v>0.16</v>
      </c>
    </row>
    <row r="292" spans="11:13" x14ac:dyDescent="0.2">
      <c r="K292" s="77">
        <v>44202</v>
      </c>
      <c r="L292" s="71">
        <v>0.5</v>
      </c>
      <c r="M292" s="71">
        <v>0.16</v>
      </c>
    </row>
    <row r="293" spans="11:13" x14ac:dyDescent="0.2">
      <c r="K293" s="77">
        <v>44203</v>
      </c>
      <c r="L293" s="71">
        <v>0.5</v>
      </c>
      <c r="M293" s="71">
        <v>0.16</v>
      </c>
    </row>
    <row r="294" spans="11:13" x14ac:dyDescent="0.2">
      <c r="K294" s="77">
        <v>44204</v>
      </c>
      <c r="L294" s="71">
        <v>0.5</v>
      </c>
      <c r="M294" s="71">
        <v>0.16</v>
      </c>
    </row>
    <row r="295" spans="11:13" x14ac:dyDescent="0.2">
      <c r="K295" s="77">
        <v>44205</v>
      </c>
      <c r="L295" s="71">
        <v>0.5</v>
      </c>
      <c r="M295" s="71">
        <v>0.16</v>
      </c>
    </row>
    <row r="296" spans="11:13" x14ac:dyDescent="0.2">
      <c r="K296" s="77">
        <v>44206</v>
      </c>
      <c r="L296" s="71">
        <v>0.5</v>
      </c>
      <c r="M296" s="71">
        <v>0.16</v>
      </c>
    </row>
    <row r="297" spans="11:13" x14ac:dyDescent="0.2">
      <c r="K297" s="77">
        <v>44207</v>
      </c>
      <c r="L297" s="71">
        <v>0.5</v>
      </c>
      <c r="M297" s="71">
        <v>0.16</v>
      </c>
    </row>
    <row r="298" spans="11:13" x14ac:dyDescent="0.2">
      <c r="K298" s="77">
        <v>44208</v>
      </c>
      <c r="L298" s="71">
        <v>0.5</v>
      </c>
      <c r="M298" s="71">
        <v>0.16</v>
      </c>
    </row>
    <row r="299" spans="11:13" x14ac:dyDescent="0.2">
      <c r="K299" s="77">
        <v>44209</v>
      </c>
      <c r="L299" s="71">
        <v>0.5</v>
      </c>
      <c r="M299" s="71">
        <v>0.16</v>
      </c>
    </row>
    <row r="300" spans="11:13" x14ac:dyDescent="0.2">
      <c r="K300" s="77">
        <v>44210</v>
      </c>
      <c r="L300" s="71">
        <v>0.5</v>
      </c>
      <c r="M300" s="71">
        <v>0.16</v>
      </c>
    </row>
    <row r="301" spans="11:13" x14ac:dyDescent="0.2">
      <c r="K301" s="77">
        <v>44211</v>
      </c>
      <c r="L301" s="71">
        <v>0.5</v>
      </c>
      <c r="M301" s="71">
        <v>0.16</v>
      </c>
    </row>
    <row r="302" spans="11:13" x14ac:dyDescent="0.2">
      <c r="K302" s="77">
        <v>44212</v>
      </c>
      <c r="L302" s="71">
        <v>0.5</v>
      </c>
      <c r="M302" s="71">
        <v>0.16</v>
      </c>
    </row>
    <row r="303" spans="11:13" x14ac:dyDescent="0.2">
      <c r="K303" s="77">
        <v>44213</v>
      </c>
      <c r="L303" s="71">
        <v>0.5</v>
      </c>
      <c r="M303" s="71">
        <v>0.16</v>
      </c>
    </row>
    <row r="304" spans="11:13" x14ac:dyDescent="0.2">
      <c r="K304" s="77">
        <v>44214</v>
      </c>
      <c r="L304" s="71">
        <v>0.5</v>
      </c>
      <c r="M304" s="71">
        <v>0.16</v>
      </c>
    </row>
    <row r="305" spans="11:13" x14ac:dyDescent="0.2">
      <c r="K305" s="77">
        <v>44215</v>
      </c>
      <c r="L305" s="71">
        <v>0.5</v>
      </c>
      <c r="M305" s="71">
        <v>0.16</v>
      </c>
    </row>
    <row r="306" spans="11:13" x14ac:dyDescent="0.2">
      <c r="K306" s="77">
        <v>44216</v>
      </c>
      <c r="L306" s="71">
        <v>0.5</v>
      </c>
      <c r="M306" s="71">
        <v>0.16</v>
      </c>
    </row>
    <row r="307" spans="11:13" x14ac:dyDescent="0.2">
      <c r="K307" s="77">
        <v>44217</v>
      </c>
      <c r="L307" s="71">
        <v>0.5</v>
      </c>
      <c r="M307" s="71">
        <v>0.16</v>
      </c>
    </row>
    <row r="308" spans="11:13" x14ac:dyDescent="0.2">
      <c r="K308" s="77">
        <v>44218</v>
      </c>
      <c r="L308" s="71">
        <v>0.5</v>
      </c>
      <c r="M308" s="71">
        <v>0.16</v>
      </c>
    </row>
    <row r="309" spans="11:13" x14ac:dyDescent="0.2">
      <c r="K309" s="77">
        <v>44219</v>
      </c>
      <c r="L309" s="71">
        <v>0.5</v>
      </c>
      <c r="M309" s="71">
        <v>0.16</v>
      </c>
    </row>
    <row r="310" spans="11:13" x14ac:dyDescent="0.2">
      <c r="K310" s="77">
        <v>44220</v>
      </c>
      <c r="L310" s="71">
        <v>0.5</v>
      </c>
      <c r="M310" s="71">
        <v>0.16</v>
      </c>
    </row>
    <row r="311" spans="11:13" x14ac:dyDescent="0.2">
      <c r="K311" s="77">
        <v>44221</v>
      </c>
      <c r="L311" s="71">
        <v>0.5</v>
      </c>
      <c r="M311" s="71">
        <v>0.16</v>
      </c>
    </row>
    <row r="312" spans="11:13" x14ac:dyDescent="0.2">
      <c r="K312" s="77">
        <v>44222</v>
      </c>
      <c r="L312" s="71">
        <v>0.5</v>
      </c>
      <c r="M312" s="71">
        <v>0.16</v>
      </c>
    </row>
    <row r="313" spans="11:13" x14ac:dyDescent="0.2">
      <c r="K313" s="77">
        <v>44223</v>
      </c>
      <c r="L313" s="71">
        <v>0.5</v>
      </c>
      <c r="M313" s="71">
        <v>0.16</v>
      </c>
    </row>
    <row r="314" spans="11:13" x14ac:dyDescent="0.2">
      <c r="K314" s="77">
        <v>44224</v>
      </c>
      <c r="L314" s="71">
        <v>0.5</v>
      </c>
      <c r="M314" s="71">
        <v>0.16</v>
      </c>
    </row>
    <row r="315" spans="11:13" x14ac:dyDescent="0.2">
      <c r="K315" s="77">
        <v>44225</v>
      </c>
      <c r="L315" s="71">
        <v>0.5</v>
      </c>
      <c r="M315" s="71">
        <v>0.16</v>
      </c>
    </row>
    <row r="316" spans="11:13" x14ac:dyDescent="0.2">
      <c r="K316" s="77">
        <v>44226</v>
      </c>
      <c r="L316" s="71">
        <v>0.5</v>
      </c>
      <c r="M316" s="71">
        <v>0.16</v>
      </c>
    </row>
    <row r="317" spans="11:13" x14ac:dyDescent="0.2">
      <c r="K317" s="77">
        <v>44227</v>
      </c>
      <c r="L317" s="71">
        <v>0.5</v>
      </c>
      <c r="M317" s="71">
        <v>0.16</v>
      </c>
    </row>
    <row r="318" spans="11:13" x14ac:dyDescent="0.2">
      <c r="K318" s="77">
        <v>44228</v>
      </c>
      <c r="L318" s="71">
        <v>0.5</v>
      </c>
      <c r="M318" s="71">
        <v>0.16</v>
      </c>
    </row>
    <row r="319" spans="11:13" x14ac:dyDescent="0.2">
      <c r="K319" s="77">
        <v>44229</v>
      </c>
      <c r="L319" s="71">
        <v>0.5</v>
      </c>
      <c r="M319" s="71">
        <v>0.16</v>
      </c>
    </row>
    <row r="320" spans="11:13" x14ac:dyDescent="0.2">
      <c r="K320" s="77">
        <v>44230</v>
      </c>
      <c r="L320" s="71">
        <v>0.5</v>
      </c>
      <c r="M320" s="71">
        <v>0.16</v>
      </c>
    </row>
    <row r="321" spans="11:13" x14ac:dyDescent="0.2">
      <c r="K321" s="77">
        <v>44231</v>
      </c>
      <c r="L321" s="71">
        <v>0.5</v>
      </c>
      <c r="M321" s="71">
        <v>0.16</v>
      </c>
    </row>
    <row r="322" spans="11:13" x14ac:dyDescent="0.2">
      <c r="K322" s="77">
        <v>44232</v>
      </c>
      <c r="L322" s="71">
        <v>0.5</v>
      </c>
      <c r="M322" s="71">
        <v>0.16</v>
      </c>
    </row>
    <row r="323" spans="11:13" x14ac:dyDescent="0.2">
      <c r="K323" s="77">
        <v>44233</v>
      </c>
      <c r="L323" s="71">
        <v>0.5</v>
      </c>
      <c r="M323" s="71">
        <v>0.16</v>
      </c>
    </row>
    <row r="324" spans="11:13" x14ac:dyDescent="0.2">
      <c r="K324" s="77">
        <v>44234</v>
      </c>
      <c r="L324" s="71">
        <v>0.5</v>
      </c>
      <c r="M324" s="71">
        <v>0.16</v>
      </c>
    </row>
    <row r="325" spans="11:13" x14ac:dyDescent="0.2">
      <c r="K325" s="77">
        <v>44235</v>
      </c>
      <c r="L325" s="71">
        <v>0.5</v>
      </c>
      <c r="M325" s="71">
        <v>0.16</v>
      </c>
    </row>
    <row r="326" spans="11:13" x14ac:dyDescent="0.2">
      <c r="K326" s="77">
        <v>44236</v>
      </c>
      <c r="L326" s="71">
        <v>0.5</v>
      </c>
      <c r="M326" s="71">
        <v>0.16</v>
      </c>
    </row>
    <row r="327" spans="11:13" x14ac:dyDescent="0.2">
      <c r="K327" s="77">
        <v>44237</v>
      </c>
      <c r="L327" s="71">
        <v>0.5</v>
      </c>
      <c r="M327" s="71">
        <v>0.16</v>
      </c>
    </row>
    <row r="328" spans="11:13" x14ac:dyDescent="0.2">
      <c r="K328" s="77">
        <v>44238</v>
      </c>
      <c r="L328" s="71">
        <v>0.5</v>
      </c>
      <c r="M328" s="71">
        <v>0.16</v>
      </c>
    </row>
    <row r="329" spans="11:13" x14ac:dyDescent="0.2">
      <c r="K329" s="77">
        <v>44239</v>
      </c>
      <c r="L329" s="71">
        <v>0.5</v>
      </c>
      <c r="M329" s="71">
        <v>0.16</v>
      </c>
    </row>
    <row r="330" spans="11:13" x14ac:dyDescent="0.2">
      <c r="K330" s="77">
        <v>44240</v>
      </c>
      <c r="L330" s="71">
        <v>0.5</v>
      </c>
      <c r="M330" s="71">
        <v>0.16</v>
      </c>
    </row>
    <row r="331" spans="11:13" x14ac:dyDescent="0.2">
      <c r="K331" s="77">
        <v>44241</v>
      </c>
      <c r="L331" s="71">
        <v>0.5</v>
      </c>
      <c r="M331" s="71">
        <v>0.16</v>
      </c>
    </row>
    <row r="332" spans="11:13" x14ac:dyDescent="0.2">
      <c r="K332" s="77">
        <v>44242</v>
      </c>
      <c r="L332" s="71">
        <v>0.5</v>
      </c>
      <c r="M332" s="71">
        <v>0.16</v>
      </c>
    </row>
    <row r="333" spans="11:13" x14ac:dyDescent="0.2">
      <c r="K333" s="77">
        <v>44243</v>
      </c>
      <c r="L333" s="71">
        <v>0.5</v>
      </c>
      <c r="M333" s="71">
        <v>0.16</v>
      </c>
    </row>
    <row r="334" spans="11:13" x14ac:dyDescent="0.2">
      <c r="K334" s="77">
        <v>44244</v>
      </c>
      <c r="L334" s="71">
        <v>0.5</v>
      </c>
      <c r="M334" s="71">
        <v>0.16</v>
      </c>
    </row>
    <row r="335" spans="11:13" x14ac:dyDescent="0.2">
      <c r="K335" s="77">
        <v>44245</v>
      </c>
      <c r="L335" s="71">
        <v>0.5</v>
      </c>
      <c r="M335" s="71">
        <v>0.16</v>
      </c>
    </row>
    <row r="336" spans="11:13" x14ac:dyDescent="0.2">
      <c r="K336" s="77">
        <v>44246</v>
      </c>
      <c r="L336" s="71">
        <v>0.5</v>
      </c>
      <c r="M336" s="71">
        <v>0.16</v>
      </c>
    </row>
    <row r="337" spans="11:13" x14ac:dyDescent="0.2">
      <c r="K337" s="77">
        <v>44247</v>
      </c>
      <c r="L337" s="71">
        <v>0.5</v>
      </c>
      <c r="M337" s="71">
        <v>0.16</v>
      </c>
    </row>
    <row r="338" spans="11:13" x14ac:dyDescent="0.2">
      <c r="K338" s="77">
        <v>44248</v>
      </c>
      <c r="L338" s="71">
        <v>0.5</v>
      </c>
      <c r="M338" s="71">
        <v>0.16</v>
      </c>
    </row>
    <row r="339" spans="11:13" x14ac:dyDescent="0.2">
      <c r="K339" s="77">
        <v>44249</v>
      </c>
      <c r="L339" s="71">
        <v>0.5</v>
      </c>
      <c r="M339" s="71">
        <v>0.16</v>
      </c>
    </row>
    <row r="340" spans="11:13" x14ac:dyDescent="0.2">
      <c r="K340" s="77">
        <v>44250</v>
      </c>
      <c r="L340" s="71">
        <v>0.5</v>
      </c>
      <c r="M340" s="71">
        <v>0.16</v>
      </c>
    </row>
    <row r="341" spans="11:13" x14ac:dyDescent="0.2">
      <c r="K341" s="77">
        <v>44251</v>
      </c>
      <c r="L341" s="71">
        <v>0.5</v>
      </c>
      <c r="M341" s="71">
        <v>0.16</v>
      </c>
    </row>
    <row r="342" spans="11:13" x14ac:dyDescent="0.2">
      <c r="K342" s="77">
        <v>44252</v>
      </c>
      <c r="L342" s="71">
        <v>0.5</v>
      </c>
      <c r="M342" s="71">
        <v>0.16</v>
      </c>
    </row>
    <row r="343" spans="11:13" x14ac:dyDescent="0.2">
      <c r="K343" s="77">
        <v>44253</v>
      </c>
      <c r="L343" s="71">
        <v>0.5</v>
      </c>
      <c r="M343" s="71">
        <v>0.16</v>
      </c>
    </row>
    <row r="344" spans="11:13" x14ac:dyDescent="0.2">
      <c r="K344" s="77">
        <v>44254</v>
      </c>
      <c r="L344" s="71">
        <v>0.5</v>
      </c>
      <c r="M344" s="71">
        <v>0.16</v>
      </c>
    </row>
    <row r="345" spans="11:13" x14ac:dyDescent="0.2">
      <c r="K345" s="77">
        <v>44255</v>
      </c>
      <c r="L345" s="71">
        <v>0.5</v>
      </c>
      <c r="M345" s="71">
        <v>0.16</v>
      </c>
    </row>
    <row r="346" spans="11:13" x14ac:dyDescent="0.2">
      <c r="K346" s="77">
        <v>44256</v>
      </c>
      <c r="L346" s="71">
        <v>0.5</v>
      </c>
      <c r="M346" s="71">
        <v>0.16</v>
      </c>
    </row>
    <row r="347" spans="11:13" x14ac:dyDescent="0.2">
      <c r="K347" s="77">
        <v>44257</v>
      </c>
      <c r="L347" s="71">
        <v>0.5</v>
      </c>
      <c r="M347" s="71">
        <v>0.16</v>
      </c>
    </row>
    <row r="348" spans="11:13" x14ac:dyDescent="0.2">
      <c r="K348" s="77">
        <v>44258</v>
      </c>
      <c r="L348" s="71">
        <v>0.5</v>
      </c>
      <c r="M348" s="71">
        <v>0.16</v>
      </c>
    </row>
    <row r="349" spans="11:13" x14ac:dyDescent="0.2">
      <c r="K349" s="77">
        <v>44259</v>
      </c>
      <c r="L349" s="71">
        <v>0.5</v>
      </c>
      <c r="M349" s="71">
        <v>0.16</v>
      </c>
    </row>
    <row r="350" spans="11:13" x14ac:dyDescent="0.2">
      <c r="K350" s="77">
        <v>44260</v>
      </c>
      <c r="L350" s="71">
        <v>0.5</v>
      </c>
      <c r="M350" s="71">
        <v>0.16</v>
      </c>
    </row>
    <row r="351" spans="11:13" x14ac:dyDescent="0.2">
      <c r="K351" s="77">
        <v>44261</v>
      </c>
      <c r="L351" s="71">
        <v>0.5</v>
      </c>
      <c r="M351" s="71">
        <v>0.16</v>
      </c>
    </row>
    <row r="352" spans="11:13" x14ac:dyDescent="0.2">
      <c r="K352" s="77">
        <v>44262</v>
      </c>
      <c r="L352" s="71">
        <v>0.5</v>
      </c>
      <c r="M352" s="71">
        <v>0.16</v>
      </c>
    </row>
    <row r="353" spans="11:13" x14ac:dyDescent="0.2">
      <c r="K353" s="77">
        <v>44263</v>
      </c>
      <c r="L353" s="71">
        <v>0.5</v>
      </c>
      <c r="M353" s="71">
        <v>0.16</v>
      </c>
    </row>
    <row r="354" spans="11:13" x14ac:dyDescent="0.2">
      <c r="K354" s="77">
        <v>44264</v>
      </c>
      <c r="L354" s="71">
        <v>0.5</v>
      </c>
      <c r="M354" s="71">
        <v>0.16</v>
      </c>
    </row>
    <row r="355" spans="11:13" x14ac:dyDescent="0.2">
      <c r="K355" s="77">
        <v>44265</v>
      </c>
      <c r="L355" s="71">
        <v>0.5</v>
      </c>
      <c r="M355" s="71">
        <v>0.16</v>
      </c>
    </row>
    <row r="356" spans="11:13" x14ac:dyDescent="0.2">
      <c r="K356" s="77">
        <v>44266</v>
      </c>
      <c r="L356" s="71">
        <v>0.5</v>
      </c>
      <c r="M356" s="71">
        <v>0.16</v>
      </c>
    </row>
    <row r="357" spans="11:13" x14ac:dyDescent="0.2">
      <c r="K357" s="77">
        <v>44267</v>
      </c>
      <c r="L357" s="71">
        <v>0.5</v>
      </c>
      <c r="M357" s="71">
        <v>0.16</v>
      </c>
    </row>
    <row r="358" spans="11:13" x14ac:dyDescent="0.2">
      <c r="K358" s="77">
        <v>44268</v>
      </c>
      <c r="L358" s="71">
        <v>0.5</v>
      </c>
      <c r="M358" s="71">
        <v>0.16</v>
      </c>
    </row>
    <row r="359" spans="11:13" x14ac:dyDescent="0.2">
      <c r="K359" s="77">
        <v>44269</v>
      </c>
      <c r="L359" s="71">
        <v>0.5</v>
      </c>
      <c r="M359" s="71">
        <v>0.16</v>
      </c>
    </row>
    <row r="360" spans="11:13" x14ac:dyDescent="0.2">
      <c r="K360" s="77">
        <v>44270</v>
      </c>
      <c r="L360" s="71">
        <v>0.5</v>
      </c>
      <c r="M360" s="71">
        <v>0.16</v>
      </c>
    </row>
    <row r="361" spans="11:13" x14ac:dyDescent="0.2">
      <c r="K361" s="77">
        <v>44271</v>
      </c>
      <c r="L361" s="71">
        <v>0.5</v>
      </c>
      <c r="M361" s="71">
        <v>0.16</v>
      </c>
    </row>
    <row r="362" spans="11:13" x14ac:dyDescent="0.2">
      <c r="K362" s="77">
        <v>44272</v>
      </c>
      <c r="L362" s="71">
        <v>0.5</v>
      </c>
      <c r="M362" s="71">
        <v>0.16</v>
      </c>
    </row>
    <row r="363" spans="11:13" x14ac:dyDescent="0.2">
      <c r="K363" s="77">
        <v>44273</v>
      </c>
      <c r="L363" s="71">
        <v>0.5</v>
      </c>
      <c r="M363" s="71">
        <v>0.16</v>
      </c>
    </row>
    <row r="364" spans="11:13" x14ac:dyDescent="0.2">
      <c r="K364" s="77">
        <v>44274</v>
      </c>
      <c r="L364" s="71">
        <v>0.5</v>
      </c>
      <c r="M364" s="71">
        <v>0.16</v>
      </c>
    </row>
    <row r="365" spans="11:13" x14ac:dyDescent="0.2">
      <c r="K365" s="77">
        <v>44275</v>
      </c>
      <c r="L365" s="71">
        <v>0.5</v>
      </c>
      <c r="M365" s="71">
        <v>0.16</v>
      </c>
    </row>
    <row r="366" spans="11:13" x14ac:dyDescent="0.2">
      <c r="K366" s="77">
        <v>44276</v>
      </c>
      <c r="L366" s="71">
        <v>0.5</v>
      </c>
      <c r="M366" s="71">
        <v>0.16</v>
      </c>
    </row>
    <row r="367" spans="11:13" x14ac:dyDescent="0.2">
      <c r="K367" s="77">
        <v>44277</v>
      </c>
      <c r="L367" s="71">
        <v>0.5</v>
      </c>
      <c r="M367" s="71">
        <v>0.16</v>
      </c>
    </row>
    <row r="368" spans="11:13" x14ac:dyDescent="0.2">
      <c r="K368" s="77">
        <v>44278</v>
      </c>
      <c r="L368" s="71">
        <v>0.5</v>
      </c>
      <c r="M368" s="71">
        <v>0.16</v>
      </c>
    </row>
    <row r="369" spans="11:13" x14ac:dyDescent="0.2">
      <c r="K369" s="77">
        <v>44279</v>
      </c>
      <c r="L369" s="71">
        <v>0.5</v>
      </c>
      <c r="M369" s="71">
        <v>0.16</v>
      </c>
    </row>
    <row r="370" spans="11:13" x14ac:dyDescent="0.2">
      <c r="K370" s="77">
        <v>44280</v>
      </c>
      <c r="L370" s="71">
        <v>0.5</v>
      </c>
      <c r="M370" s="71">
        <v>0.16</v>
      </c>
    </row>
    <row r="371" spans="11:13" x14ac:dyDescent="0.2">
      <c r="K371" s="77">
        <v>44281</v>
      </c>
      <c r="L371" s="71">
        <v>0.5</v>
      </c>
      <c r="M371" s="71">
        <v>0.16</v>
      </c>
    </row>
    <row r="372" spans="11:13" x14ac:dyDescent="0.2">
      <c r="K372" s="77">
        <v>44282</v>
      </c>
      <c r="L372" s="71">
        <v>0.5</v>
      </c>
      <c r="M372" s="71">
        <v>0.16</v>
      </c>
    </row>
    <row r="373" spans="11:13" x14ac:dyDescent="0.2">
      <c r="K373" s="77">
        <v>44283</v>
      </c>
      <c r="L373" s="71">
        <v>0.5</v>
      </c>
      <c r="M373" s="71">
        <v>0.16</v>
      </c>
    </row>
    <row r="374" spans="11:13" x14ac:dyDescent="0.2">
      <c r="K374" s="77">
        <v>44284</v>
      </c>
      <c r="L374" s="71">
        <v>0.5</v>
      </c>
      <c r="M374" s="71">
        <v>0.16</v>
      </c>
    </row>
    <row r="375" spans="11:13" x14ac:dyDescent="0.2">
      <c r="K375" s="77">
        <v>44285</v>
      </c>
      <c r="L375" s="71">
        <v>0.5</v>
      </c>
      <c r="M375" s="71">
        <v>0.16</v>
      </c>
    </row>
    <row r="376" spans="11:13" x14ac:dyDescent="0.2">
      <c r="K376" s="77">
        <v>44286</v>
      </c>
      <c r="L376" s="71">
        <v>0.5</v>
      </c>
      <c r="M376" s="71">
        <v>0.16</v>
      </c>
    </row>
    <row r="377" spans="11:13" x14ac:dyDescent="0.2">
      <c r="K377" s="77">
        <v>44287</v>
      </c>
      <c r="L377" s="71">
        <v>0.5</v>
      </c>
      <c r="M377" s="71">
        <v>0.16</v>
      </c>
    </row>
    <row r="378" spans="11:13" x14ac:dyDescent="0.2">
      <c r="K378" s="77">
        <v>44288</v>
      </c>
      <c r="L378" s="71">
        <v>0.5</v>
      </c>
      <c r="M378" s="71">
        <v>0.16</v>
      </c>
    </row>
    <row r="379" spans="11:13" x14ac:dyDescent="0.2">
      <c r="K379" s="77">
        <v>44289</v>
      </c>
      <c r="L379" s="71">
        <v>0.5</v>
      </c>
      <c r="M379" s="71">
        <v>0.16</v>
      </c>
    </row>
    <row r="380" spans="11:13" x14ac:dyDescent="0.2">
      <c r="K380" s="77">
        <v>44290</v>
      </c>
      <c r="L380" s="71">
        <v>0.5</v>
      </c>
      <c r="M380" s="71">
        <v>0.16</v>
      </c>
    </row>
    <row r="381" spans="11:13" x14ac:dyDescent="0.2">
      <c r="K381" s="77">
        <v>44291</v>
      </c>
      <c r="L381" s="71">
        <v>0.5</v>
      </c>
      <c r="M381" s="71">
        <v>0.16</v>
      </c>
    </row>
    <row r="382" spans="11:13" x14ac:dyDescent="0.2">
      <c r="K382" s="77">
        <v>44292</v>
      </c>
      <c r="L382" s="71">
        <v>0.5</v>
      </c>
      <c r="M382" s="71">
        <v>0.16</v>
      </c>
    </row>
    <row r="383" spans="11:13" x14ac:dyDescent="0.2">
      <c r="K383" s="77">
        <v>44293</v>
      </c>
      <c r="L383" s="71">
        <v>0.5</v>
      </c>
      <c r="M383" s="71">
        <v>0.16</v>
      </c>
    </row>
    <row r="384" spans="11:13" x14ac:dyDescent="0.2">
      <c r="K384" s="77">
        <v>44294</v>
      </c>
      <c r="L384" s="71">
        <v>0.5</v>
      </c>
      <c r="M384" s="71">
        <v>0.16</v>
      </c>
    </row>
    <row r="385" spans="11:13" x14ac:dyDescent="0.2">
      <c r="K385" s="77">
        <v>44295</v>
      </c>
      <c r="L385" s="71">
        <v>0.5</v>
      </c>
      <c r="M385" s="71">
        <v>0.16</v>
      </c>
    </row>
    <row r="386" spans="11:13" x14ac:dyDescent="0.2">
      <c r="K386" s="77">
        <v>44296</v>
      </c>
      <c r="L386" s="71">
        <v>0.5</v>
      </c>
      <c r="M386" s="71">
        <v>0.16</v>
      </c>
    </row>
    <row r="387" spans="11:13" x14ac:dyDescent="0.2">
      <c r="K387" s="77">
        <v>44297</v>
      </c>
      <c r="L387" s="71">
        <v>0.5</v>
      </c>
      <c r="M387" s="71">
        <v>0.16</v>
      </c>
    </row>
    <row r="388" spans="11:13" x14ac:dyDescent="0.2">
      <c r="K388" s="77">
        <v>44298</v>
      </c>
      <c r="L388" s="71">
        <v>0.5</v>
      </c>
      <c r="M388" s="71">
        <v>0.16</v>
      </c>
    </row>
    <row r="389" spans="11:13" x14ac:dyDescent="0.2">
      <c r="K389" s="77">
        <v>44299</v>
      </c>
      <c r="L389" s="71">
        <v>0.5</v>
      </c>
      <c r="M389" s="71">
        <v>0.16</v>
      </c>
    </row>
    <row r="390" spans="11:13" x14ac:dyDescent="0.2">
      <c r="K390" s="77">
        <v>44300</v>
      </c>
      <c r="L390" s="71">
        <v>0.5</v>
      </c>
      <c r="M390" s="71">
        <v>0.16</v>
      </c>
    </row>
    <row r="391" spans="11:13" x14ac:dyDescent="0.2">
      <c r="K391" s="77">
        <v>44301</v>
      </c>
      <c r="L391" s="71">
        <v>0.5</v>
      </c>
      <c r="M391" s="71">
        <v>0.16</v>
      </c>
    </row>
    <row r="392" spans="11:13" x14ac:dyDescent="0.2">
      <c r="K392" s="77">
        <v>44302</v>
      </c>
      <c r="L392" s="71">
        <v>0.5</v>
      </c>
      <c r="M392" s="71">
        <v>0.16</v>
      </c>
    </row>
    <row r="393" spans="11:13" x14ac:dyDescent="0.2">
      <c r="K393" s="77">
        <v>44303</v>
      </c>
      <c r="L393" s="71">
        <v>0.5</v>
      </c>
      <c r="M393" s="71">
        <v>0.16</v>
      </c>
    </row>
    <row r="394" spans="11:13" x14ac:dyDescent="0.2">
      <c r="K394" s="77">
        <v>44304</v>
      </c>
      <c r="L394" s="71">
        <v>0.5</v>
      </c>
      <c r="M394" s="71">
        <v>0.16</v>
      </c>
    </row>
    <row r="395" spans="11:13" x14ac:dyDescent="0.2">
      <c r="K395" s="77">
        <v>44305</v>
      </c>
      <c r="L395" s="71">
        <v>0.5</v>
      </c>
      <c r="M395" s="71">
        <v>0.16</v>
      </c>
    </row>
    <row r="396" spans="11:13" x14ac:dyDescent="0.2">
      <c r="K396" s="77">
        <v>44306</v>
      </c>
      <c r="L396" s="71">
        <v>0.5</v>
      </c>
      <c r="M396" s="71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N24" sqref="N2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M16" sqref="M16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1" t="s">
        <v>15</v>
      </c>
      <c r="D5" s="24"/>
      <c r="E5" s="17"/>
      <c r="F5" s="18"/>
      <c r="G5" s="42" t="s">
        <v>14</v>
      </c>
      <c r="H5" s="22"/>
      <c r="I5" s="21"/>
    </row>
    <row r="6" spans="1:12" ht="86" customHeight="1" x14ac:dyDescent="0.85">
      <c r="A6" s="17"/>
      <c r="B6" s="24"/>
      <c r="C6" s="60">
        <f ca="1">compute!T9</f>
        <v>21019</v>
      </c>
      <c r="D6" s="24"/>
      <c r="E6" s="17"/>
      <c r="F6" s="18"/>
      <c r="G6" s="35">
        <f ca="1">compute!T12</f>
        <v>175158.33333333334</v>
      </c>
      <c r="H6" s="22"/>
      <c r="I6" s="21"/>
    </row>
    <row r="7" spans="1:12" s="51" customFormat="1" ht="35" customHeight="1" x14ac:dyDescent="0.2">
      <c r="A7" s="44"/>
      <c r="B7" s="45"/>
      <c r="C7" s="46" t="s">
        <v>12</v>
      </c>
      <c r="D7" s="45"/>
      <c r="E7" s="44"/>
      <c r="F7" s="47"/>
      <c r="G7" s="48" t="s">
        <v>13</v>
      </c>
      <c r="H7" s="49"/>
      <c r="I7" s="50"/>
    </row>
    <row r="8" spans="1:12" s="51" customFormat="1" ht="37" customHeight="1" x14ac:dyDescent="0.2">
      <c r="A8" s="44"/>
      <c r="B8" s="45"/>
      <c r="C8" s="46" t="str">
        <f ca="1">compute!U39</f>
        <v>doubing in 12.6 days</v>
      </c>
      <c r="D8" s="45"/>
      <c r="E8" s="44"/>
      <c r="F8" s="47"/>
      <c r="G8" s="48" t="str">
        <f ca="1">compute!U41</f>
        <v>+5.6% per day</v>
      </c>
      <c r="H8" s="49"/>
      <c r="I8" s="50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2" t="s">
        <v>14</v>
      </c>
      <c r="D12" s="18"/>
      <c r="E12" s="17"/>
      <c r="F12" s="18"/>
      <c r="G12" s="42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3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compute!T15</f>
        <v>6.8053664123199483E-3</v>
      </c>
      <c r="D14" s="18"/>
      <c r="E14" s="17"/>
      <c r="F14" s="18"/>
      <c r="G14" s="19">
        <f ca="1">compute!T18</f>
        <v>175.1699781830045</v>
      </c>
      <c r="H14" s="22"/>
      <c r="I14" s="21"/>
    </row>
    <row r="15" spans="1:12" ht="32" customHeight="1" x14ac:dyDescent="0.2">
      <c r="A15" s="17"/>
      <c r="B15" s="18"/>
      <c r="C15" s="48" t="s">
        <v>17</v>
      </c>
      <c r="D15" s="18"/>
      <c r="E15" s="17"/>
      <c r="F15" s="18"/>
      <c r="G15" s="48" t="s">
        <v>18</v>
      </c>
      <c r="H15" s="22"/>
      <c r="I15" s="21"/>
    </row>
    <row r="16" spans="1:12" ht="40" customHeight="1" x14ac:dyDescent="0.3">
      <c r="A16" s="17"/>
      <c r="B16" s="18"/>
      <c r="C16" s="43" t="s">
        <v>13</v>
      </c>
      <c r="D16" s="18"/>
      <c r="E16" s="17"/>
      <c r="F16" s="18"/>
      <c r="G16" s="43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8"/>
      <c r="B19" s="78"/>
      <c r="C19" s="78"/>
      <c r="D19" s="78"/>
      <c r="E19" s="78"/>
      <c r="F19" s="78"/>
      <c r="G19" s="78"/>
      <c r="H19" s="79"/>
      <c r="I19" s="79"/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W43"/>
  <sheetViews>
    <sheetView workbookViewId="0">
      <selection sqref="A1:B26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6" customWidth="1"/>
    <col min="4" max="4" width="12.5" style="28" customWidth="1"/>
    <col min="5" max="5" width="11.1640625" style="40" customWidth="1"/>
    <col min="6" max="6" width="11.1640625" style="80" customWidth="1"/>
    <col min="7" max="7" width="16.6640625" style="80" customWidth="1"/>
    <col min="8" max="8" width="15.6640625" style="80" customWidth="1"/>
    <col min="9" max="9" width="11.6640625" style="80" customWidth="1"/>
    <col min="10" max="10" width="10.6640625" style="80" customWidth="1"/>
    <col min="11" max="12" width="15.83203125" style="28" customWidth="1"/>
    <col min="13" max="13" width="12.6640625" style="16" customWidth="1"/>
    <col min="14" max="14" width="12.83203125" style="28" customWidth="1"/>
    <col min="15" max="15" width="14" customWidth="1"/>
    <col min="16" max="16" width="15.33203125" customWidth="1"/>
    <col min="17" max="17" width="11.5" style="4" customWidth="1"/>
    <col min="18" max="18" width="8.1640625" style="4" customWidth="1"/>
    <col min="19" max="20" width="18.1640625" style="3" customWidth="1"/>
    <col min="21" max="21" width="87.83203125" customWidth="1"/>
  </cols>
  <sheetData>
    <row r="1" spans="1:23" x14ac:dyDescent="0.2">
      <c r="A1" s="9" t="s">
        <v>40</v>
      </c>
      <c r="B1" s="9" t="s">
        <v>47</v>
      </c>
      <c r="C1" s="72"/>
    </row>
    <row r="2" spans="1:23" ht="17" x14ac:dyDescent="0.2">
      <c r="A2" s="9" t="s">
        <v>41</v>
      </c>
      <c r="B2" s="62">
        <v>21477737</v>
      </c>
      <c r="C2" s="73"/>
    </row>
    <row r="3" spans="1:23" x14ac:dyDescent="0.2">
      <c r="A3" s="9" t="s">
        <v>43</v>
      </c>
      <c r="B3" s="12" t="s">
        <v>35</v>
      </c>
      <c r="C3" s="72"/>
    </row>
    <row r="4" spans="1:23" s="2" customFormat="1" ht="81" customHeight="1" thickBot="1" x14ac:dyDescent="0.25">
      <c r="A4" s="63" t="s">
        <v>0</v>
      </c>
      <c r="B4" s="64" t="s">
        <v>1</v>
      </c>
      <c r="C4" s="74" t="s">
        <v>52</v>
      </c>
      <c r="D4" s="52" t="s">
        <v>31</v>
      </c>
      <c r="E4" s="38" t="s">
        <v>39</v>
      </c>
      <c r="F4" s="81" t="s">
        <v>58</v>
      </c>
      <c r="G4" s="81" t="s">
        <v>60</v>
      </c>
      <c r="H4" s="81" t="s">
        <v>61</v>
      </c>
      <c r="I4" s="81" t="s">
        <v>6</v>
      </c>
      <c r="J4" s="81" t="s">
        <v>4</v>
      </c>
      <c r="K4" s="25" t="s">
        <v>56</v>
      </c>
      <c r="L4" s="25" t="s">
        <v>57</v>
      </c>
      <c r="M4" s="13" t="s">
        <v>8</v>
      </c>
      <c r="N4" s="25" t="s">
        <v>9</v>
      </c>
      <c r="O4" s="6" t="s">
        <v>2</v>
      </c>
      <c r="P4" s="6" t="s">
        <v>3</v>
      </c>
      <c r="Q4" s="7" t="s">
        <v>7</v>
      </c>
      <c r="R4" s="7" t="s">
        <v>5</v>
      </c>
      <c r="S4" s="10" t="s">
        <v>10</v>
      </c>
      <c r="T4" s="10" t="s">
        <v>21</v>
      </c>
      <c r="U4" s="30" t="s">
        <v>20</v>
      </c>
    </row>
    <row r="5" spans="1:23" ht="17" x14ac:dyDescent="0.2">
      <c r="A5" s="8">
        <v>43913</v>
      </c>
      <c r="B5" s="57">
        <v>1147</v>
      </c>
      <c r="C5" s="75">
        <f>Table2[[#This Row],[cases]]/$B$2</f>
        <v>5.3404136571744032E-5</v>
      </c>
      <c r="D5" s="26" t="e">
        <f>(Table2[[#This Row],[cases]]-B4)/B4</f>
        <v>#VALUE!</v>
      </c>
      <c r="E5" s="39" t="e">
        <f t="shared" ref="E5:E21" si="0">(LN(2)/LN(B5/B4))</f>
        <v>#VALUE!</v>
      </c>
      <c r="F5" s="82">
        <f>Table2[[#This Row],[cases]]*100/$S$19</f>
        <v>9558.3333333333339</v>
      </c>
      <c r="G5" s="57">
        <f>Table2[[#This Row],[cases]]*100/$S$13</f>
        <v>4248.1481481481478</v>
      </c>
      <c r="H5" s="57">
        <f>Table2[[#This Row],[cases]]*100/$S$16</f>
        <v>11704.08163265306</v>
      </c>
      <c r="I5" s="57">
        <f>Table2[[#This Row],[infection count, high end of estimate range]]-Table2[[#This Row],[infection count, low end of estimate range]]</f>
        <v>7455.9334845049125</v>
      </c>
      <c r="J5" s="57">
        <f>(Table2[[#This Row],[infection count, low end of estimate range]]+Table2[[#This Row],[infection count, high end of estimate range]])/2</f>
        <v>7976.1148904006041</v>
      </c>
      <c r="K5" s="26">
        <f>Table2[[#This Row],[infection count, low end of estimate range]]/$S$6</f>
        <v>1.9779309841386677E-4</v>
      </c>
      <c r="L5" s="26">
        <f>Table2[[#This Row],[infection count, high end of estimate range]]/$S$6</f>
        <v>5.4494016909942885E-4</v>
      </c>
      <c r="M5" s="14">
        <f>Table2[[#This Row],[infection percentage, high end of estimate range]]-Table2[[#This Row],[infection percentage, low end of estimate range]]</f>
        <v>3.4714707068556207E-4</v>
      </c>
      <c r="N5" s="26">
        <f>(Table2[[#This Row],[infection percentage, low end of estimate range]]+Table2[[#This Row],[infection percentage, high end of estimate range]])/2</f>
        <v>3.7136663375664778E-4</v>
      </c>
      <c r="O5" s="12">
        <f>$S$6/(Table2[[#This Row],[cases]]*5)</f>
        <v>3745.0282476024413</v>
      </c>
      <c r="P5" s="12">
        <f>$S$6/(Table2[[#This Row],[cases]]*7)</f>
        <v>2675.0201768588863</v>
      </c>
      <c r="Q5" s="3">
        <f>Table2[[#This Row],[1-in-X odds, estimating 5x cases infected]]-Table2[[#This Row],[1-in-X odds, estimating 7x cases infected]]</f>
        <v>1070.008070743555</v>
      </c>
      <c r="R5" s="5">
        <f>(Table2[[#This Row],[1-in-X odds, estimating 5x cases infected]]+Table2[[#This Row],[1-in-X odds, estimating 7x cases infected]])/2</f>
        <v>3210.0242122306636</v>
      </c>
      <c r="S5" s="11" t="s">
        <v>11</v>
      </c>
      <c r="T5" s="11" t="s">
        <v>26</v>
      </c>
      <c r="U5" s="3"/>
      <c r="W5" s="1" t="s">
        <v>46</v>
      </c>
    </row>
    <row r="6" spans="1:23" x14ac:dyDescent="0.2">
      <c r="A6" s="8">
        <v>43914</v>
      </c>
      <c r="B6" s="57">
        <v>1379</v>
      </c>
      <c r="C6" s="72">
        <f>Table2[[#This Row],[cases]]/$B$2</f>
        <v>6.4206019470300807E-5</v>
      </c>
      <c r="D6" s="26">
        <f>(Table2[[#This Row],[cases]]-B5)/B5</f>
        <v>0.20226678291194419</v>
      </c>
      <c r="E6" s="39">
        <f t="shared" si="0"/>
        <v>3.7628350468331795</v>
      </c>
      <c r="F6" s="82">
        <f>Table2[[#This Row],[cases]]*100/$S$19</f>
        <v>11491.666666666666</v>
      </c>
      <c r="G6" s="57">
        <f>Table2[[#This Row],[cases]]*100/$S$13</f>
        <v>5107.4074074074078</v>
      </c>
      <c r="H6" s="57">
        <f>Table2[[#This Row],[cases]]*100/$S$16</f>
        <v>14071.428571428571</v>
      </c>
      <c r="I6" s="57">
        <f>Table2[[#This Row],[infection count, high end of estimate range]]-Table2[[#This Row],[infection count, low end of estimate range]]</f>
        <v>8964.0211640211637</v>
      </c>
      <c r="J6" s="57">
        <f>(Table2[[#This Row],[infection count, low end of estimate range]]+Table2[[#This Row],[infection count, high end of estimate range]])/2</f>
        <v>9589.4179894179888</v>
      </c>
      <c r="K6" s="26">
        <f>Table2[[#This Row],[infection count, low end of estimate range]]/$S$6</f>
        <v>2.3780007211222521E-4</v>
      </c>
      <c r="L6" s="26">
        <f>Table2[[#This Row],[infection count, high end of estimate range]]/$S$6</f>
        <v>6.5516346398266127E-4</v>
      </c>
      <c r="M6" s="14">
        <f>Table2[[#This Row],[infection percentage, high end of estimate range]]-Table2[[#This Row],[infection percentage, low end of estimate range]]</f>
        <v>4.1736339187043608E-4</v>
      </c>
      <c r="N6" s="26">
        <f>(Table2[[#This Row],[infection percentage, low end of estimate range]]+Table2[[#This Row],[infection percentage, high end of estimate range]])/2</f>
        <v>4.4648176804744323E-4</v>
      </c>
      <c r="O6" s="12">
        <f>$S$6/(Table2[[#This Row],[cases]]*5)</f>
        <v>3114.9727338651196</v>
      </c>
      <c r="P6" s="12">
        <f>$S$6/(Table2[[#This Row],[cases]]*7)</f>
        <v>2224.980524189371</v>
      </c>
      <c r="Q6" s="3">
        <f>Table2[[#This Row],[1-in-X odds, estimating 5x cases infected]]-Table2[[#This Row],[1-in-X odds, estimating 7x cases infected]]</f>
        <v>889.99220967574865</v>
      </c>
      <c r="R6" s="3">
        <f>(Table2[[#This Row],[1-in-X odds, estimating 5x cases infected]]+Table2[[#This Row],[1-in-X odds, estimating 7x cases infected]])/2</f>
        <v>2669.9766290272455</v>
      </c>
      <c r="S6" s="3">
        <f>B2</f>
        <v>21477737</v>
      </c>
      <c r="T6" s="29">
        <f ca="1">OFFSET(compute!A5,COUNTA(compute!A5:A10004)-1,0)</f>
        <v>43934</v>
      </c>
      <c r="U6" s="3"/>
      <c r="W6" t="str">
        <f>"Number of Confirmed COVID-19 Cases " &amp; B1</f>
        <v>Number of Confirmed COVID-19 Cases Florida</v>
      </c>
    </row>
    <row r="7" spans="1:23" x14ac:dyDescent="0.2">
      <c r="A7" s="8">
        <v>43915</v>
      </c>
      <c r="B7" s="57">
        <v>1867</v>
      </c>
      <c r="C7" s="72">
        <f>Table2[[#This Row],[cases]]/$B$2</f>
        <v>8.6927221429334019E-5</v>
      </c>
      <c r="D7" s="26">
        <f>(Table2[[#This Row],[cases]]-B6)/B6</f>
        <v>0.3538796229151559</v>
      </c>
      <c r="E7" s="39">
        <f t="shared" si="0"/>
        <v>2.2878087643770719</v>
      </c>
      <c r="F7" s="82">
        <f>Table2[[#This Row],[cases]]*100/$S$19</f>
        <v>15558.333333333334</v>
      </c>
      <c r="G7" s="57">
        <f>Table2[[#This Row],[cases]]*100/$S$13</f>
        <v>6914.8148148148148</v>
      </c>
      <c r="H7" s="57">
        <f>Table2[[#This Row],[cases]]*100/$S$16</f>
        <v>19051.020408163266</v>
      </c>
      <c r="I7" s="57">
        <f>Table2[[#This Row],[infection count, high end of estimate range]]-Table2[[#This Row],[infection count, low end of estimate range]]</f>
        <v>12136.205593348452</v>
      </c>
      <c r="J7" s="57">
        <f>(Table2[[#This Row],[infection count, low end of estimate range]]+Table2[[#This Row],[infection count, high end of estimate range]])/2</f>
        <v>12982.91761148904</v>
      </c>
      <c r="K7" s="26">
        <f>Table2[[#This Row],[infection count, low end of estimate range]]/$S$6</f>
        <v>3.2195267196049633E-4</v>
      </c>
      <c r="L7" s="26">
        <f>Table2[[#This Row],[infection count, high end of estimate range]]/$S$6</f>
        <v>8.8701246356463282E-4</v>
      </c>
      <c r="M7" s="14">
        <f>Table2[[#This Row],[infection percentage, high end of estimate range]]-Table2[[#This Row],[infection percentage, low end of estimate range]]</f>
        <v>5.6505979160413654E-4</v>
      </c>
      <c r="N7" s="26">
        <f>(Table2[[#This Row],[infection percentage, low end of estimate range]]+Table2[[#This Row],[infection percentage, high end of estimate range]])/2</f>
        <v>6.0448256776256455E-4</v>
      </c>
      <c r="O7" s="12">
        <f>$S$6/(Table2[[#This Row],[cases]]*5)</f>
        <v>2300.7752544188538</v>
      </c>
      <c r="P7" s="12">
        <f>$S$6/(Table2[[#This Row],[cases]]*7)</f>
        <v>1643.410896013467</v>
      </c>
      <c r="Q7" s="3">
        <f>Table2[[#This Row],[1-in-X odds, estimating 5x cases infected]]-Table2[[#This Row],[1-in-X odds, estimating 7x cases infected]]</f>
        <v>657.36435840538684</v>
      </c>
      <c r="R7" s="3">
        <f>(Table2[[#This Row],[1-in-X odds, estimating 5x cases infected]]+Table2[[#This Row],[1-in-X odds, estimating 7x cases infected]])/2</f>
        <v>1972.0930752161603</v>
      </c>
      <c r="U7" s="3"/>
    </row>
    <row r="8" spans="1:23" x14ac:dyDescent="0.2">
      <c r="A8" s="8">
        <v>43916</v>
      </c>
      <c r="B8" s="57">
        <v>2484</v>
      </c>
      <c r="C8" s="72">
        <f>Table2[[#This Row],[cases]]/$B$2</f>
        <v>1.1565464275868543E-4</v>
      </c>
      <c r="D8" s="26">
        <f>(Table2[[#This Row],[cases]]-B7)/B7</f>
        <v>0.33047670058918049</v>
      </c>
      <c r="E8" s="39">
        <f t="shared" si="0"/>
        <v>2.4275188626684923</v>
      </c>
      <c r="F8" s="82">
        <f>Table2[[#This Row],[cases]]*100/$S$19</f>
        <v>20700</v>
      </c>
      <c r="G8" s="57">
        <f>Table2[[#This Row],[cases]]*100/$S$13</f>
        <v>9200</v>
      </c>
      <c r="H8" s="57">
        <f>Table2[[#This Row],[cases]]*100/$S$16</f>
        <v>25346.938775510203</v>
      </c>
      <c r="I8" s="57">
        <f>Table2[[#This Row],[infection count, high end of estimate range]]-Table2[[#This Row],[infection count, low end of estimate range]]</f>
        <v>16146.938775510203</v>
      </c>
      <c r="J8" s="57">
        <f>(Table2[[#This Row],[infection count, low end of estimate range]]+Table2[[#This Row],[infection count, high end of estimate range]])/2</f>
        <v>17273.469387755104</v>
      </c>
      <c r="K8" s="26">
        <f>Table2[[#This Row],[infection count, low end of estimate range]]/$S$6</f>
        <v>4.2835052873587196E-4</v>
      </c>
      <c r="L8" s="26">
        <f>Table2[[#This Row],[infection count, high end of estimate range]]/$S$6</f>
        <v>1.1801494159049532E-3</v>
      </c>
      <c r="M8" s="14">
        <f>Table2[[#This Row],[infection percentage, high end of estimate range]]-Table2[[#This Row],[infection percentage, low end of estimate range]]</f>
        <v>7.5179888716908117E-4</v>
      </c>
      <c r="N8" s="26">
        <f>(Table2[[#This Row],[infection percentage, low end of estimate range]]+Table2[[#This Row],[infection percentage, high end of estimate range]])/2</f>
        <v>8.042499723204126E-4</v>
      </c>
      <c r="O8" s="12">
        <f>$S$6/(Table2[[#This Row],[cases]]*5)</f>
        <v>1729.2863929146538</v>
      </c>
      <c r="P8" s="12">
        <f>$S$6/(Table2[[#This Row],[cases]]*7)</f>
        <v>1235.2045663676099</v>
      </c>
      <c r="Q8" s="3">
        <f>Table2[[#This Row],[1-in-X odds, estimating 5x cases infected]]-Table2[[#This Row],[1-in-X odds, estimating 7x cases infected]]</f>
        <v>494.08182654704387</v>
      </c>
      <c r="R8" s="3">
        <f>(Table2[[#This Row],[1-in-X odds, estimating 5x cases infected]]+Table2[[#This Row],[1-in-X odds, estimating 7x cases infected]])/2</f>
        <v>1482.2454796411319</v>
      </c>
      <c r="S8" s="34" t="s">
        <v>33</v>
      </c>
      <c r="T8" s="34" t="s">
        <v>25</v>
      </c>
      <c r="U8" s="3"/>
    </row>
    <row r="9" spans="1:23" x14ac:dyDescent="0.2">
      <c r="A9" s="8">
        <v>43917</v>
      </c>
      <c r="B9" s="57">
        <v>3198</v>
      </c>
      <c r="C9" s="72">
        <f>Table2[[#This Row],[cases]]/$B$2</f>
        <v>1.4889836857579549E-4</v>
      </c>
      <c r="D9" s="26">
        <f>(Table2[[#This Row],[cases]]-B8)/B8</f>
        <v>0.28743961352657005</v>
      </c>
      <c r="E9" s="39">
        <f t="shared" si="0"/>
        <v>2.7434483587261567</v>
      </c>
      <c r="F9" s="82">
        <f>Table2[[#This Row],[cases]]*100/$S$19</f>
        <v>26650</v>
      </c>
      <c r="G9" s="57">
        <f>Table2[[#This Row],[cases]]*100/$S$13</f>
        <v>11844.444444444445</v>
      </c>
      <c r="H9" s="57">
        <f>Table2[[#This Row],[cases]]*100/$S$16</f>
        <v>32632.653061224486</v>
      </c>
      <c r="I9" s="57">
        <f>Table2[[#This Row],[infection count, high end of estimate range]]-Table2[[#This Row],[infection count, low end of estimate range]]</f>
        <v>20788.208616780041</v>
      </c>
      <c r="J9" s="57">
        <f>(Table2[[#This Row],[infection count, low end of estimate range]]+Table2[[#This Row],[infection count, high end of estimate range]])/2</f>
        <v>22238.548752834467</v>
      </c>
      <c r="K9" s="26">
        <f>Table2[[#This Row],[infection count, low end of estimate range]]/$S$6</f>
        <v>5.5147543916961295E-4</v>
      </c>
      <c r="L9" s="26">
        <f>Table2[[#This Row],[infection count, high end of estimate range]]/$S$6</f>
        <v>1.5193711079162803E-3</v>
      </c>
      <c r="M9" s="14">
        <f>Table2[[#This Row],[infection percentage, high end of estimate range]]-Table2[[#This Row],[infection percentage, low end of estimate range]]</f>
        <v>9.6789566874666739E-4</v>
      </c>
      <c r="N9" s="26">
        <f>(Table2[[#This Row],[infection percentage, low end of estimate range]]+Table2[[#This Row],[infection percentage, high end of estimate range]])/2</f>
        <v>1.0354232735429467E-3</v>
      </c>
      <c r="O9" s="12">
        <f>$S$6/(Table2[[#This Row],[cases]]*5)</f>
        <v>1343.1980612883051</v>
      </c>
      <c r="P9" s="12">
        <f>$S$6/(Table2[[#This Row],[cases]]*7)</f>
        <v>959.42718663450376</v>
      </c>
      <c r="Q9" s="3">
        <f>Table2[[#This Row],[1-in-X odds, estimating 5x cases infected]]-Table2[[#This Row],[1-in-X odds, estimating 7x cases infected]]</f>
        <v>383.77087465380134</v>
      </c>
      <c r="R9" s="3">
        <f>(Table2[[#This Row],[1-in-X odds, estimating 5x cases infected]]+Table2[[#This Row],[1-in-X odds, estimating 7x cases infected]])/2</f>
        <v>1151.3126239614044</v>
      </c>
      <c r="S9" s="34" t="str">
        <f>B3</f>
        <v>evening</v>
      </c>
      <c r="T9" s="3">
        <f ca="1">OFFSET(compute!B4,COUNTA(compute!B4:B10004)-1,0)</f>
        <v>21019</v>
      </c>
      <c r="U9" s="3"/>
    </row>
    <row r="10" spans="1:23" x14ac:dyDescent="0.2">
      <c r="A10" s="8">
        <v>43918</v>
      </c>
      <c r="B10" s="57">
        <v>4038</v>
      </c>
      <c r="C10" s="72">
        <f>Table2[[#This Row],[cases]]/$B$2</f>
        <v>1.880086342429838E-4</v>
      </c>
      <c r="D10" s="26">
        <f>(Table2[[#This Row],[cases]]-B9)/B9</f>
        <v>0.26266416510318952</v>
      </c>
      <c r="E10" s="39">
        <f t="shared" si="0"/>
        <v>2.9720245835721353</v>
      </c>
      <c r="F10" s="82">
        <f>Table2[[#This Row],[cases]]*100/$S$19</f>
        <v>33650</v>
      </c>
      <c r="G10" s="57">
        <f>Table2[[#This Row],[cases]]*100/$S$13</f>
        <v>14955.555555555555</v>
      </c>
      <c r="H10" s="57">
        <f>Table2[[#This Row],[cases]]*100/$S$16</f>
        <v>41204.081632653055</v>
      </c>
      <c r="I10" s="57">
        <f>Table2[[#This Row],[infection count, high end of estimate range]]-Table2[[#This Row],[infection count, low end of estimate range]]</f>
        <v>26248.5260770975</v>
      </c>
      <c r="J10" s="57">
        <f>(Table2[[#This Row],[infection count, low end of estimate range]]+Table2[[#This Row],[infection count, high end of estimate range]])/2</f>
        <v>28079.818594104305</v>
      </c>
      <c r="K10" s="26">
        <f>Table2[[#This Row],[infection count, low end of estimate range]]/$S$6</f>
        <v>6.9632827497401401E-4</v>
      </c>
      <c r="L10" s="26">
        <f>Table2[[#This Row],[infection count, high end of estimate range]]/$S$6</f>
        <v>1.9184554514590181E-3</v>
      </c>
      <c r="M10" s="14">
        <f>Table2[[#This Row],[infection percentage, high end of estimate range]]-Table2[[#This Row],[infection percentage, low end of estimate range]]</f>
        <v>1.2221271764850041E-3</v>
      </c>
      <c r="N10" s="26">
        <f>(Table2[[#This Row],[infection percentage, low end of estimate range]]+Table2[[#This Row],[infection percentage, high end of estimate range]])/2</f>
        <v>1.307391863216516E-3</v>
      </c>
      <c r="O10" s="12">
        <f>$S$6/(Table2[[#This Row],[cases]]*5)</f>
        <v>1063.7809311540366</v>
      </c>
      <c r="P10" s="12">
        <f>$S$6/(Table2[[#This Row],[cases]]*7)</f>
        <v>759.8435222528833</v>
      </c>
      <c r="Q10" s="3">
        <f>Table2[[#This Row],[1-in-X odds, estimating 5x cases infected]]-Table2[[#This Row],[1-in-X odds, estimating 7x cases infected]]</f>
        <v>303.93740890115328</v>
      </c>
      <c r="R10" s="3">
        <f>(Table2[[#This Row],[1-in-X odds, estimating 5x cases infected]]+Table2[[#This Row],[1-in-X odds, estimating 7x cases infected]])/2</f>
        <v>911.81222670345994</v>
      </c>
      <c r="U10" s="3"/>
    </row>
    <row r="11" spans="1:23" x14ac:dyDescent="0.2">
      <c r="A11" s="8">
        <v>43919</v>
      </c>
      <c r="B11" s="57">
        <v>4950</v>
      </c>
      <c r="C11" s="72">
        <f>Table2[[#This Row],[cases]]/$B$2</f>
        <v>2.304712083959311E-4</v>
      </c>
      <c r="D11" s="26">
        <f>(Table2[[#This Row],[cases]]-B10)/B10</f>
        <v>0.22585438335809807</v>
      </c>
      <c r="E11" s="39">
        <f t="shared" si="0"/>
        <v>3.4038194619745781</v>
      </c>
      <c r="F11" s="82">
        <f>Table2[[#This Row],[cases]]*100/$S$19</f>
        <v>41250</v>
      </c>
      <c r="G11" s="57">
        <f>Table2[[#This Row],[cases]]*100/$S$13</f>
        <v>18333.333333333332</v>
      </c>
      <c r="H11" s="57">
        <f>Table2[[#This Row],[cases]]*100/$S$16</f>
        <v>50510.204081632648</v>
      </c>
      <c r="I11" s="57">
        <f>Table2[[#This Row],[infection count, high end of estimate range]]-Table2[[#This Row],[infection count, low end of estimate range]]</f>
        <v>32176.870748299316</v>
      </c>
      <c r="J11" s="57">
        <f>(Table2[[#This Row],[infection count, low end of estimate range]]+Table2[[#This Row],[infection count, high end of estimate range]])/2</f>
        <v>34421.768707482988</v>
      </c>
      <c r="K11" s="26">
        <f>Table2[[#This Row],[infection count, low end of estimate range]]/$S$6</f>
        <v>8.5359706813307806E-4</v>
      </c>
      <c r="L11" s="26">
        <f>Table2[[#This Row],[infection count, high end of estimate range]]/$S$6</f>
        <v>2.3517470244482763E-3</v>
      </c>
      <c r="M11" s="14">
        <f>Table2[[#This Row],[infection percentage, high end of estimate range]]-Table2[[#This Row],[infection percentage, low end of estimate range]]</f>
        <v>1.4981499563151983E-3</v>
      </c>
      <c r="N11" s="26">
        <f>(Table2[[#This Row],[infection percentage, low end of estimate range]]+Table2[[#This Row],[infection percentage, high end of estimate range]])/2</f>
        <v>1.6026720462906771E-3</v>
      </c>
      <c r="O11" s="12">
        <f>$S$6/(Table2[[#This Row],[cases]]*5)</f>
        <v>867.78735353535353</v>
      </c>
      <c r="P11" s="12">
        <f>$S$6/(Table2[[#This Row],[cases]]*7)</f>
        <v>619.84810966810971</v>
      </c>
      <c r="Q11" s="3">
        <f>Table2[[#This Row],[1-in-X odds, estimating 5x cases infected]]-Table2[[#This Row],[1-in-X odds, estimating 7x cases infected]]</f>
        <v>247.93924386724382</v>
      </c>
      <c r="R11" s="3">
        <f>(Table2[[#This Row],[1-in-X odds, estimating 5x cases infected]]+Table2[[#This Row],[1-in-X odds, estimating 7x cases infected]])/2</f>
        <v>743.81773160173157</v>
      </c>
      <c r="S11" s="3" t="s">
        <v>36</v>
      </c>
      <c r="T11" s="34" t="s">
        <v>27</v>
      </c>
      <c r="U11" s="3"/>
    </row>
    <row r="12" spans="1:23" x14ac:dyDescent="0.2">
      <c r="A12" s="8">
        <v>43920</v>
      </c>
      <c r="B12" s="57">
        <v>5704</v>
      </c>
      <c r="C12" s="72">
        <f>Table2[[#This Row],[cases]]/$B$2</f>
        <v>2.6557732781624059E-4</v>
      </c>
      <c r="D12" s="26">
        <f>(Table2[[#This Row],[cases]]-B11)/B11</f>
        <v>0.15232323232323233</v>
      </c>
      <c r="E12" s="39">
        <f t="shared" si="0"/>
        <v>4.8888888400323909</v>
      </c>
      <c r="F12" s="82">
        <f>Table2[[#This Row],[cases]]*100/$S$19</f>
        <v>47533.333333333336</v>
      </c>
      <c r="G12" s="57">
        <f>Table2[[#This Row],[cases]]*100/$S$13</f>
        <v>21125.925925925927</v>
      </c>
      <c r="H12" s="57">
        <f>Table2[[#This Row],[cases]]*100/$S$16</f>
        <v>58204.081632653055</v>
      </c>
      <c r="I12" s="57">
        <f>Table2[[#This Row],[infection count, high end of estimate range]]-Table2[[#This Row],[infection count, low end of estimate range]]</f>
        <v>37078.155706727128</v>
      </c>
      <c r="J12" s="57">
        <f>(Table2[[#This Row],[infection count, low end of estimate range]]+Table2[[#This Row],[infection count, high end of estimate range]])/2</f>
        <v>39665.003779289487</v>
      </c>
      <c r="K12" s="26">
        <f>Table2[[#This Row],[infection count, low end of estimate range]]/$S$6</f>
        <v>9.8361973265274297E-4</v>
      </c>
      <c r="L12" s="26">
        <f>Table2[[#This Row],[infection count, high end of estimate range]]/$S$6</f>
        <v>2.7099727328187815E-3</v>
      </c>
      <c r="M12" s="14">
        <f>Table2[[#This Row],[infection percentage, high end of estimate range]]-Table2[[#This Row],[infection percentage, low end of estimate range]]</f>
        <v>1.7263530001660385E-3</v>
      </c>
      <c r="N12" s="26">
        <f>(Table2[[#This Row],[infection percentage, low end of estimate range]]+Table2[[#This Row],[infection percentage, high end of estimate range]])/2</f>
        <v>1.8467962327357622E-3</v>
      </c>
      <c r="O12" s="12">
        <f>$S$6/(Table2[[#This Row],[cases]]*5)</f>
        <v>753.07633239831694</v>
      </c>
      <c r="P12" s="12">
        <f>$S$6/(Table2[[#This Row],[cases]]*7)</f>
        <v>537.91166599879784</v>
      </c>
      <c r="Q12" s="3">
        <f>Table2[[#This Row],[1-in-X odds, estimating 5x cases infected]]-Table2[[#This Row],[1-in-X odds, estimating 7x cases infected]]</f>
        <v>215.16466639951909</v>
      </c>
      <c r="R12" s="3">
        <f>(Table2[[#This Row],[1-in-X odds, estimating 5x cases infected]]+Table2[[#This Row],[1-in-X odds, estimating 7x cases infected]])/2</f>
        <v>645.49399919855739</v>
      </c>
      <c r="S12" s="34" t="s">
        <v>37</v>
      </c>
      <c r="T12" s="36">
        <f ca="1">OFFSET(compute!F4,COUNTA(compute!F:F)-1,0)</f>
        <v>175158.33333333334</v>
      </c>
      <c r="U12" s="3"/>
    </row>
    <row r="13" spans="1:23" x14ac:dyDescent="0.2">
      <c r="A13" s="8">
        <v>43921</v>
      </c>
      <c r="B13" s="57">
        <v>6741</v>
      </c>
      <c r="C13" s="72">
        <f>Table2[[#This Row],[cases]]/$B$2</f>
        <v>3.1385988197918618E-4</v>
      </c>
      <c r="D13" s="26">
        <f>(Table2[[#This Row],[cases]]-B12)/B12</f>
        <v>0.1818022440392707</v>
      </c>
      <c r="E13" s="39">
        <f t="shared" si="0"/>
        <v>4.149573131970862</v>
      </c>
      <c r="F13" s="82">
        <f>Table2[[#This Row],[cases]]*100/$S$19</f>
        <v>56175</v>
      </c>
      <c r="G13" s="57">
        <f>Table2[[#This Row],[cases]]*100/$S$13</f>
        <v>24966.666666666668</v>
      </c>
      <c r="H13" s="57">
        <f>Table2[[#This Row],[cases]]*100/$S$16</f>
        <v>68785.714285714275</v>
      </c>
      <c r="I13" s="57">
        <f>Table2[[#This Row],[infection count, high end of estimate range]]-Table2[[#This Row],[infection count, low end of estimate range]]</f>
        <v>43819.047619047604</v>
      </c>
      <c r="J13" s="57">
        <f>(Table2[[#This Row],[infection count, low end of estimate range]]+Table2[[#This Row],[infection count, high end of estimate range]])/2</f>
        <v>46876.190476190473</v>
      </c>
      <c r="K13" s="26">
        <f>Table2[[#This Row],[infection count, low end of estimate range]]/$S$6</f>
        <v>1.1624440073303192E-3</v>
      </c>
      <c r="L13" s="26">
        <f>Table2[[#This Row],[infection count, high end of estimate range]]/$S$6</f>
        <v>3.2026518569304705E-3</v>
      </c>
      <c r="M13" s="14">
        <f>Table2[[#This Row],[infection percentage, high end of estimate range]]-Table2[[#This Row],[infection percentage, low end of estimate range]]</f>
        <v>2.0402078496001511E-3</v>
      </c>
      <c r="N13" s="26">
        <f>(Table2[[#This Row],[infection percentage, low end of estimate range]]+Table2[[#This Row],[infection percentage, high end of estimate range]])/2</f>
        <v>2.182547932130395E-3</v>
      </c>
      <c r="O13" s="12">
        <f>$S$6/(Table2[[#This Row],[cases]]*5)</f>
        <v>637.22702863076699</v>
      </c>
      <c r="P13" s="12">
        <f>$S$6/(Table2[[#This Row],[cases]]*7)</f>
        <v>455.16216330769066</v>
      </c>
      <c r="Q13" s="3">
        <f>Table2[[#This Row],[1-in-X odds, estimating 5x cases infected]]-Table2[[#This Row],[1-in-X odds, estimating 7x cases infected]]</f>
        <v>182.06486532307633</v>
      </c>
      <c r="R13" s="3">
        <f>(Table2[[#This Row],[1-in-X odds, estimating 5x cases infected]]+Table2[[#This Row],[1-in-X odds, estimating 7x cases infected]])/2</f>
        <v>546.19459596922889</v>
      </c>
      <c r="S13" s="3">
        <v>27</v>
      </c>
      <c r="U13" s="3"/>
    </row>
    <row r="14" spans="1:23" x14ac:dyDescent="0.2">
      <c r="A14" s="8">
        <v>43922</v>
      </c>
      <c r="B14" s="57">
        <v>7773</v>
      </c>
      <c r="C14" s="72">
        <f>Table2[[#This Row],[cases]]/$B$2</f>
        <v>3.6190963694173183E-4</v>
      </c>
      <c r="D14" s="26">
        <f>(Table2[[#This Row],[cases]]-B13)/B13</f>
        <v>0.15309301290609703</v>
      </c>
      <c r="E14" s="39">
        <f t="shared" si="0"/>
        <v>4.8659695214796796</v>
      </c>
      <c r="F14" s="82">
        <f>Table2[[#This Row],[cases]]*100/$S$19</f>
        <v>64775</v>
      </c>
      <c r="G14" s="57">
        <f>Table2[[#This Row],[cases]]*100/$S$13</f>
        <v>28788.888888888891</v>
      </c>
      <c r="H14" s="57">
        <f>Table2[[#This Row],[cases]]*100/$S$16</f>
        <v>79316.326530612234</v>
      </c>
      <c r="I14" s="57">
        <f>Table2[[#This Row],[infection count, high end of estimate range]]-Table2[[#This Row],[infection count, low end of estimate range]]</f>
        <v>50527.437641723343</v>
      </c>
      <c r="J14" s="57">
        <f>(Table2[[#This Row],[infection count, low end of estimate range]]+Table2[[#This Row],[infection count, high end of estimate range]])/2</f>
        <v>54052.607709750562</v>
      </c>
      <c r="K14" s="26">
        <f>Table2[[#This Row],[infection count, low end of estimate range]]/$S$6</f>
        <v>1.3404060627471548E-3</v>
      </c>
      <c r="L14" s="26">
        <f>Table2[[#This Row],[infection count, high end of estimate range]]/$S$6</f>
        <v>3.6929554789972628E-3</v>
      </c>
      <c r="M14" s="14">
        <f>Table2[[#This Row],[infection percentage, high end of estimate range]]-Table2[[#This Row],[infection percentage, low end of estimate range]]</f>
        <v>2.352549416250108E-3</v>
      </c>
      <c r="N14" s="26">
        <f>(Table2[[#This Row],[infection percentage, low end of estimate range]]+Table2[[#This Row],[infection percentage, high end of estimate range]])/2</f>
        <v>2.5166807708722088E-3</v>
      </c>
      <c r="O14" s="12">
        <f>$S$6/(Table2[[#This Row],[cases]]*5)</f>
        <v>552.62413482567865</v>
      </c>
      <c r="P14" s="12">
        <f>$S$6/(Table2[[#This Row],[cases]]*7)</f>
        <v>394.73152487548475</v>
      </c>
      <c r="Q14" s="3">
        <f>Table2[[#This Row],[1-in-X odds, estimating 5x cases infected]]-Table2[[#This Row],[1-in-X odds, estimating 7x cases infected]]</f>
        <v>157.8926099501939</v>
      </c>
      <c r="R14" s="3">
        <f>(Table2[[#This Row],[1-in-X odds, estimating 5x cases infected]]+Table2[[#This Row],[1-in-X odds, estimating 7x cases infected]])/2</f>
        <v>473.6778298505817</v>
      </c>
      <c r="T14" s="34" t="s">
        <v>28</v>
      </c>
      <c r="U14" s="3"/>
    </row>
    <row r="15" spans="1:23" x14ac:dyDescent="0.2">
      <c r="A15" s="8">
        <v>43923</v>
      </c>
      <c r="B15" s="57">
        <v>9008</v>
      </c>
      <c r="C15" s="72">
        <f>Table2[[#This Row],[cases]]/$B$2</f>
        <v>4.1941103944051462E-4</v>
      </c>
      <c r="D15" s="26">
        <f>(Table2[[#This Row],[cases]]-B14)/B14</f>
        <v>0.15888331403576483</v>
      </c>
      <c r="E15" s="39">
        <f t="shared" si="0"/>
        <v>4.7006770735803105</v>
      </c>
      <c r="F15" s="82">
        <f>Table2[[#This Row],[cases]]*100/$S$19</f>
        <v>75066.666666666672</v>
      </c>
      <c r="G15" s="57">
        <f>Table2[[#This Row],[cases]]*100/$S$13</f>
        <v>33362.962962962964</v>
      </c>
      <c r="H15" s="57">
        <f>Table2[[#This Row],[cases]]*100/$S$16</f>
        <v>91918.367346938772</v>
      </c>
      <c r="I15" s="57">
        <f>Table2[[#This Row],[infection count, high end of estimate range]]-Table2[[#This Row],[infection count, low end of estimate range]]</f>
        <v>58555.404383975809</v>
      </c>
      <c r="J15" s="57">
        <f>(Table2[[#This Row],[infection count, low end of estimate range]]+Table2[[#This Row],[infection count, high end of estimate range]])/2</f>
        <v>62640.665154950868</v>
      </c>
      <c r="K15" s="26">
        <f>Table2[[#This Row],[infection count, low end of estimate range]]/$S$6</f>
        <v>1.5533742201500542E-3</v>
      </c>
      <c r="L15" s="26">
        <f>Table2[[#This Row],[infection count, high end of estimate range]]/$S$6</f>
        <v>4.2797044840868839E-3</v>
      </c>
      <c r="M15" s="14">
        <f>Table2[[#This Row],[infection percentage, high end of estimate range]]-Table2[[#This Row],[infection percentage, low end of estimate range]]</f>
        <v>2.7263302639368298E-3</v>
      </c>
      <c r="N15" s="26">
        <f>(Table2[[#This Row],[infection percentage, low end of estimate range]]+Table2[[#This Row],[infection percentage, high end of estimate range]])/2</f>
        <v>2.916539352118469E-3</v>
      </c>
      <c r="O15" s="12">
        <f>$S$6/(Table2[[#This Row],[cases]]*5)</f>
        <v>476.85916962699821</v>
      </c>
      <c r="P15" s="12">
        <f>$S$6/(Table2[[#This Row],[cases]]*7)</f>
        <v>340.61369259071301</v>
      </c>
      <c r="Q15" s="3">
        <f>Table2[[#This Row],[1-in-X odds, estimating 5x cases infected]]-Table2[[#This Row],[1-in-X odds, estimating 7x cases infected]]</f>
        <v>136.24547703628519</v>
      </c>
      <c r="R15" s="3">
        <f>(Table2[[#This Row],[1-in-X odds, estimating 5x cases infected]]+Table2[[#This Row],[1-in-X odds, estimating 7x cases infected]])/2</f>
        <v>408.73643110885564</v>
      </c>
      <c r="S15" s="34" t="s">
        <v>38</v>
      </c>
      <c r="T15" s="27">
        <f ca="1">OFFSET(compute!N4,COUNTA(compute!N:N)-1,0)</f>
        <v>6.8053664123199483E-3</v>
      </c>
      <c r="U15" s="3"/>
    </row>
    <row r="16" spans="1:23" x14ac:dyDescent="0.2">
      <c r="A16" s="8">
        <v>43924</v>
      </c>
      <c r="B16" s="57">
        <v>10268</v>
      </c>
      <c r="C16" s="72">
        <f>Table2[[#This Row],[cases]]/$B$2</f>
        <v>4.7807643794129707E-4</v>
      </c>
      <c r="D16" s="26">
        <f>(Table2[[#This Row],[cases]]-B15)/B15</f>
        <v>0.13987566607460036</v>
      </c>
      <c r="E16" s="39">
        <f t="shared" si="0"/>
        <v>5.2944657847913597</v>
      </c>
      <c r="F16" s="82">
        <f>Table2[[#This Row],[cases]]*100/$S$19</f>
        <v>85566.666666666672</v>
      </c>
      <c r="G16" s="57">
        <f>Table2[[#This Row],[cases]]*100/$S$13</f>
        <v>38029.629629629628</v>
      </c>
      <c r="H16" s="57">
        <f>Table2[[#This Row],[cases]]*100/$S$16</f>
        <v>104775.51020408163</v>
      </c>
      <c r="I16" s="57">
        <f>Table2[[#This Row],[infection count, high end of estimate range]]-Table2[[#This Row],[infection count, low end of estimate range]]</f>
        <v>66745.880574451992</v>
      </c>
      <c r="J16" s="57">
        <f>(Table2[[#This Row],[infection count, low end of estimate range]]+Table2[[#This Row],[infection count, high end of estimate range]])/2</f>
        <v>71402.569916855631</v>
      </c>
      <c r="K16" s="26">
        <f>Table2[[#This Row],[infection count, low end of estimate range]]/$S$6</f>
        <v>1.7706534738566558E-3</v>
      </c>
      <c r="L16" s="26">
        <f>Table2[[#This Row],[infection count, high end of estimate range]]/$S$6</f>
        <v>4.8783309994009901E-3</v>
      </c>
      <c r="M16" s="14">
        <f>Table2[[#This Row],[infection percentage, high end of estimate range]]-Table2[[#This Row],[infection percentage, low end of estimate range]]</f>
        <v>3.1076775255443343E-3</v>
      </c>
      <c r="N16" s="26">
        <f>(Table2[[#This Row],[infection percentage, low end of estimate range]]+Table2[[#This Row],[infection percentage, high end of estimate range]])/2</f>
        <v>3.3244922366288229E-3</v>
      </c>
      <c r="O16" s="12">
        <f>$S$6/(Table2[[#This Row],[cases]]*5)</f>
        <v>418.34314374756525</v>
      </c>
      <c r="P16" s="12">
        <f>$S$6/(Table2[[#This Row],[cases]]*7)</f>
        <v>298.8165312482609</v>
      </c>
      <c r="Q16" s="3">
        <f>Table2[[#This Row],[1-in-X odds, estimating 5x cases infected]]-Table2[[#This Row],[1-in-X odds, estimating 7x cases infected]]</f>
        <v>119.52661249930435</v>
      </c>
      <c r="R16" s="3">
        <f>(Table2[[#This Row],[1-in-X odds, estimating 5x cases infected]]+Table2[[#This Row],[1-in-X odds, estimating 7x cases infected]])/2</f>
        <v>358.5798374979131</v>
      </c>
      <c r="S16" s="3">
        <v>9.8000000000000007</v>
      </c>
      <c r="U16" s="3"/>
    </row>
    <row r="17" spans="1:21" x14ac:dyDescent="0.2">
      <c r="A17" s="8">
        <v>43925</v>
      </c>
      <c r="B17" s="57">
        <v>11545</v>
      </c>
      <c r="C17" s="72">
        <f>Table2[[#This Row],[cases]]/$B$2</f>
        <v>5.375333537234393E-4</v>
      </c>
      <c r="D17" s="26">
        <f>(Table2[[#This Row],[cases]]-B16)/B16</f>
        <v>0.12436696532917803</v>
      </c>
      <c r="E17" s="39">
        <f t="shared" si="0"/>
        <v>5.9132069389160344</v>
      </c>
      <c r="F17" s="82">
        <f>Table2[[#This Row],[cases]]*100/$S$19</f>
        <v>96208.333333333328</v>
      </c>
      <c r="G17" s="57">
        <f>Table2[[#This Row],[cases]]*100/$S$13</f>
        <v>42759.259259259263</v>
      </c>
      <c r="H17" s="57">
        <f>Table2[[#This Row],[cases]]*100/$S$16</f>
        <v>117806.12244897959</v>
      </c>
      <c r="I17" s="57">
        <f>Table2[[#This Row],[infection count, high end of estimate range]]-Table2[[#This Row],[infection count, low end of estimate range]]</f>
        <v>75046.863189720316</v>
      </c>
      <c r="J17" s="57">
        <f>(Table2[[#This Row],[infection count, low end of estimate range]]+Table2[[#This Row],[infection count, high end of estimate range]])/2</f>
        <v>80282.690854119428</v>
      </c>
      <c r="K17" s="26">
        <f>Table2[[#This Row],[infection count, low end of estimate range]]/$S$6</f>
        <v>1.9908642730497752E-3</v>
      </c>
      <c r="L17" s="26">
        <f>Table2[[#This Row],[infection count, high end of estimate range]]/$S$6</f>
        <v>5.4850342216677473E-3</v>
      </c>
      <c r="M17" s="14">
        <f>Table2[[#This Row],[infection percentage, high end of estimate range]]-Table2[[#This Row],[infection percentage, low end of estimate range]]</f>
        <v>3.494169948617972E-3</v>
      </c>
      <c r="N17" s="26">
        <f>(Table2[[#This Row],[infection percentage, low end of estimate range]]+Table2[[#This Row],[infection percentage, high end of estimate range]])/2</f>
        <v>3.737949247358761E-3</v>
      </c>
      <c r="O17" s="12">
        <f>$S$6/(Table2[[#This Row],[cases]]*5)</f>
        <v>372.06993503681247</v>
      </c>
      <c r="P17" s="12">
        <f>$S$6/(Table2[[#This Row],[cases]]*7)</f>
        <v>265.7642393120089</v>
      </c>
      <c r="Q17" s="3">
        <f>Table2[[#This Row],[1-in-X odds, estimating 5x cases infected]]-Table2[[#This Row],[1-in-X odds, estimating 7x cases infected]]</f>
        <v>106.30569572480357</v>
      </c>
      <c r="R17" s="3">
        <f>(Table2[[#This Row],[1-in-X odds, estimating 5x cases infected]]+Table2[[#This Row],[1-in-X odds, estimating 7x cases infected]])/2</f>
        <v>318.91708717441065</v>
      </c>
      <c r="T17" s="34" t="s">
        <v>29</v>
      </c>
      <c r="U17" s="3"/>
    </row>
    <row r="18" spans="1:21" x14ac:dyDescent="0.2">
      <c r="A18" s="8">
        <v>43926</v>
      </c>
      <c r="B18" s="57">
        <v>12350</v>
      </c>
      <c r="C18" s="72">
        <f>Table2[[#This Row],[cases]]/$B$2</f>
        <v>5.750140249878281E-4</v>
      </c>
      <c r="D18" s="26">
        <f>(Table2[[#This Row],[cases]]-B17)/B17</f>
        <v>6.9727154612386308E-2</v>
      </c>
      <c r="E18" s="39">
        <f t="shared" si="0"/>
        <v>10.283530436626666</v>
      </c>
      <c r="F18" s="82">
        <f>Table2[[#This Row],[cases]]*100/$S$19</f>
        <v>102916.66666666667</v>
      </c>
      <c r="G18" s="57">
        <f>Table2[[#This Row],[cases]]*100/$S$13</f>
        <v>45740.740740740737</v>
      </c>
      <c r="H18" s="57">
        <f>Table2[[#This Row],[cases]]*100/$S$16</f>
        <v>126020.4081632653</v>
      </c>
      <c r="I18" s="57">
        <f>Table2[[#This Row],[infection count, high end of estimate range]]-Table2[[#This Row],[infection count, low end of estimate range]]</f>
        <v>80279.667422524566</v>
      </c>
      <c r="J18" s="57">
        <f>(Table2[[#This Row],[infection count, low end of estimate range]]+Table2[[#This Row],[infection count, high end of estimate range]])/2</f>
        <v>85880.574452003013</v>
      </c>
      <c r="K18" s="26">
        <f>Table2[[#This Row],[infection count, low end of estimate range]]/$S$6</f>
        <v>2.1296815740289928E-3</v>
      </c>
      <c r="L18" s="26">
        <f>Table2[[#This Row],[infection count, high end of estimate range]]/$S$6</f>
        <v>5.8674900508962043E-3</v>
      </c>
      <c r="M18" s="14">
        <f>Table2[[#This Row],[infection percentage, high end of estimate range]]-Table2[[#This Row],[infection percentage, low end of estimate range]]</f>
        <v>3.7378084768672115E-3</v>
      </c>
      <c r="N18" s="26">
        <f>(Table2[[#This Row],[infection percentage, low end of estimate range]]+Table2[[#This Row],[infection percentage, high end of estimate range]])/2</f>
        <v>3.9985858124625987E-3</v>
      </c>
      <c r="O18" s="12">
        <f>$S$6/(Table2[[#This Row],[cases]]*5)</f>
        <v>347.81760323886641</v>
      </c>
      <c r="P18" s="12">
        <f>$S$6/(Table2[[#This Row],[cases]]*7)</f>
        <v>248.44114517061885</v>
      </c>
      <c r="Q18" s="3">
        <f>Table2[[#This Row],[1-in-X odds, estimating 5x cases infected]]-Table2[[#This Row],[1-in-X odds, estimating 7x cases infected]]</f>
        <v>99.376458068247558</v>
      </c>
      <c r="R18" s="3">
        <f>(Table2[[#This Row],[1-in-X odds, estimating 5x cases infected]]+Table2[[#This Row],[1-in-X odds, estimating 7x cases infected]])/2</f>
        <v>298.12937420474265</v>
      </c>
      <c r="S18" s="34" t="s">
        <v>59</v>
      </c>
      <c r="T18" s="3">
        <f ca="1">OFFSET(compute!R4,COUNTA(compute!R:R)-1,0)</f>
        <v>175.1699781830045</v>
      </c>
      <c r="U18" s="3"/>
    </row>
    <row r="19" spans="1:21" x14ac:dyDescent="0.2">
      <c r="A19" s="8">
        <v>43927</v>
      </c>
      <c r="B19" s="57">
        <v>13629</v>
      </c>
      <c r="C19" s="72">
        <f>Table2[[#This Row],[cases]]/$B$2</f>
        <v>6.3456406045013026E-4</v>
      </c>
      <c r="D19" s="26">
        <f>(Table2[[#This Row],[cases]]-B18)/B18</f>
        <v>0.10356275303643725</v>
      </c>
      <c r="E19" s="39">
        <f t="shared" si="0"/>
        <v>7.0338985663313718</v>
      </c>
      <c r="F19" s="82">
        <f>Table2[[#This Row],[cases]]*100/$S$19</f>
        <v>113575</v>
      </c>
      <c r="G19" s="36">
        <f>Table2[[#This Row],[cases]]*100/$S$13</f>
        <v>50477.777777777781</v>
      </c>
      <c r="H19" s="36">
        <f>Table2[[#This Row],[cases]]*100/$S$16</f>
        <v>139071.42857142855</v>
      </c>
      <c r="I19" s="36">
        <f>Table2[[#This Row],[infection count, high end of estimate range]]-Table2[[#This Row],[infection count, low end of estimate range]]</f>
        <v>88593.65079365077</v>
      </c>
      <c r="J19" s="36">
        <f>(Table2[[#This Row],[infection count, low end of estimate range]]+Table2[[#This Row],[infection count, high end of estimate range]])/2</f>
        <v>94774.603174603166</v>
      </c>
      <c r="K19" s="27">
        <f>Table2[[#This Row],[infection count, low end of estimate range]]/$S$6</f>
        <v>2.3502372609264088E-3</v>
      </c>
      <c r="L19" s="26">
        <f>Table2[[#This Row],[infection count, high end of estimate range]]/$S$6</f>
        <v>6.4751434739809205E-3</v>
      </c>
      <c r="M19" s="15">
        <f>Table2[[#This Row],[infection percentage, high end of estimate range]]-Table2[[#This Row],[infection percentage, low end of estimate range]]</f>
        <v>4.1249062130545118E-3</v>
      </c>
      <c r="N19" s="27">
        <f>(Table2[[#This Row],[infection percentage, low end of estimate range]]+Table2[[#This Row],[infection percentage, high end of estimate range]])/2</f>
        <v>4.4126903674536651E-3</v>
      </c>
      <c r="O19" s="3">
        <f>$S$6/(Table2[[#This Row],[cases]]*5)</f>
        <v>315.17700491598799</v>
      </c>
      <c r="P19" s="3">
        <f>$S$6/(Table2[[#This Row],[cases]]*7)</f>
        <v>225.12643208284854</v>
      </c>
      <c r="Q19" s="3">
        <f>Table2[[#This Row],[1-in-X odds, estimating 5x cases infected]]-Table2[[#This Row],[1-in-X odds, estimating 7x cases infected]]</f>
        <v>90.050572833139455</v>
      </c>
      <c r="R19" s="3">
        <f>(Table2[[#This Row],[1-in-X odds, estimating 5x cases infected]]+Table2[[#This Row],[1-in-X odds, estimating 7x cases infected]])/2</f>
        <v>270.15171849941828</v>
      </c>
      <c r="S19" s="3">
        <v>12</v>
      </c>
      <c r="U19" s="32" t="s">
        <v>23</v>
      </c>
    </row>
    <row r="20" spans="1:21" x14ac:dyDescent="0.2">
      <c r="A20" s="8">
        <v>43928</v>
      </c>
      <c r="B20" s="57">
        <v>14747</v>
      </c>
      <c r="C20" s="72">
        <f>Table2[[#This Row],[cases]]/$B$2</f>
        <v>6.8661796165955477E-4</v>
      </c>
      <c r="D20" s="26">
        <f>(Table2[[#This Row],[cases]]-B19)/B19</f>
        <v>8.2030963386895583E-2</v>
      </c>
      <c r="E20" s="39">
        <f t="shared" si="0"/>
        <v>8.7918438211140977</v>
      </c>
      <c r="F20" s="82">
        <f>Table2[[#This Row],[cases]]*100/$S$19</f>
        <v>122891.66666666667</v>
      </c>
      <c r="G20" s="36">
        <f>Table2[[#This Row],[cases]]*100/$S$13</f>
        <v>54618.518518518518</v>
      </c>
      <c r="H20" s="36">
        <f>Table2[[#This Row],[cases]]*100/$S$16</f>
        <v>150479.59183673467</v>
      </c>
      <c r="I20" s="36">
        <f>Table2[[#This Row],[infection count, high end of estimate range]]-Table2[[#This Row],[infection count, low end of estimate range]]</f>
        <v>95861.073318216164</v>
      </c>
      <c r="J20" s="36">
        <f>(Table2[[#This Row],[infection count, low end of estimate range]]+Table2[[#This Row],[infection count, high end of estimate range]])/2</f>
        <v>102549.05517762659</v>
      </c>
      <c r="K20" s="27">
        <f>Table2[[#This Row],[infection count, low end of estimate range]]/$S$6</f>
        <v>2.5430294876279806E-3</v>
      </c>
      <c r="L20" s="26">
        <f>Table2[[#This Row],[infection count, high end of estimate range]]/$S$6</f>
        <v>7.0063057312199457E-3</v>
      </c>
      <c r="M20" s="15">
        <f>Table2[[#This Row],[infection percentage, high end of estimate range]]-Table2[[#This Row],[infection percentage, low end of estimate range]]</f>
        <v>4.4632762435919647E-3</v>
      </c>
      <c r="N20" s="27">
        <f>(Table2[[#This Row],[infection percentage, low end of estimate range]]+Table2[[#This Row],[infection percentage, high end of estimate range]])/2</f>
        <v>4.7746676094239634E-3</v>
      </c>
      <c r="O20" s="3">
        <f>$S$6/(Table2[[#This Row],[cases]]*5)</f>
        <v>291.28279650098324</v>
      </c>
      <c r="P20" s="3">
        <f>$S$6/(Table2[[#This Row],[cases]]*7)</f>
        <v>208.05914035784517</v>
      </c>
      <c r="Q20" s="3">
        <f>Table2[[#This Row],[1-in-X odds, estimating 5x cases infected]]-Table2[[#This Row],[1-in-X odds, estimating 7x cases infected]]</f>
        <v>83.223656143138072</v>
      </c>
      <c r="R20" s="3">
        <f>(Table2[[#This Row],[1-in-X odds, estimating 5x cases infected]]+Table2[[#This Row],[1-in-X odds, estimating 7x cases infected]])/2</f>
        <v>249.67096842941419</v>
      </c>
      <c r="T20" s="34" t="s">
        <v>30</v>
      </c>
      <c r="U20" s="67" t="s">
        <v>22</v>
      </c>
    </row>
    <row r="21" spans="1:21" x14ac:dyDescent="0.2">
      <c r="A21" s="8">
        <v>43929</v>
      </c>
      <c r="B21" s="57">
        <v>15698</v>
      </c>
      <c r="C21" s="72">
        <f>Table2[[#This Row],[cases]]/$B$2</f>
        <v>7.3089636957562149E-4</v>
      </c>
      <c r="D21" s="26">
        <f>(Table2[[#This Row],[cases]]-B20)/B20</f>
        <v>6.4487692412016004E-2</v>
      </c>
      <c r="E21" s="39">
        <f t="shared" si="0"/>
        <v>11.091482948530885</v>
      </c>
      <c r="F21" s="82">
        <f>Table2[[#This Row],[cases]]*100/$S$19</f>
        <v>130816.66666666667</v>
      </c>
      <c r="G21" s="36">
        <f>Table2[[#This Row],[cases]]*100/$S$13</f>
        <v>58140.740740740737</v>
      </c>
      <c r="H21" s="36">
        <f>Table2[[#This Row],[cases]]*100/$S$16</f>
        <v>160183.67346938775</v>
      </c>
      <c r="I21" s="36">
        <f>Table2[[#This Row],[infection count, high end of estimate range]]-Table2[[#This Row],[infection count, low end of estimate range]]</f>
        <v>102042.93272864702</v>
      </c>
      <c r="J21" s="36">
        <f>(Table2[[#This Row],[infection count, low end of estimate range]]+Table2[[#This Row],[infection count, high end of estimate range]])/2</f>
        <v>109162.20710506424</v>
      </c>
      <c r="K21" s="27">
        <f>Table2[[#This Row],[infection count, low end of estimate range]]/$S$6</f>
        <v>2.7070235910208202E-3</v>
      </c>
      <c r="L21" s="27">
        <f>Table2[[#This Row],[infection count, high end of estimate range]]/$S$6</f>
        <v>7.4581262201594027E-3</v>
      </c>
      <c r="M21" s="15">
        <f>Table2[[#This Row],[infection percentage, high end of estimate range]]-Table2[[#This Row],[infection percentage, low end of estimate range]]</f>
        <v>4.7511026291385825E-3</v>
      </c>
      <c r="N21" s="27">
        <f>(Table2[[#This Row],[infection percentage, low end of estimate range]]+Table2[[#This Row],[infection percentage, high end of estimate range]])/2</f>
        <v>5.082574905590111E-3</v>
      </c>
      <c r="O21" s="3">
        <f>$S$6/(Table2[[#This Row],[cases]]*5)</f>
        <v>273.63660338896676</v>
      </c>
      <c r="P21" s="3">
        <f>$S$6/(Table2[[#This Row],[cases]]*7)</f>
        <v>195.45471670640481</v>
      </c>
      <c r="Q21" s="3">
        <f>Table2[[#This Row],[1-in-X odds, estimating 5x cases infected]]-Table2[[#This Row],[1-in-X odds, estimating 7x cases infected]]</f>
        <v>78.181886682561952</v>
      </c>
      <c r="R21" s="3">
        <f>(Table2[[#This Row],[1-in-X odds, estimating 5x cases infected]]+Table2[[#This Row],[1-in-X odds, estimating 7x cases infected]])/2</f>
        <v>234.54566004768577</v>
      </c>
      <c r="T21" s="3">
        <f ca="1">OFFSET(compute!E4,COUNTA(compute!E:E)-1,0)</f>
        <v>12.612227663194551</v>
      </c>
      <c r="U21" s="31"/>
    </row>
    <row r="22" spans="1:21" x14ac:dyDescent="0.2">
      <c r="A22" s="8">
        <v>43930</v>
      </c>
      <c r="B22" s="57">
        <v>16826</v>
      </c>
      <c r="C22" s="72">
        <f>Table2[[#This Row],[cases]]/$B$2</f>
        <v>7.8341586918584578E-4</v>
      </c>
      <c r="D22" s="26">
        <f>(Table2[[#This Row],[cases]]-B21)/B21</f>
        <v>7.1856287425149698E-2</v>
      </c>
      <c r="E22" s="39">
        <f t="shared" ref="E22" si="1">(LN(2)/LN(B22/B21))</f>
        <v>9.988863935997184</v>
      </c>
      <c r="F22" s="82">
        <f>Table2[[#This Row],[cases]]*100/$S$19</f>
        <v>140216.66666666666</v>
      </c>
      <c r="G22" s="36">
        <f>Table2[[#This Row],[cases]]*100/$S$13</f>
        <v>62318.518518518518</v>
      </c>
      <c r="H22" s="36">
        <f>Table2[[#This Row],[cases]]*100/$S$16</f>
        <v>171693.87755102038</v>
      </c>
      <c r="I22" s="36">
        <f>Table2[[#This Row],[infection count, high end of estimate range]]-Table2[[#This Row],[infection count, low end of estimate range]]</f>
        <v>109375.35903250187</v>
      </c>
      <c r="J22" s="36">
        <f>(Table2[[#This Row],[infection count, low end of estimate range]]+Table2[[#This Row],[infection count, high end of estimate range]])/2</f>
        <v>117006.19803476945</v>
      </c>
      <c r="K22" s="27">
        <f>Table2[[#This Row],[infection count, low end of estimate range]]/$S$6</f>
        <v>2.9015402562438731E-3</v>
      </c>
      <c r="L22" s="27">
        <f>Table2[[#This Row],[infection count, high end of estimate range]]/$S$6</f>
        <v>7.9940394814882205E-3</v>
      </c>
      <c r="M22" s="15">
        <f>Table2[[#This Row],[infection percentage, high end of estimate range]]-Table2[[#This Row],[infection percentage, low end of estimate range]]</f>
        <v>5.0924992252443478E-3</v>
      </c>
      <c r="N22" s="27">
        <f>(Table2[[#This Row],[infection percentage, low end of estimate range]]+Table2[[#This Row],[infection percentage, high end of estimate range]])/2</f>
        <v>5.4477898688660466E-3</v>
      </c>
      <c r="O22" s="3">
        <f>$S$6/(Table2[[#This Row],[cases]]*5)</f>
        <v>255.29225008914776</v>
      </c>
      <c r="P22" s="3">
        <f>$S$6/(Table2[[#This Row],[cases]]*7)</f>
        <v>182.35160720653411</v>
      </c>
      <c r="Q22" s="3">
        <f>Table2[[#This Row],[1-in-X odds, estimating 5x cases infected]]-Table2[[#This Row],[1-in-X odds, estimating 7x cases infected]]</f>
        <v>72.940642882613645</v>
      </c>
      <c r="R22" s="3">
        <f>(Table2[[#This Row],[1-in-X odds, estimating 5x cases infected]]+Table2[[#This Row],[1-in-X odds, estimating 7x cases infected]])/2</f>
        <v>218.82192864784093</v>
      </c>
      <c r="U22" s="31"/>
    </row>
    <row r="23" spans="1:21" x14ac:dyDescent="0.2">
      <c r="A23" s="8">
        <v>43931</v>
      </c>
      <c r="B23" s="57">
        <v>17968</v>
      </c>
      <c r="C23" s="72">
        <f>Table2[[#This Row],[cases]]/$B$2</f>
        <v>8.3658720655718994E-4</v>
      </c>
      <c r="D23" s="26">
        <f>(Table2[[#This Row],[cases]]-B22)/B22</f>
        <v>6.7871151788898132E-2</v>
      </c>
      <c r="E23" s="39">
        <f t="shared" ref="E23" si="2">(LN(2)/LN(B23/B22))</f>
        <v>10.555472954784234</v>
      </c>
      <c r="F23" s="82">
        <f>Table2[[#This Row],[cases]]*100/$S$19</f>
        <v>149733.33333333334</v>
      </c>
      <c r="G23" s="36">
        <f>Table2[[#This Row],[cases]]*100/$S$13</f>
        <v>66548.148148148146</v>
      </c>
      <c r="H23" s="36">
        <f>Table2[[#This Row],[cases]]*100/$S$16</f>
        <v>183346.93877551018</v>
      </c>
      <c r="I23" s="36">
        <f>Table2[[#This Row],[infection count, high end of estimate range]]-Table2[[#This Row],[infection count, low end of estimate range]]</f>
        <v>116798.79062736203</v>
      </c>
      <c r="J23" s="36">
        <f>(Table2[[#This Row],[infection count, low end of estimate range]]+Table2[[#This Row],[infection count, high end of estimate range]])/2</f>
        <v>124947.54346182916</v>
      </c>
      <c r="K23" s="27">
        <f>Table2[[#This Row],[infection count, low end of estimate range]]/$S$6</f>
        <v>3.0984711353969994E-3</v>
      </c>
      <c r="L23" s="27">
        <f>Table2[[#This Row],[infection count, high end of estimate range]]/$S$6</f>
        <v>8.5366041485427525E-3</v>
      </c>
      <c r="M23" s="15">
        <f>Table2[[#This Row],[infection percentage, high end of estimate range]]-Table2[[#This Row],[infection percentage, low end of estimate range]]</f>
        <v>5.4381330131457531E-3</v>
      </c>
      <c r="N23" s="27">
        <f>(Table2[[#This Row],[infection percentage, low end of estimate range]]+Table2[[#This Row],[infection percentage, high end of estimate range]])/2</f>
        <v>5.8175376419698759E-3</v>
      </c>
      <c r="O23" s="3">
        <f>$S$6/(Table2[[#This Row],[cases]]*5)</f>
        <v>239.06652938557434</v>
      </c>
      <c r="P23" s="3">
        <f>$S$6/(Table2[[#This Row],[cases]]*7)</f>
        <v>170.76180670398168</v>
      </c>
      <c r="Q23" s="3">
        <f>Table2[[#This Row],[1-in-X odds, estimating 5x cases infected]]-Table2[[#This Row],[1-in-X odds, estimating 7x cases infected]]</f>
        <v>68.304722681592665</v>
      </c>
      <c r="R23" s="3">
        <f>(Table2[[#This Row],[1-in-X odds, estimating 5x cases infected]]+Table2[[#This Row],[1-in-X odds, estimating 7x cases infected]])/2</f>
        <v>204.91416804477802</v>
      </c>
      <c r="U23" s="31" t="s">
        <v>48</v>
      </c>
    </row>
    <row r="24" spans="1:21" x14ac:dyDescent="0.2">
      <c r="A24" s="8">
        <v>43932</v>
      </c>
      <c r="B24" s="57">
        <v>18986</v>
      </c>
      <c r="C24" s="72">
        <f>Table2[[#This Row],[cases]]/$B$2</f>
        <v>8.8398512375861577E-4</v>
      </c>
      <c r="D24" s="26">
        <f>(Table2[[#This Row],[cases]]-B23)/B23</f>
        <v>5.6656277827248441E-2</v>
      </c>
      <c r="E24" s="39">
        <f t="shared" ref="E24" si="3">(LN(2)/LN(B24/B23))</f>
        <v>12.577642507955398</v>
      </c>
      <c r="F24" s="82">
        <f>Table2[[#This Row],[cases]]*100/$S$19</f>
        <v>158216.66666666666</v>
      </c>
      <c r="G24" s="36">
        <f>Table2[[#This Row],[cases]]*100/$S$13</f>
        <v>70318.518518518526</v>
      </c>
      <c r="H24" s="36">
        <f>Table2[[#This Row],[cases]]*100/$S$16</f>
        <v>193734.69387755101</v>
      </c>
      <c r="I24" s="36">
        <f>Table2[[#This Row],[infection count, high end of estimate range]]-Table2[[#This Row],[infection count, low end of estimate range]]</f>
        <v>123416.17535903248</v>
      </c>
      <c r="J24" s="36">
        <f>(Table2[[#This Row],[infection count, low end of estimate range]]+Table2[[#This Row],[infection count, high end of estimate range]])/2</f>
        <v>132026.60619803477</v>
      </c>
      <c r="K24" s="27">
        <f>Table2[[#This Row],[infection count, low end of estimate range]]/$S$6</f>
        <v>3.2740189768837623E-3</v>
      </c>
      <c r="L24" s="27">
        <f>Table2[[#This Row],[infection count, high end of estimate range]]/$S$6</f>
        <v>9.020256364883834E-3</v>
      </c>
      <c r="M24" s="15">
        <f>Table2[[#This Row],[infection percentage, high end of estimate range]]-Table2[[#This Row],[infection percentage, low end of estimate range]]</f>
        <v>5.7462373880000717E-3</v>
      </c>
      <c r="N24" s="27">
        <f>(Table2[[#This Row],[infection percentage, low end of estimate range]]+Table2[[#This Row],[infection percentage, high end of estimate range]])/2</f>
        <v>6.1471376708837986E-3</v>
      </c>
      <c r="O24" s="3">
        <f>$S$6/(Table2[[#This Row],[cases]]*5)</f>
        <v>226.24815126935636</v>
      </c>
      <c r="P24" s="3">
        <f>$S$6/(Table2[[#This Row],[cases]]*7)</f>
        <v>161.60582233525454</v>
      </c>
      <c r="Q24" s="3">
        <f>Table2[[#This Row],[1-in-X odds, estimating 5x cases infected]]-Table2[[#This Row],[1-in-X odds, estimating 7x cases infected]]</f>
        <v>64.642328934101812</v>
      </c>
      <c r="R24" s="3">
        <f>(Table2[[#This Row],[1-in-X odds, estimating 5x cases infected]]+Table2[[#This Row],[1-in-X odds, estimating 7x cases infected]])/2</f>
        <v>193.92698680230546</v>
      </c>
      <c r="U24" s="31"/>
    </row>
    <row r="25" spans="1:21" x14ac:dyDescent="0.2">
      <c r="A25" s="8">
        <v>43933</v>
      </c>
      <c r="B25" s="57">
        <v>19895</v>
      </c>
      <c r="C25" s="72">
        <f>Table2[[#This Row],[cases]]/$B$2</f>
        <v>9.2630801839132311E-4</v>
      </c>
      <c r="D25" s="26">
        <f>(Table2[[#This Row],[cases]]-B24)/B24</f>
        <v>4.7877383335089015E-2</v>
      </c>
      <c r="E25" s="39">
        <f t="shared" ref="E25" si="4">(LN(2)/LN(B25/B24))</f>
        <v>14.821421707304372</v>
      </c>
      <c r="F25" s="82">
        <f>Table2[[#This Row],[cases]]*100/$S$19</f>
        <v>165791.66666666666</v>
      </c>
      <c r="G25" s="36">
        <f>Table2[[#This Row],[cases]]*100/$S$13</f>
        <v>73685.185185185182</v>
      </c>
      <c r="H25" s="36">
        <f>Table2[[#This Row],[cases]]*100/$S$16</f>
        <v>203010.20408163263</v>
      </c>
      <c r="I25" s="36">
        <f>Table2[[#This Row],[infection count, high end of estimate range]]-Table2[[#This Row],[infection count, low end of estimate range]]</f>
        <v>129325.01889644745</v>
      </c>
      <c r="J25" s="36">
        <f>(Table2[[#This Row],[infection count, low end of estimate range]]+Table2[[#This Row],[infection count, high end of estimate range]])/2</f>
        <v>138347.69463340892</v>
      </c>
      <c r="K25" s="27">
        <f>Table2[[#This Row],[infection count, low end of estimate range]]/$S$6</f>
        <v>3.4307704384863814E-3</v>
      </c>
      <c r="L25" s="27">
        <f>Table2[[#This Row],[infection count, high end of estimate range]]/$S$6</f>
        <v>9.4521226366461528E-3</v>
      </c>
      <c r="M25" s="15">
        <f>Table2[[#This Row],[infection percentage, high end of estimate range]]-Table2[[#This Row],[infection percentage, low end of estimate range]]</f>
        <v>6.0213521981597714E-3</v>
      </c>
      <c r="N25" s="27">
        <f>(Table2[[#This Row],[infection percentage, low end of estimate range]]+Table2[[#This Row],[infection percentage, high end of estimate range]])/2</f>
        <v>6.4414465375662675E-3</v>
      </c>
      <c r="O25" s="3">
        <f>$S$6/(Table2[[#This Row],[cases]]*5)</f>
        <v>215.91090223674291</v>
      </c>
      <c r="P25" s="3">
        <f>$S$6/(Table2[[#This Row],[cases]]*7)</f>
        <v>154.22207302624494</v>
      </c>
      <c r="Q25" s="3">
        <f>Table2[[#This Row],[1-in-X odds, estimating 5x cases infected]]-Table2[[#This Row],[1-in-X odds, estimating 7x cases infected]]</f>
        <v>61.688829210497971</v>
      </c>
      <c r="R25" s="3">
        <f>(Table2[[#This Row],[1-in-X odds, estimating 5x cases infected]]+Table2[[#This Row],[1-in-X odds, estimating 7x cases infected]])/2</f>
        <v>185.06648763149394</v>
      </c>
      <c r="U25" s="31"/>
    </row>
    <row r="26" spans="1:21" x14ac:dyDescent="0.2">
      <c r="A26" s="8">
        <v>43934</v>
      </c>
      <c r="B26" s="57">
        <v>21019</v>
      </c>
      <c r="C26" s="72">
        <f>Table2[[#This Row],[cases]]/$B$2</f>
        <v>9.7864127864122743E-4</v>
      </c>
      <c r="D26" s="26">
        <f>(Table2[[#This Row],[cases]]-B25)/B25</f>
        <v>5.6496607187735609E-2</v>
      </c>
      <c r="E26" s="39">
        <f t="shared" ref="E26" si="5">(LN(2)/LN(B26/B25))</f>
        <v>12.612227663194551</v>
      </c>
      <c r="F26" s="82">
        <f>Table2[[#This Row],[cases]]*100/$S$19</f>
        <v>175158.33333333334</v>
      </c>
      <c r="G26" s="36">
        <f>Table2[[#This Row],[cases]]*100/$S$13</f>
        <v>77848.148148148146</v>
      </c>
      <c r="H26" s="36">
        <f>Table2[[#This Row],[cases]]*100/$S$16</f>
        <v>214479.59183673467</v>
      </c>
      <c r="I26" s="36">
        <f>Table2[[#This Row],[infection count, high end of estimate range]]-Table2[[#This Row],[infection count, low end of estimate range]]</f>
        <v>136631.44368858653</v>
      </c>
      <c r="J26" s="36">
        <f>(Table2[[#This Row],[infection count, low end of estimate range]]+Table2[[#This Row],[infection count, high end of estimate range]])/2</f>
        <v>146163.86999244141</v>
      </c>
      <c r="K26" s="27">
        <f>Table2[[#This Row],[infection count, low end of estimate range]]/$S$6</f>
        <v>3.624597328300842E-3</v>
      </c>
      <c r="L26" s="27">
        <f>Table2[[#This Row],[infection count, high end of estimate range]]/$S$6</f>
        <v>9.9861354963390551E-3</v>
      </c>
      <c r="M26" s="15">
        <f>Table2[[#This Row],[infection percentage, high end of estimate range]]-Table2[[#This Row],[infection percentage, low end of estimate range]]</f>
        <v>6.3615381680382135E-3</v>
      </c>
      <c r="N26" s="27">
        <f>(Table2[[#This Row],[infection percentage, low end of estimate range]]+Table2[[#This Row],[infection percentage, high end of estimate range]])/2</f>
        <v>6.8053664123199483E-3</v>
      </c>
      <c r="O26" s="3">
        <f>$S$6/(Table2[[#This Row],[cases]]*5)</f>
        <v>204.36497454683857</v>
      </c>
      <c r="P26" s="3">
        <f>$S$6/(Table2[[#This Row],[cases]]*7)</f>
        <v>145.97498181917041</v>
      </c>
      <c r="Q26" s="3">
        <f>Table2[[#This Row],[1-in-X odds, estimating 5x cases infected]]-Table2[[#This Row],[1-in-X odds, estimating 7x cases infected]]</f>
        <v>58.389992727668158</v>
      </c>
      <c r="R26" s="3">
        <f>(Table2[[#This Row],[1-in-X odds, estimating 5x cases infected]]+Table2[[#This Row],[1-in-X odds, estimating 7x cases infected]])/2</f>
        <v>175.1699781830045</v>
      </c>
      <c r="U26" s="31"/>
    </row>
    <row r="27" spans="1:21" x14ac:dyDescent="0.2">
      <c r="U27" s="56" t="str">
        <f ca="1">"updated " &amp; TEXT($T6,"MMMM d, yyyy") &amp; ", " &amp; S9</f>
        <v>updated April 13, 2020, evening</v>
      </c>
    </row>
    <row r="28" spans="1:21" x14ac:dyDescent="0.2">
      <c r="T28" s="34" t="s">
        <v>32</v>
      </c>
      <c r="U28" s="37"/>
    </row>
    <row r="29" spans="1:21" x14ac:dyDescent="0.2">
      <c r="T29" s="27">
        <f ca="1">OFFSET(compute!D4,COUNTA(compute!D:D)-1,0)</f>
        <v>5.6496607187735609E-2</v>
      </c>
    </row>
    <row r="30" spans="1:21" x14ac:dyDescent="0.2">
      <c r="U30" s="33" t="s">
        <v>24</v>
      </c>
    </row>
    <row r="31" spans="1:21" x14ac:dyDescent="0.2">
      <c r="U31" s="1" t="str">
        <f ca="1">"There have been " &amp;TEXT( T9,"0") &amp; " confirmed cases of COVID-19 disease in " &amp; B1 &amp; " since the start of the outbreak."</f>
        <v>There have been 21019 confirmed cases of COVID-19 disease in Florida since the start of the outbreak.</v>
      </c>
    </row>
    <row r="33" spans="21:21" x14ac:dyDescent="0.2">
      <c r="U33" s="1" t="str">
        <f ca="1">"Around " &amp;TEXT(ROUND(T12,-3),"#,##0") &amp;" people in " &amp; B1 &amp; " may have already been infected with the SARS-CoV-2 virus, based on an estimated population of " &amp; TEXT(S6,"0,000")</f>
        <v>Around 175,000 people in Florida may have already been infected with the SARS-CoV-2 virus, based on an estimated population of 21,477,737</v>
      </c>
    </row>
    <row r="35" spans="21:21" x14ac:dyDescent="0.2">
      <c r="U35" s="1" t="str">
        <f ca="1">"Around " &amp; TEXT(T15,"0.0%") &amp; " of the total population of " &amp; B1 &amp; " may have already been infected with the SARS-CoV-2 virus, based on an estimated population of " &amp; TEXT(S6,"0,000") &amp; "."</f>
        <v>Around 0.7% of the total population of Florida may have already been infected with the SARS-CoV-2 virus, based on an estimated population of 21,477,737.</v>
      </c>
    </row>
    <row r="37" spans="21:21" x14ac:dyDescent="0.2">
      <c r="U37" s="1" t="str">
        <f ca="1">"The odds of any given person in " &amp; B1 &amp; " having been infected with SARS-CoV-2 is currently estimated to be around one in " &amp; TEXT(T18,"#,##0")  &amp; "."</f>
        <v>The odds of any given person in Florida having been infected with SARS-CoV-2 is currently estimated to be around one in 175.</v>
      </c>
    </row>
    <row r="39" spans="21:21" x14ac:dyDescent="0.2">
      <c r="U39" s="1" t="str">
        <f ca="1">"doubing in " &amp; TEXT(T21,"0.0") &amp; " days"</f>
        <v>doubing in 12.6 days</v>
      </c>
    </row>
    <row r="41" spans="21:21" x14ac:dyDescent="0.2">
      <c r="U41" s="1" t="str">
        <f ca="1">TEXT(T29, "+0.0%;-0.0%") &amp; " per day"</f>
        <v>+5.6% per day</v>
      </c>
    </row>
    <row r="43" spans="21:21" x14ac:dyDescent="0.2">
      <c r="U43" t="str">
        <f ca="1">"The current rate of increase is " &amp; U41</f>
        <v>The current rate of increase is +5.6%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25"/>
  <sheetViews>
    <sheetView workbookViewId="0">
      <selection activeCell="B25" sqref="B25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40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8">
        <v>91718</v>
      </c>
    </row>
    <row r="3" spans="1:4" x14ac:dyDescent="0.2">
      <c r="A3" s="1" t="s">
        <v>43</v>
      </c>
      <c r="B3" s="55" t="s">
        <v>34</v>
      </c>
    </row>
    <row r="4" spans="1:4" ht="35" customHeight="1" thickBot="1" x14ac:dyDescent="0.25">
      <c r="A4" s="53" t="s">
        <v>0</v>
      </c>
      <c r="B4" s="5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9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9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9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9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9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9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9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9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9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9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9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9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9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9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9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9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9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9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9">
        <f t="shared" ref="D24" si="6">(LN(2)/LN(B24/B23))</f>
        <v>9.3157220501103151</v>
      </c>
    </row>
    <row r="25" spans="1:4" x14ac:dyDescent="0.2">
      <c r="A25" s="8">
        <v>43933</v>
      </c>
      <c r="B25" s="9">
        <v>517</v>
      </c>
      <c r="C25" s="26">
        <f t="shared" ref="C25" si="7">(B25-B24)/B24</f>
        <v>1.937984496124031E-3</v>
      </c>
      <c r="D25" s="39">
        <f t="shared" ref="D25" si="8">(LN(2)/LN(B25/B24))</f>
        <v>358.01040692517529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26"/>
  <sheetViews>
    <sheetView workbookViewId="0">
      <selection sqref="A1:B26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40"/>
    </row>
    <row r="2" spans="1:4" ht="17" x14ac:dyDescent="0.2">
      <c r="A2" s="1" t="s">
        <v>41</v>
      </c>
      <c r="B2" s="58">
        <v>91718</v>
      </c>
      <c r="C2" s="28"/>
      <c r="D2" s="40"/>
    </row>
    <row r="3" spans="1:4" x14ac:dyDescent="0.2">
      <c r="A3" s="1" t="s">
        <v>43</v>
      </c>
      <c r="B3" s="55" t="s">
        <v>35</v>
      </c>
      <c r="C3" s="28"/>
      <c r="D3" s="40"/>
    </row>
    <row r="4" spans="1:4" ht="52" thickBot="1" x14ac:dyDescent="0.25">
      <c r="A4" s="53" t="s">
        <v>0</v>
      </c>
      <c r="B4" s="5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9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9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9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9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9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9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9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9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9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9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9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9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9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9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9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9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9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9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9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9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9">
        <f t="shared" ref="D26" si="9">(LN(2)/LN(B26/B25))</f>
        <v>14.606668848830834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5"/>
  <sheetViews>
    <sheetView workbookViewId="0">
      <selection sqref="A1:B25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40"/>
    </row>
    <row r="2" spans="1:4" ht="17" x14ac:dyDescent="0.2">
      <c r="A2" s="1" t="s">
        <v>41</v>
      </c>
      <c r="B2" s="58">
        <v>470914</v>
      </c>
      <c r="C2" s="28"/>
      <c r="D2" s="40"/>
    </row>
    <row r="3" spans="1:4" x14ac:dyDescent="0.2">
      <c r="A3" s="1" t="s">
        <v>43</v>
      </c>
      <c r="B3" s="55" t="s">
        <v>34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9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9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9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9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9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9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9">
        <f t="shared" si="0"/>
        <v>2.0820786744968252</v>
      </c>
    </row>
    <row r="13" spans="1:4" x14ac:dyDescent="0.2">
      <c r="A13" s="8">
        <v>43921</v>
      </c>
      <c r="B13" s="57">
        <v>1047</v>
      </c>
      <c r="C13" s="26">
        <f t="shared" si="1"/>
        <v>0.16722408026755853</v>
      </c>
      <c r="D13" s="39">
        <f t="shared" si="0"/>
        <v>4.4826656036005934</v>
      </c>
    </row>
    <row r="14" spans="1:4" x14ac:dyDescent="0.2">
      <c r="A14" s="8">
        <v>43922</v>
      </c>
      <c r="B14" s="57">
        <v>1223</v>
      </c>
      <c r="C14" s="26">
        <f t="shared" si="1"/>
        <v>0.16809933142311365</v>
      </c>
      <c r="D14" s="39">
        <f t="shared" si="0"/>
        <v>4.461040275688724</v>
      </c>
    </row>
    <row r="15" spans="1:4" x14ac:dyDescent="0.2">
      <c r="A15" s="8">
        <v>43923</v>
      </c>
      <c r="B15" s="57">
        <v>1391</v>
      </c>
      <c r="C15" s="26">
        <f t="shared" si="1"/>
        <v>0.1373671300081766</v>
      </c>
      <c r="D15" s="39">
        <f t="shared" si="0"/>
        <v>5.3850871509581326</v>
      </c>
    </row>
    <row r="16" spans="1:4" x14ac:dyDescent="0.2">
      <c r="A16" s="8">
        <v>43924</v>
      </c>
      <c r="B16" s="57">
        <v>1752</v>
      </c>
      <c r="C16" s="26">
        <f t="shared" si="1"/>
        <v>0.25952552120776418</v>
      </c>
      <c r="D16" s="39">
        <f t="shared" si="0"/>
        <v>3.0040823521200468</v>
      </c>
    </row>
    <row r="17" spans="1:4" x14ac:dyDescent="0.2">
      <c r="A17" s="8">
        <v>43925</v>
      </c>
      <c r="B17" s="57">
        <v>2168</v>
      </c>
      <c r="C17" s="26">
        <f t="shared" si="1"/>
        <v>0.23744292237442921</v>
      </c>
      <c r="D17" s="39">
        <f t="shared" si="0"/>
        <v>3.2534928174838318</v>
      </c>
    </row>
    <row r="18" spans="1:4" x14ac:dyDescent="0.2">
      <c r="A18" s="8">
        <v>43926</v>
      </c>
      <c r="B18" s="57">
        <v>2393</v>
      </c>
      <c r="C18" s="26">
        <f t="shared" si="1"/>
        <v>0.10378228782287822</v>
      </c>
      <c r="D18" s="39">
        <f t="shared" si="0"/>
        <v>7.0197290799014054</v>
      </c>
    </row>
    <row r="19" spans="1:4" x14ac:dyDescent="0.2">
      <c r="A19" s="8">
        <v>43927</v>
      </c>
      <c r="B19" s="57">
        <v>2676</v>
      </c>
      <c r="C19" s="26">
        <f t="shared" si="1"/>
        <v>0.1182615963226076</v>
      </c>
      <c r="D19" s="39">
        <f t="shared" si="0"/>
        <v>6.2012535310728651</v>
      </c>
    </row>
    <row r="20" spans="1:4" x14ac:dyDescent="0.2">
      <c r="A20" s="8">
        <v>43928</v>
      </c>
      <c r="B20" s="36">
        <v>3009</v>
      </c>
      <c r="C20" s="26">
        <f t="shared" si="1"/>
        <v>0.12443946188340807</v>
      </c>
      <c r="D20" s="39">
        <f t="shared" si="0"/>
        <v>5.9099562368391503</v>
      </c>
    </row>
    <row r="21" spans="1:4" x14ac:dyDescent="0.2">
      <c r="A21" s="8">
        <v>43929</v>
      </c>
      <c r="B21" s="57">
        <v>3235</v>
      </c>
      <c r="C21" s="26">
        <f t="shared" si="1"/>
        <v>7.5108009305417084E-2</v>
      </c>
      <c r="D21" s="39">
        <f t="shared" si="0"/>
        <v>9.5710627221806028</v>
      </c>
    </row>
    <row r="22" spans="1:4" x14ac:dyDescent="0.2">
      <c r="A22" s="8">
        <v>43930</v>
      </c>
      <c r="B22" s="57">
        <v>3487</v>
      </c>
      <c r="C22" s="26">
        <f t="shared" ref="C22" si="2">(B22-B21)/B21</f>
        <v>7.7897990726429681E-2</v>
      </c>
      <c r="D22" s="39">
        <f t="shared" ref="D22" si="3">(LN(2)/LN(B22/B21))</f>
        <v>9.2403804862798964</v>
      </c>
    </row>
    <row r="23" spans="1:4" x14ac:dyDescent="0.2">
      <c r="A23" s="8">
        <v>43931</v>
      </c>
      <c r="B23" s="57">
        <v>3713</v>
      </c>
      <c r="C23" s="26">
        <f>(B23-B22)/B22</f>
        <v>6.4812159449383427E-2</v>
      </c>
      <c r="D23" s="39">
        <f>(LN(2)/LN(B23/B22))</f>
        <v>11.037655382330742</v>
      </c>
    </row>
    <row r="24" spans="1:4" x14ac:dyDescent="0.2">
      <c r="A24" s="8">
        <v>43932</v>
      </c>
      <c r="B24" s="57">
        <v>3908</v>
      </c>
      <c r="C24" s="26">
        <f>(B24-B23)/B23</f>
        <v>5.2518179369781849E-2</v>
      </c>
      <c r="D24" s="39">
        <f>(LN(2)/LN(B24/B23))</f>
        <v>13.541850363596499</v>
      </c>
    </row>
    <row r="25" spans="1:4" x14ac:dyDescent="0.2">
      <c r="A25" s="8">
        <v>43933</v>
      </c>
      <c r="B25" s="57">
        <v>4144</v>
      </c>
      <c r="C25" s="26">
        <f>(B25-B24)/B24</f>
        <v>6.0388945752302969E-2</v>
      </c>
      <c r="D25" s="39">
        <f>(LN(2)/LN(B25/B24))</f>
        <v>11.821234229192092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26"/>
  <sheetViews>
    <sheetView workbookViewId="0">
      <selection sqref="A1:B2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40"/>
    </row>
    <row r="2" spans="1:4" ht="17" x14ac:dyDescent="0.2">
      <c r="A2" s="9" t="s">
        <v>41</v>
      </c>
      <c r="B2" s="58">
        <v>470914</v>
      </c>
      <c r="C2" s="28"/>
      <c r="D2" s="40"/>
    </row>
    <row r="3" spans="1:4" x14ac:dyDescent="0.2">
      <c r="A3" s="9" t="s">
        <v>43</v>
      </c>
      <c r="B3" s="12" t="s">
        <v>35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9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9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9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9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9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9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9">
        <f t="shared" si="0"/>
        <v>5.0683867188519347</v>
      </c>
    </row>
    <row r="13" spans="1:4" x14ac:dyDescent="0.2">
      <c r="A13" s="8">
        <v>43921</v>
      </c>
      <c r="B13" s="57">
        <v>1179</v>
      </c>
      <c r="C13" s="26">
        <f t="shared" si="1"/>
        <v>0.26638023630504831</v>
      </c>
      <c r="D13" s="39">
        <f t="shared" si="0"/>
        <v>2.9350418410450274</v>
      </c>
    </row>
    <row r="14" spans="1:4" x14ac:dyDescent="0.2">
      <c r="A14" s="8">
        <v>43922</v>
      </c>
      <c r="B14" s="57">
        <v>1371</v>
      </c>
      <c r="C14" s="26">
        <f t="shared" si="1"/>
        <v>0.16284987277353691</v>
      </c>
      <c r="D14" s="39">
        <f t="shared" si="0"/>
        <v>4.594218989141579</v>
      </c>
    </row>
    <row r="15" spans="1:4" x14ac:dyDescent="0.2">
      <c r="A15" s="8">
        <v>43923</v>
      </c>
      <c r="B15" s="57">
        <v>1677</v>
      </c>
      <c r="C15" s="26">
        <f t="shared" si="1"/>
        <v>0.22319474835886213</v>
      </c>
      <c r="D15" s="39">
        <f t="shared" si="0"/>
        <v>3.4405155090192001</v>
      </c>
    </row>
    <row r="16" spans="1:4" x14ac:dyDescent="0.2">
      <c r="A16" s="8">
        <v>43924</v>
      </c>
      <c r="B16" s="57">
        <v>1959</v>
      </c>
      <c r="C16" s="26">
        <f t="shared" si="1"/>
        <v>0.16815742397137745</v>
      </c>
      <c r="D16" s="39">
        <f t="shared" si="0"/>
        <v>4.4596129019590443</v>
      </c>
    </row>
    <row r="17" spans="1:4" x14ac:dyDescent="0.2">
      <c r="A17" s="8">
        <v>43925</v>
      </c>
      <c r="B17" s="57">
        <v>2291</v>
      </c>
      <c r="C17" s="26">
        <f t="shared" si="1"/>
        <v>0.16947422154160285</v>
      </c>
      <c r="D17" s="39">
        <f t="shared" si="0"/>
        <v>4.4275202769727011</v>
      </c>
    </row>
    <row r="18" spans="1:4" x14ac:dyDescent="0.2">
      <c r="A18" s="8">
        <v>43926</v>
      </c>
      <c r="B18" s="57">
        <v>2461</v>
      </c>
      <c r="C18" s="26">
        <f t="shared" si="1"/>
        <v>7.4203404626800529E-2</v>
      </c>
      <c r="D18" s="39">
        <f t="shared" si="0"/>
        <v>9.6836169490150699</v>
      </c>
    </row>
    <row r="19" spans="1:4" x14ac:dyDescent="0.2">
      <c r="A19" s="8">
        <v>43927</v>
      </c>
      <c r="B19" s="57">
        <v>2802</v>
      </c>
      <c r="C19" s="26">
        <f t="shared" si="1"/>
        <v>0.13856156034132466</v>
      </c>
      <c r="D19" s="39">
        <f t="shared" si="0"/>
        <v>5.3415294338518668</v>
      </c>
    </row>
    <row r="20" spans="1:4" x14ac:dyDescent="0.2">
      <c r="A20" s="8">
        <v>43928</v>
      </c>
      <c r="B20" s="57">
        <v>3100</v>
      </c>
      <c r="C20" s="26">
        <f t="shared" si="1"/>
        <v>0.10635260528194147</v>
      </c>
      <c r="D20" s="39">
        <f t="shared" si="0"/>
        <v>6.8581809240681908</v>
      </c>
    </row>
    <row r="21" spans="1:4" x14ac:dyDescent="0.2">
      <c r="A21" s="8">
        <v>43929</v>
      </c>
      <c r="B21" s="57">
        <v>3317</v>
      </c>
      <c r="C21" s="26">
        <f t="shared" si="1"/>
        <v>7.0000000000000007E-2</v>
      </c>
      <c r="D21" s="39">
        <f t="shared" si="0"/>
        <v>10.244768351058712</v>
      </c>
    </row>
    <row r="22" spans="1:4" x14ac:dyDescent="0.2">
      <c r="A22" s="8">
        <v>43930</v>
      </c>
      <c r="B22" s="57">
        <v>3587</v>
      </c>
      <c r="C22" s="26">
        <f t="shared" ref="C22:C23" si="2">(B22-B21)/B21</f>
        <v>8.1398854386493816E-2</v>
      </c>
      <c r="D22" s="39">
        <f t="shared" ref="D22:D23" si="3">(LN(2)/LN(B22/B21))</f>
        <v>8.857495313952132</v>
      </c>
    </row>
    <row r="23" spans="1:4" x14ac:dyDescent="0.2">
      <c r="A23" s="8">
        <v>43931</v>
      </c>
      <c r="B23" s="57">
        <v>3816</v>
      </c>
      <c r="C23" s="26">
        <f t="shared" si="2"/>
        <v>6.3841650404237518E-2</v>
      </c>
      <c r="D23" s="39">
        <f t="shared" si="3"/>
        <v>11.20028704389693</v>
      </c>
    </row>
    <row r="24" spans="1:4" x14ac:dyDescent="0.2">
      <c r="A24" s="8">
        <v>43932</v>
      </c>
      <c r="B24" s="57">
        <v>4091</v>
      </c>
      <c r="C24" s="26">
        <f t="shared" ref="C24" si="4">(B24-B23)/B23</f>
        <v>7.20649895178197E-2</v>
      </c>
      <c r="D24" s="39">
        <f t="shared" ref="D24" si="5">(LN(2)/LN(B24/B23))</f>
        <v>9.96091676104197</v>
      </c>
    </row>
    <row r="25" spans="1:4" x14ac:dyDescent="0.2">
      <c r="A25" s="8">
        <v>43933</v>
      </c>
      <c r="B25" s="57">
        <v>4273</v>
      </c>
      <c r="C25" s="26">
        <f t="shared" ref="C25" si="6">(B25-B24)/B24</f>
        <v>4.4487900268882913E-2</v>
      </c>
      <c r="D25" s="39">
        <f t="shared" ref="D25" si="7">(LN(2)/LN(B25/B24))</f>
        <v>15.924637026490627</v>
      </c>
    </row>
    <row r="26" spans="1:4" x14ac:dyDescent="0.2">
      <c r="A26" s="8">
        <v>43934</v>
      </c>
      <c r="B26" s="57">
        <v>4487</v>
      </c>
      <c r="C26" s="26">
        <f t="shared" ref="C26" si="8">(B26-B25)/B25</f>
        <v>5.0081909665340513E-2</v>
      </c>
      <c r="D26" s="39">
        <f t="shared" ref="D26" si="9">(LN(2)/LN(B26/B25))</f>
        <v>14.184021538998522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40"/>
    </row>
    <row r="2" spans="1:4" ht="17" x14ac:dyDescent="0.2">
      <c r="A2" s="9" t="s">
        <v>41</v>
      </c>
      <c r="B2" s="59">
        <v>82826</v>
      </c>
      <c r="C2" s="28"/>
      <c r="D2" s="40"/>
    </row>
    <row r="3" spans="1:4" x14ac:dyDescent="0.2">
      <c r="A3" s="9" t="s">
        <v>43</v>
      </c>
      <c r="B3" s="12" t="s">
        <v>34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9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9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9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9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9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9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9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9">
        <f t="shared" si="0"/>
        <v>7.9661672362978102</v>
      </c>
    </row>
    <row r="14" spans="1:4" x14ac:dyDescent="0.2">
      <c r="A14" s="8">
        <v>43922</v>
      </c>
      <c r="B14" s="65">
        <v>14</v>
      </c>
      <c r="C14" s="26">
        <f t="shared" si="1"/>
        <v>0.16666666666666666</v>
      </c>
      <c r="D14" s="39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9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9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9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9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9">
        <f t="shared" si="0"/>
        <v>19.059446834201477</v>
      </c>
    </row>
    <row r="20" spans="1:4" x14ac:dyDescent="0.2">
      <c r="A20" s="8">
        <v>43928</v>
      </c>
      <c r="B20" s="57">
        <v>30</v>
      </c>
      <c r="C20" s="26">
        <f t="shared" si="1"/>
        <v>7.1428571428571425E-2</v>
      </c>
      <c r="D20" s="39">
        <f t="shared" si="0"/>
        <v>10.04664924971328</v>
      </c>
    </row>
    <row r="21" spans="1:4" x14ac:dyDescent="0.2">
      <c r="A21" s="8">
        <v>43929</v>
      </c>
      <c r="B21" s="57">
        <v>31</v>
      </c>
      <c r="C21" s="26">
        <f t="shared" si="1"/>
        <v>3.3333333333333333E-2</v>
      </c>
      <c r="D21" s="39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40"/>
    </row>
    <row r="2" spans="1:8" ht="17" x14ac:dyDescent="0.2">
      <c r="A2" s="9" t="s">
        <v>41</v>
      </c>
      <c r="B2" s="59">
        <v>82826</v>
      </c>
      <c r="C2" s="28"/>
      <c r="D2" s="40"/>
    </row>
    <row r="3" spans="1:8" x14ac:dyDescent="0.2">
      <c r="A3" s="9" t="s">
        <v>43</v>
      </c>
      <c r="B3" s="12" t="s">
        <v>35</v>
      </c>
      <c r="C3" s="28"/>
      <c r="D3" s="40"/>
    </row>
    <row r="4" spans="1:8" ht="52" thickBot="1" x14ac:dyDescent="0.25">
      <c r="A4" s="63" t="s">
        <v>0</v>
      </c>
      <c r="B4" s="64" t="s">
        <v>1</v>
      </c>
      <c r="C4" s="66" t="s">
        <v>31</v>
      </c>
      <c r="D4" s="66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9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9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9" t="e">
        <f t="shared" si="0"/>
        <v>#DIV/0!</v>
      </c>
      <c r="E8" s="57"/>
      <c r="F8" s="61"/>
      <c r="G8" s="8"/>
      <c r="H8" s="57"/>
    </row>
    <row r="9" spans="1:8" x14ac:dyDescent="0.2">
      <c r="A9" s="8">
        <v>43917</v>
      </c>
      <c r="B9" s="9">
        <v>7</v>
      </c>
      <c r="C9" s="26">
        <f t="shared" si="1"/>
        <v>0.75</v>
      </c>
      <c r="D9" s="39">
        <f t="shared" si="0"/>
        <v>1.2386126258466668</v>
      </c>
      <c r="E9" s="57"/>
      <c r="F9" s="61"/>
      <c r="G9" s="8"/>
      <c r="H9" s="57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9">
        <f t="shared" si="0"/>
        <v>1.9433582098747317</v>
      </c>
      <c r="E10" s="57"/>
      <c r="F10" s="61"/>
      <c r="G10" s="8"/>
      <c r="H10" s="57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9">
        <f t="shared" si="0"/>
        <v>7.2725408973417132</v>
      </c>
      <c r="E11" s="57"/>
      <c r="F11" s="61"/>
      <c r="G11" s="8"/>
      <c r="H11" s="57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9">
        <f t="shared" si="0"/>
        <v>7.9661672362978102</v>
      </c>
      <c r="E12" s="57"/>
      <c r="F12" s="61"/>
      <c r="G12" s="8"/>
      <c r="H12" s="57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9">
        <f t="shared" si="0"/>
        <v>8.6597168025228228</v>
      </c>
      <c r="E13" s="57"/>
      <c r="F13" s="61"/>
      <c r="G13" s="8"/>
      <c r="H13" s="57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9">
        <f t="shared" si="0"/>
        <v>2.5838249455646198</v>
      </c>
      <c r="E14" s="57"/>
      <c r="F14" s="61"/>
      <c r="G14" s="8"/>
      <c r="H14" s="57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9">
        <f t="shared" si="0"/>
        <v>6.2319013047040608</v>
      </c>
      <c r="E15" s="57"/>
      <c r="F15" s="61"/>
      <c r="G15" s="8"/>
      <c r="H15" s="57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9">
        <f t="shared" si="0"/>
        <v>3.6279936227073155</v>
      </c>
      <c r="E16" s="57"/>
      <c r="F16" s="61"/>
      <c r="G16" s="8"/>
      <c r="H16" s="57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9">
        <f t="shared" si="0"/>
        <v>5.6536219602589046</v>
      </c>
      <c r="E17" s="57"/>
      <c r="F17" s="61"/>
      <c r="G17" s="8"/>
      <c r="H17" s="57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9">
        <f t="shared" si="0"/>
        <v>18.366220369758814</v>
      </c>
      <c r="E18" s="57"/>
      <c r="F18" s="61"/>
      <c r="G18" s="8"/>
      <c r="H18" s="57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9">
        <f t="shared" si="0"/>
        <v>9.6999332474668556</v>
      </c>
      <c r="E19" s="57"/>
      <c r="F19" s="61"/>
      <c r="G19" s="8"/>
      <c r="H19" s="57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9">
        <f t="shared" si="0"/>
        <v>10.393355749081858</v>
      </c>
      <c r="E20" s="57"/>
      <c r="F20" s="61"/>
      <c r="G20" s="8"/>
      <c r="H20" s="57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9" t="e">
        <f t="shared" si="0"/>
        <v>#DIV/0!</v>
      </c>
      <c r="E21" s="57"/>
      <c r="F21" s="61"/>
      <c r="G21" s="8"/>
      <c r="H21" s="57"/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40"/>
    </row>
    <row r="2" spans="1:4" ht="17" x14ac:dyDescent="0.2">
      <c r="A2" s="1" t="s">
        <v>41</v>
      </c>
      <c r="B2" s="58">
        <v>2761581</v>
      </c>
      <c r="C2" s="28"/>
      <c r="D2" s="40"/>
    </row>
    <row r="3" spans="1:4" x14ac:dyDescent="0.2">
      <c r="A3" s="1" t="s">
        <v>43</v>
      </c>
      <c r="B3" s="55" t="s">
        <v>34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9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9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9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9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9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9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9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9" t="e">
        <f t="shared" si="0"/>
        <v>#DIV/0!</v>
      </c>
    </row>
    <row r="13" spans="1:4" x14ac:dyDescent="0.2">
      <c r="A13" s="8">
        <v>43921</v>
      </c>
      <c r="B13" s="57"/>
      <c r="C13" s="26" t="e">
        <f t="shared" si="1"/>
        <v>#DIV/0!</v>
      </c>
      <c r="D13" s="39" t="e">
        <f t="shared" si="0"/>
        <v>#DIV/0!</v>
      </c>
    </row>
    <row r="14" spans="1:4" x14ac:dyDescent="0.2">
      <c r="A14" s="8">
        <v>43922</v>
      </c>
      <c r="B14" s="57"/>
      <c r="C14" s="26" t="e">
        <f t="shared" si="1"/>
        <v>#DIV/0!</v>
      </c>
      <c r="D14" s="39" t="e">
        <f t="shared" si="0"/>
        <v>#DIV/0!</v>
      </c>
    </row>
    <row r="15" spans="1:4" x14ac:dyDescent="0.2">
      <c r="A15" s="8">
        <v>43923</v>
      </c>
      <c r="B15" s="57"/>
      <c r="C15" s="26" t="e">
        <f t="shared" si="1"/>
        <v>#DIV/0!</v>
      </c>
      <c r="D15" s="39" t="e">
        <f t="shared" si="0"/>
        <v>#DIV/0!</v>
      </c>
    </row>
    <row r="16" spans="1:4" x14ac:dyDescent="0.2">
      <c r="A16" s="8">
        <v>43924</v>
      </c>
      <c r="B16" s="57"/>
      <c r="C16" s="26" t="e">
        <f t="shared" si="1"/>
        <v>#DIV/0!</v>
      </c>
      <c r="D16" s="39" t="e">
        <f t="shared" si="0"/>
        <v>#DIV/0!</v>
      </c>
    </row>
    <row r="17" spans="1:4" x14ac:dyDescent="0.2">
      <c r="A17" s="8">
        <v>43925</v>
      </c>
      <c r="B17" s="57"/>
      <c r="C17" s="26" t="e">
        <f t="shared" si="1"/>
        <v>#DIV/0!</v>
      </c>
      <c r="D17" s="39" t="e">
        <f t="shared" si="0"/>
        <v>#DIV/0!</v>
      </c>
    </row>
    <row r="18" spans="1:4" x14ac:dyDescent="0.2">
      <c r="A18" s="8">
        <v>43926</v>
      </c>
      <c r="B18" s="57"/>
      <c r="C18" s="26" t="e">
        <f t="shared" si="1"/>
        <v>#DIV/0!</v>
      </c>
      <c r="D18" s="39" t="e">
        <f t="shared" si="0"/>
        <v>#DIV/0!</v>
      </c>
    </row>
    <row r="19" spans="1:4" x14ac:dyDescent="0.2">
      <c r="A19" s="8">
        <v>43927</v>
      </c>
      <c r="B19" s="57"/>
      <c r="C19" s="26" t="e">
        <f t="shared" si="1"/>
        <v>#DIV/0!</v>
      </c>
      <c r="D19" s="39" t="e">
        <f t="shared" si="0"/>
        <v>#DIV/0!</v>
      </c>
    </row>
    <row r="20" spans="1:4" x14ac:dyDescent="0.2">
      <c r="A20" s="8">
        <v>43928</v>
      </c>
      <c r="B20" s="36"/>
      <c r="C20" s="26" t="e">
        <f t="shared" si="1"/>
        <v>#DIV/0!</v>
      </c>
      <c r="D20" s="39" t="e">
        <f t="shared" si="0"/>
        <v>#DIV/0!</v>
      </c>
    </row>
    <row r="21" spans="1:4" x14ac:dyDescent="0.2">
      <c r="A21" s="8">
        <v>43929</v>
      </c>
      <c r="B21" s="57"/>
      <c r="C21" s="26" t="e">
        <f t="shared" si="1"/>
        <v>#DIV/0!</v>
      </c>
      <c r="D21" s="39" t="e">
        <f t="shared" si="0"/>
        <v>#DIV/0!</v>
      </c>
    </row>
    <row r="22" spans="1:4" x14ac:dyDescent="0.2">
      <c r="A22" s="8">
        <v>43930</v>
      </c>
      <c r="B22" s="57"/>
      <c r="C22" s="26" t="e">
        <f t="shared" si="1"/>
        <v>#DIV/0!</v>
      </c>
      <c r="D22" s="39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40"/>
    </row>
    <row r="2" spans="1:4" ht="17" x14ac:dyDescent="0.2">
      <c r="A2" s="1" t="s">
        <v>41</v>
      </c>
      <c r="B2" s="58">
        <v>2761581</v>
      </c>
      <c r="C2" s="28"/>
      <c r="D2" s="40"/>
    </row>
    <row r="3" spans="1:4" x14ac:dyDescent="0.2">
      <c r="A3" s="1" t="s">
        <v>43</v>
      </c>
      <c r="B3" s="55" t="s">
        <v>35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9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9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9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9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9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9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9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9" t="e">
        <f t="shared" si="0"/>
        <v>#DIV/0!</v>
      </c>
    </row>
    <row r="13" spans="1:4" x14ac:dyDescent="0.2">
      <c r="A13" s="8">
        <v>43921</v>
      </c>
      <c r="B13" s="57"/>
      <c r="C13" s="26" t="e">
        <f t="shared" si="1"/>
        <v>#DIV/0!</v>
      </c>
      <c r="D13" s="39" t="e">
        <f t="shared" si="0"/>
        <v>#DIV/0!</v>
      </c>
    </row>
    <row r="14" spans="1:4" x14ac:dyDescent="0.2">
      <c r="A14" s="8">
        <v>43922</v>
      </c>
      <c r="B14" s="57"/>
      <c r="C14" s="26" t="e">
        <f t="shared" si="1"/>
        <v>#DIV/0!</v>
      </c>
      <c r="D14" s="39" t="e">
        <f t="shared" si="0"/>
        <v>#DIV/0!</v>
      </c>
    </row>
    <row r="15" spans="1:4" x14ac:dyDescent="0.2">
      <c r="A15" s="8">
        <v>43923</v>
      </c>
      <c r="B15" s="57"/>
      <c r="C15" s="26" t="e">
        <f t="shared" si="1"/>
        <v>#DIV/0!</v>
      </c>
      <c r="D15" s="39" t="e">
        <f t="shared" si="0"/>
        <v>#DIV/0!</v>
      </c>
    </row>
    <row r="16" spans="1:4" x14ac:dyDescent="0.2">
      <c r="A16" s="8">
        <v>43924</v>
      </c>
      <c r="B16" s="57"/>
      <c r="C16" s="26" t="e">
        <f t="shared" si="1"/>
        <v>#DIV/0!</v>
      </c>
      <c r="D16" s="39" t="e">
        <f t="shared" si="0"/>
        <v>#DIV/0!</v>
      </c>
    </row>
    <row r="17" spans="1:4" x14ac:dyDescent="0.2">
      <c r="A17" s="8">
        <v>43925</v>
      </c>
      <c r="B17" s="57"/>
      <c r="C17" s="26" t="e">
        <f t="shared" si="1"/>
        <v>#DIV/0!</v>
      </c>
      <c r="D17" s="39" t="e">
        <f t="shared" si="0"/>
        <v>#DIV/0!</v>
      </c>
    </row>
    <row r="18" spans="1:4" x14ac:dyDescent="0.2">
      <c r="A18" s="8">
        <v>43926</v>
      </c>
      <c r="B18" s="57"/>
      <c r="C18" s="26" t="e">
        <f t="shared" si="1"/>
        <v>#DIV/0!</v>
      </c>
      <c r="D18" s="39" t="e">
        <f t="shared" si="0"/>
        <v>#DIV/0!</v>
      </c>
    </row>
    <row r="19" spans="1:4" x14ac:dyDescent="0.2">
      <c r="A19" s="8">
        <v>43927</v>
      </c>
      <c r="B19" s="57"/>
      <c r="C19" s="26" t="e">
        <f t="shared" si="1"/>
        <v>#DIV/0!</v>
      </c>
      <c r="D19" s="39" t="e">
        <f t="shared" si="0"/>
        <v>#DIV/0!</v>
      </c>
    </row>
    <row r="20" spans="1:4" x14ac:dyDescent="0.2">
      <c r="A20" s="8">
        <v>43928</v>
      </c>
      <c r="B20" s="36"/>
      <c r="C20" s="26" t="e">
        <f t="shared" si="1"/>
        <v>#DIV/0!</v>
      </c>
      <c r="D20" s="39" t="e">
        <f t="shared" si="0"/>
        <v>#DIV/0!</v>
      </c>
    </row>
    <row r="21" spans="1:4" x14ac:dyDescent="0.2">
      <c r="A21" s="8">
        <v>43929</v>
      </c>
      <c r="B21" s="57"/>
      <c r="C21" s="26" t="e">
        <f t="shared" si="1"/>
        <v>#DIV/0!</v>
      </c>
      <c r="D21" s="39" t="e">
        <f t="shared" si="0"/>
        <v>#DIV/0!</v>
      </c>
    </row>
    <row r="22" spans="1:4" x14ac:dyDescent="0.2">
      <c r="A22" s="8">
        <v>43930</v>
      </c>
      <c r="B22" s="57"/>
      <c r="C22" s="26" t="e">
        <f t="shared" si="1"/>
        <v>#DIV/0!</v>
      </c>
      <c r="D22" s="39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5"/>
  <sheetViews>
    <sheetView workbookViewId="0">
      <selection activeCell="B26" sqref="B2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40"/>
    </row>
    <row r="2" spans="1:4" x14ac:dyDescent="0.2">
      <c r="A2" s="9" t="s">
        <v>41</v>
      </c>
      <c r="B2" s="62">
        <v>21477737</v>
      </c>
      <c r="C2" s="28"/>
      <c r="D2" s="40"/>
    </row>
    <row r="3" spans="1:4" x14ac:dyDescent="0.2">
      <c r="A3" s="9" t="s">
        <v>43</v>
      </c>
      <c r="B3" s="12" t="s">
        <v>34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57">
        <v>1096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57">
        <v>1330</v>
      </c>
      <c r="C6" s="26">
        <f>(B6-B5)/B5</f>
        <v>0.21350364963503649</v>
      </c>
      <c r="D6" s="39">
        <f t="shared" si="0"/>
        <v>3.5819383953620183</v>
      </c>
    </row>
    <row r="7" spans="1:4" x14ac:dyDescent="0.2">
      <c r="A7" s="8">
        <v>43915</v>
      </c>
      <c r="B7" s="57">
        <v>1583</v>
      </c>
      <c r="C7" s="26">
        <f t="shared" ref="C7:C21" si="1">(B7-B6)/B6</f>
        <v>0.19022556390977444</v>
      </c>
      <c r="D7" s="39">
        <f t="shared" si="0"/>
        <v>3.9803369801069528</v>
      </c>
    </row>
    <row r="8" spans="1:4" x14ac:dyDescent="0.2">
      <c r="A8" s="8">
        <v>43916</v>
      </c>
      <c r="B8" s="57">
        <v>2235</v>
      </c>
      <c r="C8" s="26">
        <f t="shared" si="1"/>
        <v>0.41187618445988627</v>
      </c>
      <c r="D8" s="39">
        <f t="shared" si="0"/>
        <v>2.0095914749191643</v>
      </c>
    </row>
    <row r="9" spans="1:4" x14ac:dyDescent="0.2">
      <c r="A9" s="8">
        <v>43917</v>
      </c>
      <c r="B9" s="57">
        <v>3198</v>
      </c>
      <c r="C9" s="26">
        <f t="shared" si="1"/>
        <v>0.43087248322147653</v>
      </c>
      <c r="D9" s="39">
        <f t="shared" si="0"/>
        <v>1.9346284878016375</v>
      </c>
    </row>
    <row r="10" spans="1:4" x14ac:dyDescent="0.2">
      <c r="A10" s="8">
        <v>43918</v>
      </c>
      <c r="B10" s="57">
        <v>3763</v>
      </c>
      <c r="C10" s="26">
        <f t="shared" si="1"/>
        <v>0.1766729205753596</v>
      </c>
      <c r="D10" s="39">
        <f t="shared" si="0"/>
        <v>4.260516061386098</v>
      </c>
    </row>
    <row r="11" spans="1:4" x14ac:dyDescent="0.2">
      <c r="A11" s="8">
        <v>43919</v>
      </c>
      <c r="B11" s="57">
        <v>4246</v>
      </c>
      <c r="C11" s="26">
        <f t="shared" si="1"/>
        <v>0.12835503587563116</v>
      </c>
      <c r="D11" s="39">
        <f t="shared" si="0"/>
        <v>5.7398334888813487</v>
      </c>
    </row>
    <row r="12" spans="1:4" x14ac:dyDescent="0.2">
      <c r="A12" s="8">
        <v>43920</v>
      </c>
      <c r="B12" s="57">
        <v>5473</v>
      </c>
      <c r="C12" s="26">
        <f t="shared" si="1"/>
        <v>0.28897786151672161</v>
      </c>
      <c r="D12" s="39">
        <f t="shared" si="0"/>
        <v>2.7305432828862481</v>
      </c>
    </row>
    <row r="13" spans="1:4" x14ac:dyDescent="0.2">
      <c r="A13" s="8">
        <v>43921</v>
      </c>
      <c r="B13" s="57">
        <v>6338</v>
      </c>
      <c r="C13" s="26">
        <f t="shared" si="1"/>
        <v>0.15804860222912478</v>
      </c>
      <c r="D13" s="39">
        <f t="shared" si="0"/>
        <v>4.7237592101650918</v>
      </c>
    </row>
    <row r="14" spans="1:4" x14ac:dyDescent="0.2">
      <c r="A14" s="8">
        <v>43922</v>
      </c>
      <c r="B14" s="57">
        <v>6954</v>
      </c>
      <c r="C14" s="26">
        <f t="shared" si="1"/>
        <v>9.7191543073524775E-2</v>
      </c>
      <c r="D14" s="39">
        <f t="shared" si="0"/>
        <v>7.4729810254126727</v>
      </c>
    </row>
    <row r="15" spans="1:4" x14ac:dyDescent="0.2">
      <c r="A15" s="8">
        <v>43923</v>
      </c>
      <c r="B15" s="57">
        <v>8010</v>
      </c>
      <c r="C15" s="26">
        <f t="shared" si="1"/>
        <v>0.15185504745470232</v>
      </c>
      <c r="D15" s="39">
        <f t="shared" si="0"/>
        <v>4.9029419598944255</v>
      </c>
    </row>
    <row r="16" spans="1:4" x14ac:dyDescent="0.2">
      <c r="A16" s="8">
        <v>43924</v>
      </c>
      <c r="B16" s="57">
        <v>9585</v>
      </c>
      <c r="C16" s="26">
        <f t="shared" si="1"/>
        <v>0.19662921348314608</v>
      </c>
      <c r="D16" s="39">
        <f t="shared" si="0"/>
        <v>3.8613588487017529</v>
      </c>
    </row>
    <row r="17" spans="1:4" x14ac:dyDescent="0.2">
      <c r="A17" s="8">
        <v>43925</v>
      </c>
      <c r="B17" s="57">
        <v>11111</v>
      </c>
      <c r="C17" s="26">
        <f t="shared" si="1"/>
        <v>0.15920709441836203</v>
      </c>
      <c r="D17" s="39">
        <f t="shared" si="0"/>
        <v>4.6917886742282757</v>
      </c>
    </row>
    <row r="18" spans="1:4" x14ac:dyDescent="0.2">
      <c r="A18" s="8">
        <v>43926</v>
      </c>
      <c r="B18" s="57">
        <v>12151</v>
      </c>
      <c r="C18" s="26">
        <f t="shared" si="1"/>
        <v>9.3600936009360092E-2</v>
      </c>
      <c r="D18" s="39">
        <f t="shared" si="0"/>
        <v>7.7467504928348845</v>
      </c>
    </row>
    <row r="19" spans="1:4" x14ac:dyDescent="0.2">
      <c r="A19" s="8">
        <v>43927</v>
      </c>
      <c r="B19" s="57">
        <v>13324</v>
      </c>
      <c r="C19" s="26">
        <f t="shared" si="1"/>
        <v>9.6535264587276765E-2</v>
      </c>
      <c r="D19" s="39">
        <f t="shared" si="0"/>
        <v>7.5214996512474244</v>
      </c>
    </row>
    <row r="20" spans="1:4" x14ac:dyDescent="0.2">
      <c r="A20" s="8">
        <v>43928</v>
      </c>
      <c r="B20" s="57">
        <v>14504</v>
      </c>
      <c r="C20" s="26">
        <f t="shared" si="1"/>
        <v>8.8561993395376765E-2</v>
      </c>
      <c r="D20" s="39">
        <f t="shared" si="0"/>
        <v>8.1683616256365585</v>
      </c>
    </row>
    <row r="21" spans="1:4" x14ac:dyDescent="0.2">
      <c r="A21" s="8">
        <v>43929</v>
      </c>
      <c r="B21" s="57">
        <v>15456</v>
      </c>
      <c r="C21" s="26">
        <f t="shared" si="1"/>
        <v>6.5637065637065631E-2</v>
      </c>
      <c r="D21" s="39">
        <f t="shared" si="0"/>
        <v>10.903202891096551</v>
      </c>
    </row>
    <row r="22" spans="1:4" x14ac:dyDescent="0.2">
      <c r="A22" s="8">
        <v>43930</v>
      </c>
      <c r="B22" s="57">
        <v>16364</v>
      </c>
      <c r="C22" s="26">
        <f t="shared" ref="C22" si="2">(B22-B21)/B21</f>
        <v>5.8747412008281576E-2</v>
      </c>
      <c r="D22" s="39">
        <f t="shared" ref="D22" si="3">(LN(2)/LN(B22/B21))</f>
        <v>12.142045951078709</v>
      </c>
    </row>
    <row r="23" spans="1:4" x14ac:dyDescent="0.2">
      <c r="A23" s="8">
        <v>43931</v>
      </c>
      <c r="B23" s="57">
        <v>17531</v>
      </c>
      <c r="C23" s="26">
        <f t="shared" ref="C23" si="4">(B23-B22)/B22</f>
        <v>7.1315081887069171E-2</v>
      </c>
      <c r="D23" s="39">
        <f t="shared" ref="D23" si="5">(LN(2)/LN(B23/B22))</f>
        <v>10.06209823474501</v>
      </c>
    </row>
    <row r="24" spans="1:4" x14ac:dyDescent="0.2">
      <c r="A24" s="8">
        <v>43932</v>
      </c>
      <c r="B24" s="57">
        <v>18494</v>
      </c>
      <c r="C24" s="26">
        <f t="shared" ref="C24" si="6">(B24-B23)/B23</f>
        <v>5.4931264616964237E-2</v>
      </c>
      <c r="D24" s="39">
        <f t="shared" ref="D24" si="7">(LN(2)/LN(B24/B23))</f>
        <v>12.961930578775871</v>
      </c>
    </row>
    <row r="25" spans="1:4" x14ac:dyDescent="0.2">
      <c r="A25" s="8">
        <v>43933</v>
      </c>
      <c r="B25" s="57">
        <v>19347</v>
      </c>
      <c r="C25" s="26">
        <f t="shared" ref="C25" si="8">(B25-B24)/B24</f>
        <v>4.6123066940629391E-2</v>
      </c>
      <c r="D25" s="39">
        <f t="shared" ref="D25" si="9">(LN(2)/LN(B25/B24))</f>
        <v>15.372180089302603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26"/>
  <sheetViews>
    <sheetView workbookViewId="0">
      <selection sqref="A1:B26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40"/>
    </row>
    <row r="2" spans="1:4" x14ac:dyDescent="0.2">
      <c r="A2" s="9" t="s">
        <v>41</v>
      </c>
      <c r="B2" s="62">
        <v>21477737</v>
      </c>
      <c r="C2" s="28"/>
      <c r="D2" s="40"/>
    </row>
    <row r="3" spans="1:4" x14ac:dyDescent="0.2">
      <c r="A3" s="9" t="s">
        <v>43</v>
      </c>
      <c r="B3" s="12" t="s">
        <v>35</v>
      </c>
      <c r="C3" s="28"/>
      <c r="D3" s="40"/>
    </row>
    <row r="4" spans="1:4" ht="52" thickBot="1" x14ac:dyDescent="0.25">
      <c r="A4" s="63" t="s">
        <v>0</v>
      </c>
      <c r="B4" s="64" t="s">
        <v>1</v>
      </c>
      <c r="C4" s="66" t="s">
        <v>31</v>
      </c>
      <c r="D4" s="66" t="s">
        <v>39</v>
      </c>
    </row>
    <row r="5" spans="1:4" x14ac:dyDescent="0.2">
      <c r="A5" s="8">
        <v>43913</v>
      </c>
      <c r="B5" s="57">
        <v>1147</v>
      </c>
      <c r="C5" s="26" t="e">
        <f>(Table2[[#This Row],[cases]]-B4)/B4</f>
        <v>#VALUE!</v>
      </c>
      <c r="D5" s="39" t="e">
        <f t="shared" ref="D5:D21" si="0">(LN(2)/LN(B5/B4))</f>
        <v>#VALUE!</v>
      </c>
    </row>
    <row r="6" spans="1:4" x14ac:dyDescent="0.2">
      <c r="A6" s="8">
        <v>43914</v>
      </c>
      <c r="B6" s="57">
        <v>1379</v>
      </c>
      <c r="C6" s="26">
        <f>(B6-B5)/B5</f>
        <v>0.20226678291194419</v>
      </c>
      <c r="D6" s="39">
        <f t="shared" si="0"/>
        <v>3.7628350468331795</v>
      </c>
    </row>
    <row r="7" spans="1:4" x14ac:dyDescent="0.2">
      <c r="A7" s="8">
        <v>43915</v>
      </c>
      <c r="B7" s="57">
        <v>1867</v>
      </c>
      <c r="C7" s="26">
        <f t="shared" ref="C7:C21" si="1">(B7-B6)/B6</f>
        <v>0.3538796229151559</v>
      </c>
      <c r="D7" s="39">
        <f t="shared" si="0"/>
        <v>2.2878087643770719</v>
      </c>
    </row>
    <row r="8" spans="1:4" x14ac:dyDescent="0.2">
      <c r="A8" s="8">
        <v>43916</v>
      </c>
      <c r="B8" s="57">
        <v>2484</v>
      </c>
      <c r="C8" s="26">
        <f t="shared" si="1"/>
        <v>0.33047670058918049</v>
      </c>
      <c r="D8" s="39">
        <f t="shared" si="0"/>
        <v>2.4275188626684923</v>
      </c>
    </row>
    <row r="9" spans="1:4" x14ac:dyDescent="0.2">
      <c r="A9" s="8">
        <v>43917</v>
      </c>
      <c r="B9" s="57">
        <v>3198</v>
      </c>
      <c r="C9" s="26">
        <f t="shared" si="1"/>
        <v>0.28743961352657005</v>
      </c>
      <c r="D9" s="39">
        <f t="shared" si="0"/>
        <v>2.7434483587261567</v>
      </c>
    </row>
    <row r="10" spans="1:4" x14ac:dyDescent="0.2">
      <c r="A10" s="8">
        <v>43918</v>
      </c>
      <c r="B10" s="57">
        <v>4038</v>
      </c>
      <c r="C10" s="26">
        <f t="shared" si="1"/>
        <v>0.26266416510318952</v>
      </c>
      <c r="D10" s="39">
        <f t="shared" si="0"/>
        <v>2.9720245835721353</v>
      </c>
    </row>
    <row r="11" spans="1:4" x14ac:dyDescent="0.2">
      <c r="A11" s="8">
        <v>43919</v>
      </c>
      <c r="B11" s="57">
        <v>4950</v>
      </c>
      <c r="C11" s="26">
        <f t="shared" si="1"/>
        <v>0.22585438335809807</v>
      </c>
      <c r="D11" s="39">
        <f t="shared" si="0"/>
        <v>3.4038194619745781</v>
      </c>
    </row>
    <row r="12" spans="1:4" x14ac:dyDescent="0.2">
      <c r="A12" s="8">
        <v>43920</v>
      </c>
      <c r="B12" s="57">
        <v>5704</v>
      </c>
      <c r="C12" s="26">
        <f t="shared" si="1"/>
        <v>0.15232323232323233</v>
      </c>
      <c r="D12" s="39">
        <f t="shared" si="0"/>
        <v>4.8888888400323909</v>
      </c>
    </row>
    <row r="13" spans="1:4" x14ac:dyDescent="0.2">
      <c r="A13" s="8">
        <v>43921</v>
      </c>
      <c r="B13" s="57">
        <v>6741</v>
      </c>
      <c r="C13" s="26">
        <f t="shared" si="1"/>
        <v>0.1818022440392707</v>
      </c>
      <c r="D13" s="39">
        <f t="shared" si="0"/>
        <v>4.149573131970862</v>
      </c>
    </row>
    <row r="14" spans="1:4" x14ac:dyDescent="0.2">
      <c r="A14" s="8">
        <v>43922</v>
      </c>
      <c r="B14" s="57">
        <v>7773</v>
      </c>
      <c r="C14" s="26">
        <f t="shared" si="1"/>
        <v>0.15309301290609703</v>
      </c>
      <c r="D14" s="39">
        <f t="shared" si="0"/>
        <v>4.8659695214796796</v>
      </c>
    </row>
    <row r="15" spans="1:4" x14ac:dyDescent="0.2">
      <c r="A15" s="8">
        <v>43923</v>
      </c>
      <c r="B15" s="57">
        <v>9008</v>
      </c>
      <c r="C15" s="26">
        <f t="shared" si="1"/>
        <v>0.15888331403576483</v>
      </c>
      <c r="D15" s="39">
        <f t="shared" si="0"/>
        <v>4.7006770735803105</v>
      </c>
    </row>
    <row r="16" spans="1:4" x14ac:dyDescent="0.2">
      <c r="A16" s="8">
        <v>43924</v>
      </c>
      <c r="B16" s="57">
        <v>10268</v>
      </c>
      <c r="C16" s="26">
        <f t="shared" si="1"/>
        <v>0.13987566607460036</v>
      </c>
      <c r="D16" s="39">
        <f t="shared" si="0"/>
        <v>5.2944657847913597</v>
      </c>
    </row>
    <row r="17" spans="1:4" x14ac:dyDescent="0.2">
      <c r="A17" s="8">
        <v>43925</v>
      </c>
      <c r="B17" s="57">
        <v>11545</v>
      </c>
      <c r="C17" s="26">
        <f t="shared" si="1"/>
        <v>0.12436696532917803</v>
      </c>
      <c r="D17" s="39">
        <f t="shared" si="0"/>
        <v>5.9132069389160344</v>
      </c>
    </row>
    <row r="18" spans="1:4" x14ac:dyDescent="0.2">
      <c r="A18" s="8">
        <v>43926</v>
      </c>
      <c r="B18" s="57">
        <v>12350</v>
      </c>
      <c r="C18" s="26">
        <f t="shared" si="1"/>
        <v>6.9727154612386308E-2</v>
      </c>
      <c r="D18" s="39">
        <f t="shared" si="0"/>
        <v>10.283530436626666</v>
      </c>
    </row>
    <row r="19" spans="1:4" x14ac:dyDescent="0.2">
      <c r="A19" s="8">
        <v>43927</v>
      </c>
      <c r="B19" s="57">
        <v>13629</v>
      </c>
      <c r="C19" s="26">
        <f t="shared" si="1"/>
        <v>0.10356275303643725</v>
      </c>
      <c r="D19" s="39">
        <f t="shared" si="0"/>
        <v>7.0338985663313718</v>
      </c>
    </row>
    <row r="20" spans="1:4" x14ac:dyDescent="0.2">
      <c r="A20" s="8">
        <v>43928</v>
      </c>
      <c r="B20" s="57">
        <v>14747</v>
      </c>
      <c r="C20" s="26">
        <f t="shared" si="1"/>
        <v>8.2030963386895583E-2</v>
      </c>
      <c r="D20" s="39">
        <f t="shared" si="0"/>
        <v>8.7918438211140977</v>
      </c>
    </row>
    <row r="21" spans="1:4" x14ac:dyDescent="0.2">
      <c r="A21" s="8">
        <v>43929</v>
      </c>
      <c r="B21" s="57">
        <v>15698</v>
      </c>
      <c r="C21" s="26">
        <f t="shared" si="1"/>
        <v>6.4487692412016004E-2</v>
      </c>
      <c r="D21" s="39">
        <f t="shared" si="0"/>
        <v>11.091482948530885</v>
      </c>
    </row>
    <row r="22" spans="1:4" x14ac:dyDescent="0.2">
      <c r="A22" s="8">
        <v>43930</v>
      </c>
      <c r="B22" s="57">
        <v>16826</v>
      </c>
      <c r="C22" s="26">
        <f t="shared" ref="C22:C23" si="2">(B22-B21)/B21</f>
        <v>7.1856287425149698E-2</v>
      </c>
      <c r="D22" s="39">
        <f t="shared" ref="D22:D23" si="3">(LN(2)/LN(B22/B21))</f>
        <v>9.988863935997184</v>
      </c>
    </row>
    <row r="23" spans="1:4" x14ac:dyDescent="0.2">
      <c r="A23" s="8">
        <v>43931</v>
      </c>
      <c r="B23" s="57">
        <v>17968</v>
      </c>
      <c r="C23" s="26">
        <f t="shared" si="2"/>
        <v>6.7871151788898132E-2</v>
      </c>
      <c r="D23" s="39">
        <f t="shared" si="3"/>
        <v>10.555472954784234</v>
      </c>
    </row>
    <row r="24" spans="1:4" x14ac:dyDescent="0.2">
      <c r="A24" s="8">
        <v>43932</v>
      </c>
      <c r="B24" s="57">
        <v>18986</v>
      </c>
      <c r="C24" s="26">
        <f t="shared" ref="C24" si="4">(B24-B23)/B23</f>
        <v>5.6656277827248441E-2</v>
      </c>
      <c r="D24" s="39">
        <f t="shared" ref="D24" si="5">(LN(2)/LN(B24/B23))</f>
        <v>12.577642507955398</v>
      </c>
    </row>
    <row r="25" spans="1:4" x14ac:dyDescent="0.2">
      <c r="A25" s="8">
        <v>43933</v>
      </c>
      <c r="B25" s="57">
        <v>19895</v>
      </c>
      <c r="C25" s="26">
        <f t="shared" ref="C25" si="6">(B25-B24)/B24</f>
        <v>4.7877383335089015E-2</v>
      </c>
      <c r="D25" s="39">
        <f t="shared" ref="D25" si="7">(LN(2)/LN(B25/B24))</f>
        <v>14.821421707304372</v>
      </c>
    </row>
    <row r="26" spans="1:4" x14ac:dyDescent="0.2">
      <c r="A26" s="8">
        <v>43934</v>
      </c>
      <c r="B26" s="57">
        <v>21019</v>
      </c>
      <c r="C26" s="26">
        <f t="shared" ref="C26" si="8">(B26-B25)/B25</f>
        <v>5.6496607187735609E-2</v>
      </c>
      <c r="D26" s="39">
        <f t="shared" ref="D26" si="9">(LN(2)/LN(B26/B25))</f>
        <v>12.612227663194551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8" t="s">
        <v>49</v>
      </c>
      <c r="C1" s="28"/>
      <c r="D1" s="40"/>
    </row>
    <row r="2" spans="1:4" x14ac:dyDescent="0.2">
      <c r="A2" s="1" t="s">
        <v>41</v>
      </c>
      <c r="B2" s="70">
        <v>2231647</v>
      </c>
      <c r="C2" s="28"/>
      <c r="D2" s="40"/>
    </row>
    <row r="3" spans="1:4" x14ac:dyDescent="0.2">
      <c r="A3" s="1" t="s">
        <v>43</v>
      </c>
      <c r="B3" s="69" t="s">
        <v>50</v>
      </c>
      <c r="C3" s="28"/>
      <c r="D3" s="40"/>
    </row>
    <row r="4" spans="1:4" ht="35" thickBot="1" x14ac:dyDescent="0.25">
      <c r="A4" s="53" t="s">
        <v>0</v>
      </c>
      <c r="B4" s="54" t="s">
        <v>1</v>
      </c>
      <c r="C4" s="66" t="s">
        <v>31</v>
      </c>
      <c r="D4" s="66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9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9">
        <f t="shared" ref="D6:D15" si="1">(LN(2)/LN(B6/B5))</f>
        <v>4.8377816315098832</v>
      </c>
    </row>
    <row r="7" spans="1:4" x14ac:dyDescent="0.2">
      <c r="A7" s="8">
        <v>43921</v>
      </c>
      <c r="B7" s="57">
        <v>961</v>
      </c>
      <c r="C7" s="26">
        <f t="shared" si="0"/>
        <v>0.10586881472957423</v>
      </c>
      <c r="D7" s="39">
        <f t="shared" si="1"/>
        <v>6.8879890531118244</v>
      </c>
    </row>
    <row r="8" spans="1:4" x14ac:dyDescent="0.2">
      <c r="A8" s="8">
        <v>43922</v>
      </c>
      <c r="B8" s="57">
        <v>1125</v>
      </c>
      <c r="C8" s="26">
        <f t="shared" si="0"/>
        <v>0.17065556711758584</v>
      </c>
      <c r="D8" s="39">
        <f t="shared" si="1"/>
        <v>4.3991495236190712</v>
      </c>
    </row>
    <row r="9" spans="1:4" x14ac:dyDescent="0.2">
      <c r="A9" s="8">
        <v>43923</v>
      </c>
      <c r="B9" s="57">
        <v>1279</v>
      </c>
      <c r="C9" s="26">
        <f t="shared" si="0"/>
        <v>0.13688888888888889</v>
      </c>
      <c r="D9" s="39">
        <f t="shared" si="1"/>
        <v>5.4027401671764901</v>
      </c>
    </row>
    <row r="10" spans="1:4" x14ac:dyDescent="0.2">
      <c r="A10" s="8">
        <v>43924</v>
      </c>
      <c r="B10" s="57">
        <v>1418</v>
      </c>
      <c r="C10" s="26">
        <f t="shared" si="0"/>
        <v>0.10867865519937452</v>
      </c>
      <c r="D10" s="39">
        <f t="shared" si="1"/>
        <v>6.7185667727284111</v>
      </c>
    </row>
    <row r="11" spans="1:4" x14ac:dyDescent="0.2">
      <c r="A11" s="8">
        <v>43925</v>
      </c>
      <c r="B11" s="57">
        <v>1519</v>
      </c>
      <c r="C11" s="26">
        <f t="shared" si="0"/>
        <v>7.1227080394922426E-2</v>
      </c>
      <c r="D11" s="39">
        <f t="shared" si="1"/>
        <v>10.074111484317552</v>
      </c>
    </row>
    <row r="12" spans="1:4" x14ac:dyDescent="0.2">
      <c r="A12" s="8">
        <v>43926</v>
      </c>
      <c r="B12" s="57">
        <v>1608</v>
      </c>
      <c r="C12" s="26">
        <f t="shared" si="0"/>
        <v>5.8591178406846613E-2</v>
      </c>
      <c r="D12" s="39">
        <f t="shared" si="1"/>
        <v>12.173515938351329</v>
      </c>
    </row>
    <row r="13" spans="1:4" x14ac:dyDescent="0.2">
      <c r="A13" s="8">
        <v>43927</v>
      </c>
      <c r="B13" s="57">
        <v>1734</v>
      </c>
      <c r="C13" s="26">
        <f t="shared" si="0"/>
        <v>7.8358208955223885E-2</v>
      </c>
      <c r="D13" s="39">
        <f t="shared" si="1"/>
        <v>9.1880947394534846</v>
      </c>
    </row>
    <row r="14" spans="1:4" x14ac:dyDescent="0.2">
      <c r="A14" s="8">
        <v>43928</v>
      </c>
      <c r="B14" s="36">
        <v>1878</v>
      </c>
      <c r="C14" s="26">
        <f t="shared" si="0"/>
        <v>8.3044982698961933E-2</v>
      </c>
      <c r="D14" s="39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9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7"/>
    </row>
    <row r="23" spans="2:2" x14ac:dyDescent="0.2">
      <c r="B23" s="57"/>
    </row>
    <row r="24" spans="2:2" x14ac:dyDescent="0.2">
      <c r="B24" s="57"/>
    </row>
    <row r="25" spans="2:2" x14ac:dyDescent="0.2">
      <c r="B25" s="57"/>
    </row>
    <row r="26" spans="2:2" x14ac:dyDescent="0.2">
      <c r="B26" s="57"/>
    </row>
    <row r="27" spans="2:2" x14ac:dyDescent="0.2">
      <c r="B27" s="57"/>
    </row>
    <row r="28" spans="2:2" x14ac:dyDescent="0.2">
      <c r="B28" s="57"/>
    </row>
    <row r="29" spans="2:2" x14ac:dyDescent="0.2">
      <c r="B29" s="36"/>
    </row>
    <row r="30" spans="2:2" x14ac:dyDescent="0.2">
      <c r="B30" s="57"/>
    </row>
    <row r="31" spans="2:2" x14ac:dyDescent="0.2">
      <c r="B31" s="57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Cases</vt:lpstr>
      <vt:lpstr>% Increase</vt:lpstr>
      <vt:lpstr>Doubling Time</vt:lpstr>
      <vt:lpstr>Number of Infections</vt:lpstr>
      <vt:lpstr>Case Percentage</vt:lpstr>
      <vt:lpstr>Infection Projection</vt:lpstr>
      <vt:lpstr>Infection Odds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2020-04-14T00:42:13Z</dcterms:modified>
</cp:coreProperties>
</file>