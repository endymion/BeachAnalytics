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CoV2/"/>
    </mc:Choice>
  </mc:AlternateContent>
  <xr:revisionPtr revIDLastSave="0" documentId="13_ncr:1_{368920E7-3FA3-314E-BFD1-91D08E4D1814}" xr6:coauthVersionLast="45" xr6:coauthVersionMax="45" xr10:uidLastSave="{00000000-0000-0000-0000-000000000000}"/>
  <bookViews>
    <workbookView xWindow="0" yWindow="460" windowWidth="28800" windowHeight="17540" firstSheet="3" activeTab="5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Case Percentage" sheetId="23" r:id="rId5"/>
    <sheet name="Infection Projection" sheetId="4" r:id="rId6"/>
    <sheet name="Infection Odds" sheetId="2" r:id="rId7"/>
    <sheet name="dashboard" sheetId="6" r:id="rId8"/>
    <sheet name="compute" sheetId="1" r:id="rId9"/>
    <sheet name="Miami Beach morning" sheetId="9" r:id="rId10"/>
    <sheet name="Miami Beach evening" sheetId="10" r:id="rId11"/>
    <sheet name="Miami morning" sheetId="11" r:id="rId12"/>
    <sheet name="Miami evening" sheetId="12" r:id="rId13"/>
    <sheet name="Melbourne morning" sheetId="13" r:id="rId14"/>
    <sheet name="Melbourne evening" sheetId="14" r:id="rId15"/>
    <sheet name="Dade morning" sheetId="18" r:id="rId16"/>
    <sheet name="Dade evening" sheetId="19" r:id="rId17"/>
    <sheet name="Florida morning" sheetId="15" r:id="rId18"/>
    <sheet name="Florida evening" sheetId="16" r:id="rId19"/>
    <sheet name="Clark (NV) daily" sheetId="20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" l="1"/>
  <c r="D27" i="1"/>
  <c r="E27" i="1"/>
  <c r="F27" i="1"/>
  <c r="G27" i="1"/>
  <c r="H27" i="1"/>
  <c r="I27" i="1"/>
  <c r="J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C26" i="1"/>
  <c r="D26" i="1"/>
  <c r="E26" i="1"/>
  <c r="F26" i="1"/>
  <c r="G26" i="1"/>
  <c r="H26" i="1"/>
  <c r="I26" i="1" s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J26" i="1" l="1"/>
  <c r="T12" i="1"/>
  <c r="U34" i="1" s="1"/>
  <c r="C25" i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C24" i="1"/>
  <c r="D24" i="1"/>
  <c r="E24" i="1"/>
  <c r="G24" i="1"/>
  <c r="H24" i="1"/>
  <c r="C24" i="9"/>
  <c r="D24" i="9"/>
  <c r="C24" i="11"/>
  <c r="D24" i="11"/>
  <c r="C24" i="15"/>
  <c r="D24" i="15"/>
  <c r="C13" i="1"/>
  <c r="C14" i="1"/>
  <c r="C15" i="1"/>
  <c r="C16" i="1"/>
  <c r="C17" i="1"/>
  <c r="C18" i="1"/>
  <c r="C19" i="1"/>
  <c r="C20" i="1"/>
  <c r="C21" i="1"/>
  <c r="C22" i="1"/>
  <c r="C23" i="1"/>
  <c r="C5" i="1"/>
  <c r="C6" i="1"/>
  <c r="C7" i="1"/>
  <c r="C8" i="1"/>
  <c r="C9" i="1"/>
  <c r="C10" i="1"/>
  <c r="C11" i="1"/>
  <c r="C12" i="1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T6" i="1"/>
  <c r="U28" i="1" s="1"/>
  <c r="T9" i="1"/>
  <c r="C6" i="6" s="1"/>
  <c r="W6" i="1"/>
  <c r="S9" i="1"/>
  <c r="S6" i="1"/>
  <c r="K27" i="1" l="1"/>
  <c r="L27" i="1"/>
  <c r="P27" i="1"/>
  <c r="O27" i="1"/>
  <c r="K26" i="1"/>
  <c r="O26" i="1"/>
  <c r="L26" i="1"/>
  <c r="P26" i="1"/>
  <c r="L25" i="1"/>
  <c r="K25" i="1"/>
  <c r="P25" i="1"/>
  <c r="O25" i="1"/>
  <c r="L24" i="1"/>
  <c r="P24" i="1"/>
  <c r="K24" i="1"/>
  <c r="O24" i="1"/>
  <c r="K23" i="1"/>
  <c r="P23" i="1"/>
  <c r="L23" i="1"/>
  <c r="O23" i="1"/>
  <c r="K16" i="1"/>
  <c r="O16" i="1"/>
  <c r="K17" i="1"/>
  <c r="O18" i="1"/>
  <c r="L19" i="1"/>
  <c r="K20" i="1"/>
  <c r="P20" i="1"/>
  <c r="O21" i="1"/>
  <c r="L22" i="1"/>
  <c r="L18" i="1"/>
  <c r="P19" i="1"/>
  <c r="K21" i="1"/>
  <c r="O20" i="1"/>
  <c r="K22" i="1"/>
  <c r="L16" i="1"/>
  <c r="P16" i="1"/>
  <c r="L17" i="1"/>
  <c r="K18" i="1"/>
  <c r="P18" i="1"/>
  <c r="O19" i="1"/>
  <c r="L20" i="1"/>
  <c r="P21" i="1"/>
  <c r="O17" i="1"/>
  <c r="O22" i="1"/>
  <c r="P17" i="1"/>
  <c r="K19" i="1"/>
  <c r="L21" i="1"/>
  <c r="P22" i="1"/>
  <c r="R22" i="1" s="1"/>
  <c r="U32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27" i="1" l="1"/>
  <c r="Q27" i="1"/>
  <c r="R27" i="1"/>
  <c r="M27" i="1"/>
  <c r="M26" i="1"/>
  <c r="Q26" i="1"/>
  <c r="R26" i="1"/>
  <c r="N26" i="1"/>
  <c r="M25" i="1"/>
  <c r="Q25" i="1"/>
  <c r="R25" i="1"/>
  <c r="N24" i="1"/>
  <c r="N25" i="1"/>
  <c r="Q24" i="1"/>
  <c r="R24" i="1"/>
  <c r="M24" i="1"/>
  <c r="N21" i="1"/>
  <c r="R23" i="1"/>
  <c r="Q22" i="1"/>
  <c r="Q18" i="1"/>
  <c r="N23" i="1"/>
  <c r="M16" i="1"/>
  <c r="M23" i="1"/>
  <c r="N19" i="1"/>
  <c r="Q23" i="1"/>
  <c r="R20" i="1"/>
  <c r="N17" i="1"/>
  <c r="R19" i="1"/>
  <c r="Q19" i="1"/>
  <c r="M21" i="1"/>
  <c r="Q17" i="1"/>
  <c r="R17" i="1"/>
  <c r="R18" i="1"/>
  <c r="N18" i="1"/>
  <c r="M18" i="1"/>
  <c r="Q16" i="1"/>
  <c r="R16" i="1"/>
  <c r="R21" i="1"/>
  <c r="Q21" i="1"/>
  <c r="N20" i="1"/>
  <c r="M20" i="1"/>
  <c r="M17" i="1"/>
  <c r="Q20" i="1"/>
  <c r="N22" i="1"/>
  <c r="M22" i="1"/>
  <c r="M19" i="1"/>
  <c r="N16" i="1"/>
  <c r="T21" i="1"/>
  <c r="U40" i="1" s="1"/>
  <c r="C8" i="6" s="1"/>
  <c r="T30" i="1"/>
  <c r="U42" i="1" s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L5" i="1"/>
  <c r="L6" i="1"/>
  <c r="L7" i="1"/>
  <c r="L8" i="1"/>
  <c r="L9" i="1"/>
  <c r="L10" i="1"/>
  <c r="L11" i="1"/>
  <c r="L12" i="1"/>
  <c r="L13" i="1"/>
  <c r="L14" i="1"/>
  <c r="L15" i="1"/>
  <c r="K5" i="1"/>
  <c r="K6" i="1"/>
  <c r="K7" i="1"/>
  <c r="K8" i="1"/>
  <c r="K9" i="1"/>
  <c r="K10" i="1"/>
  <c r="J11" i="1"/>
  <c r="K12" i="1"/>
  <c r="K13" i="1"/>
  <c r="K14" i="1"/>
  <c r="J15" i="1"/>
  <c r="N12" i="1" l="1"/>
  <c r="N8" i="1"/>
  <c r="N7" i="1"/>
  <c r="G8" i="6"/>
  <c r="U44" i="1"/>
  <c r="N9" i="1"/>
  <c r="Q10" i="1"/>
  <c r="R12" i="1"/>
  <c r="Q9" i="1"/>
  <c r="R11" i="1"/>
  <c r="Q5" i="1"/>
  <c r="R7" i="1"/>
  <c r="R9" i="1"/>
  <c r="Q11" i="1"/>
  <c r="R13" i="1"/>
  <c r="R15" i="1"/>
  <c r="Q15" i="1"/>
  <c r="R5" i="1"/>
  <c r="Q7" i="1"/>
  <c r="Q13" i="1"/>
  <c r="R10" i="1"/>
  <c r="Q12" i="1"/>
  <c r="R14" i="1"/>
  <c r="N5" i="1"/>
  <c r="Q14" i="1"/>
  <c r="M13" i="1"/>
  <c r="N13" i="1"/>
  <c r="M9" i="1"/>
  <c r="M12" i="1"/>
  <c r="M8" i="1"/>
  <c r="N14" i="1"/>
  <c r="N10" i="1"/>
  <c r="N6" i="1"/>
  <c r="M7" i="1"/>
  <c r="K15" i="1"/>
  <c r="N15" i="1" s="1"/>
  <c r="K11" i="1"/>
  <c r="N11" i="1" s="1"/>
  <c r="M14" i="1"/>
  <c r="M10" i="1"/>
  <c r="M6" i="1"/>
  <c r="M5" i="1"/>
  <c r="R6" i="1"/>
  <c r="J14" i="1"/>
  <c r="J10" i="1"/>
  <c r="J6" i="1"/>
  <c r="I13" i="1"/>
  <c r="I9" i="1"/>
  <c r="J5" i="1"/>
  <c r="Q6" i="1"/>
  <c r="R8" i="1"/>
  <c r="Q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T15" i="1" l="1"/>
  <c r="U36" i="1" s="1"/>
  <c r="T18" i="1"/>
  <c r="U38" i="1" s="1"/>
  <c r="M11" i="1"/>
  <c r="M15" i="1"/>
  <c r="C14" i="6" l="1"/>
  <c r="G6" i="6"/>
  <c r="G14" i="6"/>
</calcChain>
</file>

<file path=xl/sharedStrings.xml><?xml version="1.0" encoding="utf-8"?>
<sst xmlns="http://schemas.openxmlformats.org/spreadsheetml/2006/main" count="162" uniqueCount="62">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</sst>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02295475777393"/>
          <c:y val="0.15932203389830507"/>
          <c:w val="0.85718910983584684"/>
          <c:h val="0.72242946750300285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B1-2147-99CA-ED8FAC8546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B1-2147-99CA-ED8FAC8546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B1-2147-99CA-ED8FAC85464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B1-2147-99CA-ED8FAC85464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B1-2147-99CA-ED8FAC85464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B1-2147-99CA-ED8FAC85464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B1-2147-99CA-ED8FAC85464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B1-2147-99CA-ED8FAC85464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B1-2147-99CA-ED8FAC85464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B1-2147-99CA-ED8FAC85464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B1-2147-99CA-ED8FAC85464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B1-2147-99CA-ED8FAC85464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B1-2147-99CA-ED8FAC85464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B1-2147-99CA-ED8FAC85464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B1-2147-99CA-ED8FAC85464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B1-2147-99CA-ED8FAC854646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B1-2147-99CA-ED8FAC85464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65-4F45-8804-2792797754A3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A6-BF47-9A65-569AA747079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F8-D441-BE88-F1074230DF7C}"/>
                </c:ext>
              </c:extLst>
            </c:dLbl>
            <c:dLbl>
              <c:idx val="20"/>
              <c:layout>
                <c:manualLayout>
                  <c:x val="-0.10501788335780061"/>
                  <c:y val="-2.71186440677966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F8-D441-BE88-F1074230DF7C}"/>
                </c:ext>
              </c:extLst>
            </c:dLbl>
            <c:dLbl>
              <c:idx val="21"/>
              <c:layout>
                <c:manualLayout>
                  <c:x val="-0.10320726010943547"/>
                  <c:y val="-2.88116909115174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F8-D441-BE88-F1074230DF7C}"/>
                </c:ext>
              </c:extLst>
            </c:dLbl>
            <c:dLbl>
              <c:idx val="22"/>
              <c:layout>
                <c:manualLayout>
                  <c:x val="-7.796610169491526E-2"/>
                  <c:y val="-5.2542372881355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F8-D441-BE88-F1074230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compute!$B$5:$B$10009</c:f>
              <c:numCache>
                <c:formatCode>General</c:formatCode>
                <c:ptCount val="10005"/>
                <c:pt idx="0">
                  <c:v>148</c:v>
                </c:pt>
                <c:pt idx="1">
                  <c:v>181</c:v>
                </c:pt>
                <c:pt idx="2">
                  <c:v>211</c:v>
                </c:pt>
                <c:pt idx="3">
                  <c:v>331</c:v>
                </c:pt>
                <c:pt idx="4">
                  <c:v>464</c:v>
                </c:pt>
                <c:pt idx="5">
                  <c:v>539</c:v>
                </c:pt>
                <c:pt idx="6">
                  <c:v>643</c:v>
                </c:pt>
                <c:pt idx="7">
                  <c:v>897</c:v>
                </c:pt>
                <c:pt idx="8" formatCode="#,##0">
                  <c:v>1047</c:v>
                </c:pt>
                <c:pt idx="9" formatCode="#,##0">
                  <c:v>1223</c:v>
                </c:pt>
                <c:pt idx="10" formatCode="#,##0">
                  <c:v>1391</c:v>
                </c:pt>
                <c:pt idx="11" formatCode="#,##0">
                  <c:v>1752</c:v>
                </c:pt>
                <c:pt idx="12" formatCode="#,##0">
                  <c:v>2168</c:v>
                </c:pt>
                <c:pt idx="13" formatCode="#,##0">
                  <c:v>2393</c:v>
                </c:pt>
                <c:pt idx="14" formatCode="#,##0">
                  <c:v>2676</c:v>
                </c:pt>
                <c:pt idx="15" formatCode="#,##0">
                  <c:v>3009</c:v>
                </c:pt>
                <c:pt idx="16" formatCode="#,##0">
                  <c:v>3235</c:v>
                </c:pt>
                <c:pt idx="17" formatCode="#,##0">
                  <c:v>3487</c:v>
                </c:pt>
                <c:pt idx="18" formatCode="#,##0">
                  <c:v>3713</c:v>
                </c:pt>
                <c:pt idx="19" formatCode="#,##0">
                  <c:v>3908</c:v>
                </c:pt>
                <c:pt idx="20" formatCode="#,##0">
                  <c:v>4144</c:v>
                </c:pt>
                <c:pt idx="21" formatCode="#,##0">
                  <c:v>4357</c:v>
                </c:pt>
                <c:pt idx="22" formatCode="#,##0">
                  <c:v>4546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4015828106232482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cat>
            <c:numRef>
              <c:f>compute!$A$6:$A$10009</c:f>
              <c:numCache>
                <c:formatCode>d\-mmm</c:formatCode>
                <c:ptCount val="1000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</c:numCache>
            </c:numRef>
          </c:cat>
          <c:val>
            <c:numRef>
              <c:f>compute!$D$6:$D$10009</c:f>
              <c:numCache>
                <c:formatCode>0.0%</c:formatCode>
                <c:ptCount val="10004"/>
                <c:pt idx="0">
                  <c:v>0.22297297297297297</c:v>
                </c:pt>
                <c:pt idx="1">
                  <c:v>0.16574585635359115</c:v>
                </c:pt>
                <c:pt idx="2">
                  <c:v>0.56872037914691942</c:v>
                </c:pt>
                <c:pt idx="3">
                  <c:v>0.40181268882175225</c:v>
                </c:pt>
                <c:pt idx="4">
                  <c:v>0.16163793103448276</c:v>
                </c:pt>
                <c:pt idx="5">
                  <c:v>0.19294990723562153</c:v>
                </c:pt>
                <c:pt idx="6">
                  <c:v>0.39502332814930013</c:v>
                </c:pt>
                <c:pt idx="7">
                  <c:v>0.16722408026755853</c:v>
                </c:pt>
                <c:pt idx="8">
                  <c:v>0.16809933142311365</c:v>
                </c:pt>
                <c:pt idx="9">
                  <c:v>0.1373671300081766</c:v>
                </c:pt>
                <c:pt idx="10">
                  <c:v>0.25952552120776418</c:v>
                </c:pt>
                <c:pt idx="11">
                  <c:v>0.23744292237442921</c:v>
                </c:pt>
                <c:pt idx="12">
                  <c:v>0.10378228782287822</c:v>
                </c:pt>
                <c:pt idx="13">
                  <c:v>0.1182615963226076</c:v>
                </c:pt>
                <c:pt idx="14">
                  <c:v>0.12443946188340807</c:v>
                </c:pt>
                <c:pt idx="15">
                  <c:v>7.5108009305417084E-2</c:v>
                </c:pt>
                <c:pt idx="16">
                  <c:v>7.7897990726429681E-2</c:v>
                </c:pt>
                <c:pt idx="17">
                  <c:v>6.4812159449383427E-2</c:v>
                </c:pt>
                <c:pt idx="18">
                  <c:v>5.2518179369781849E-2</c:v>
                </c:pt>
                <c:pt idx="19">
                  <c:v>6.0388945752302969E-2</c:v>
                </c:pt>
                <c:pt idx="20">
                  <c:v>5.1399613899613901E-2</c:v>
                </c:pt>
                <c:pt idx="21">
                  <c:v>4.3378471425292629E-2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5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6219217936740955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forward val="1"/>
            <c:dispRSqr val="0"/>
            <c:dispEq val="0"/>
          </c:trendline>
          <c:cat>
            <c:numRef>
              <c:f>compute!$A$6:$A$10009</c:f>
              <c:numCache>
                <c:formatCode>d\-mmm</c:formatCode>
                <c:ptCount val="1000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</c:numCache>
            </c:numRef>
          </c:cat>
          <c:val>
            <c:numRef>
              <c:f>compute!$E$6:$E$10009</c:f>
              <c:numCache>
                <c:formatCode>0.0</c:formatCode>
                <c:ptCount val="10004"/>
                <c:pt idx="0">
                  <c:v>3.4436148527245245</c:v>
                </c:pt>
                <c:pt idx="1">
                  <c:v>4.5197065655521875</c:v>
                </c:pt>
                <c:pt idx="2">
                  <c:v>1.5394367880083781</c:v>
                </c:pt>
                <c:pt idx="3">
                  <c:v>2.0521509495884938</c:v>
                </c:pt>
                <c:pt idx="4">
                  <c:v>4.6261928047598939</c:v>
                </c:pt>
                <c:pt idx="5">
                  <c:v>3.9287564865703821</c:v>
                </c:pt>
                <c:pt idx="6">
                  <c:v>2.0820786744968252</c:v>
                </c:pt>
                <c:pt idx="7">
                  <c:v>4.4826656036005934</c:v>
                </c:pt>
                <c:pt idx="8">
                  <c:v>4.461040275688724</c:v>
                </c:pt>
                <c:pt idx="9">
                  <c:v>5.3850871509581326</c:v>
                </c:pt>
                <c:pt idx="10">
                  <c:v>3.0040823521200468</c:v>
                </c:pt>
                <c:pt idx="11">
                  <c:v>3.2534928174838318</c:v>
                </c:pt>
                <c:pt idx="12">
                  <c:v>7.0197290799014054</c:v>
                </c:pt>
                <c:pt idx="13">
                  <c:v>6.2012535310728651</c:v>
                </c:pt>
                <c:pt idx="14">
                  <c:v>5.9099562368391503</c:v>
                </c:pt>
                <c:pt idx="15">
                  <c:v>9.5710627221806028</c:v>
                </c:pt>
                <c:pt idx="16">
                  <c:v>9.2403804862798964</c:v>
                </c:pt>
                <c:pt idx="17">
                  <c:v>11.037655382330742</c:v>
                </c:pt>
                <c:pt idx="18">
                  <c:v>13.541850363596499</c:v>
                </c:pt>
                <c:pt idx="19">
                  <c:v>11.821234229192092</c:v>
                </c:pt>
                <c:pt idx="20">
                  <c:v>13.829133543081639</c:v>
                </c:pt>
                <c:pt idx="21">
                  <c:v>16.323180455299035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5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53983718136928"/>
          <c:y val="0.14576271186440679"/>
          <c:w val="0.80642946750300282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compute!$G$5:$G$10009</c:f>
              <c:numCache>
                <c:formatCode>#,##0</c:formatCode>
                <c:ptCount val="10005"/>
                <c:pt idx="0">
                  <c:v>548.14814814814815</c:v>
                </c:pt>
                <c:pt idx="1">
                  <c:v>670.37037037037032</c:v>
                </c:pt>
                <c:pt idx="2">
                  <c:v>781.48148148148152</c:v>
                </c:pt>
                <c:pt idx="3">
                  <c:v>1225.9259259259259</c:v>
                </c:pt>
                <c:pt idx="4">
                  <c:v>1718.5185185185185</c:v>
                </c:pt>
                <c:pt idx="5">
                  <c:v>1996.2962962962963</c:v>
                </c:pt>
                <c:pt idx="6">
                  <c:v>2381.4814814814813</c:v>
                </c:pt>
                <c:pt idx="7">
                  <c:v>3322.2222222222222</c:v>
                </c:pt>
                <c:pt idx="8">
                  <c:v>3877.7777777777778</c:v>
                </c:pt>
                <c:pt idx="9">
                  <c:v>4529.6296296296296</c:v>
                </c:pt>
                <c:pt idx="10">
                  <c:v>5151.8518518518522</c:v>
                </c:pt>
                <c:pt idx="11">
                  <c:v>6488.8888888888887</c:v>
                </c:pt>
                <c:pt idx="12">
                  <c:v>8029.6296296296296</c:v>
                </c:pt>
                <c:pt idx="13">
                  <c:v>8862.9629629629635</c:v>
                </c:pt>
                <c:pt idx="14">
                  <c:v>9911.1111111111113</c:v>
                </c:pt>
                <c:pt idx="15">
                  <c:v>11144.444444444445</c:v>
                </c:pt>
                <c:pt idx="16">
                  <c:v>11981.481481481482</c:v>
                </c:pt>
                <c:pt idx="17">
                  <c:v>12914.814814814816</c:v>
                </c:pt>
                <c:pt idx="18">
                  <c:v>13751.851851851852</c:v>
                </c:pt>
                <c:pt idx="19">
                  <c:v>14474.074074074075</c:v>
                </c:pt>
                <c:pt idx="20">
                  <c:v>15348.148148148148</c:v>
                </c:pt>
                <c:pt idx="21">
                  <c:v>16137.037037037036</c:v>
                </c:pt>
                <c:pt idx="22">
                  <c:v>16837.037037037036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compute!$I$5:$I$10009</c:f>
              <c:numCache>
                <c:formatCode>#,##0</c:formatCode>
                <c:ptCount val="10005"/>
                <c:pt idx="0">
                  <c:v>962.05593348450486</c:v>
                </c:pt>
                <c:pt idx="1">
                  <c:v>1176.5684051398334</c:v>
                </c:pt>
                <c:pt idx="2">
                  <c:v>1371.5797430083142</c:v>
                </c:pt>
                <c:pt idx="3">
                  <c:v>2151.6250944822368</c:v>
                </c:pt>
                <c:pt idx="4">
                  <c:v>3016.1753590325015</c:v>
                </c:pt>
                <c:pt idx="5">
                  <c:v>3503.7037037037035</c:v>
                </c:pt>
                <c:pt idx="6">
                  <c:v>4179.7430083144372</c:v>
                </c:pt>
                <c:pt idx="7">
                  <c:v>5830.8390022675721</c:v>
                </c:pt>
                <c:pt idx="8">
                  <c:v>6805.8956916099778</c:v>
                </c:pt>
                <c:pt idx="9">
                  <c:v>7949.9622071050635</c:v>
                </c:pt>
                <c:pt idx="10">
                  <c:v>9042.0256991685546</c:v>
                </c:pt>
                <c:pt idx="11">
                  <c:v>11388.662131519273</c:v>
                </c:pt>
                <c:pt idx="12">
                  <c:v>14092.819349962205</c:v>
                </c:pt>
                <c:pt idx="13">
                  <c:v>15555.404383975809</c:v>
                </c:pt>
                <c:pt idx="14">
                  <c:v>17395.011337868476</c:v>
                </c:pt>
                <c:pt idx="15">
                  <c:v>19559.637188208613</c:v>
                </c:pt>
                <c:pt idx="16">
                  <c:v>21028.722600151166</c:v>
                </c:pt>
                <c:pt idx="17">
                  <c:v>22666.817838246403</c:v>
                </c:pt>
                <c:pt idx="18">
                  <c:v>24135.90325018896</c:v>
                </c:pt>
                <c:pt idx="19">
                  <c:v>25403.476946334085</c:v>
                </c:pt>
                <c:pt idx="20">
                  <c:v>26937.566137566137</c:v>
                </c:pt>
                <c:pt idx="21">
                  <c:v>28322.14663643235</c:v>
                </c:pt>
                <c:pt idx="22">
                  <c:v>29550.718065003777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compute!$F$5:$F$10009</c:f>
              <c:numCache>
                <c:formatCode>#,##0</c:formatCode>
                <c:ptCount val="10005"/>
                <c:pt idx="0">
                  <c:v>1233.3333333333333</c:v>
                </c:pt>
                <c:pt idx="1">
                  <c:v>1508.3333333333333</c:v>
                </c:pt>
                <c:pt idx="2">
                  <c:v>1758.3333333333333</c:v>
                </c:pt>
                <c:pt idx="3">
                  <c:v>2758.3333333333335</c:v>
                </c:pt>
                <c:pt idx="4">
                  <c:v>3866.6666666666665</c:v>
                </c:pt>
                <c:pt idx="5">
                  <c:v>4491.666666666667</c:v>
                </c:pt>
                <c:pt idx="6">
                  <c:v>5358.333333333333</c:v>
                </c:pt>
                <c:pt idx="7">
                  <c:v>7475</c:v>
                </c:pt>
                <c:pt idx="8">
                  <c:v>8725</c:v>
                </c:pt>
                <c:pt idx="9">
                  <c:v>10191.666666666666</c:v>
                </c:pt>
                <c:pt idx="10">
                  <c:v>11591.666666666666</c:v>
                </c:pt>
                <c:pt idx="11">
                  <c:v>14600</c:v>
                </c:pt>
                <c:pt idx="12">
                  <c:v>18066.666666666668</c:v>
                </c:pt>
                <c:pt idx="13">
                  <c:v>19941.666666666668</c:v>
                </c:pt>
                <c:pt idx="14">
                  <c:v>22300</c:v>
                </c:pt>
                <c:pt idx="15">
                  <c:v>25075</c:v>
                </c:pt>
                <c:pt idx="16">
                  <c:v>26958.333333333332</c:v>
                </c:pt>
                <c:pt idx="17">
                  <c:v>29058.333333333332</c:v>
                </c:pt>
                <c:pt idx="18">
                  <c:v>30941.666666666668</c:v>
                </c:pt>
                <c:pt idx="19">
                  <c:v>32566.666666666668</c:v>
                </c:pt>
                <c:pt idx="20">
                  <c:v>34533.333333333336</c:v>
                </c:pt>
                <c:pt idx="21">
                  <c:v>36308.333333333336</c:v>
                </c:pt>
                <c:pt idx="22">
                  <c:v>37883.333333333336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compute!$C$5:$C$28</c:f>
              <c:numCache>
                <c:formatCode>0.0%</c:formatCode>
                <c:ptCount val="24"/>
                <c:pt idx="0">
                  <c:v>3.1428243798230676E-4</c:v>
                </c:pt>
                <c:pt idx="1">
                  <c:v>3.8435892753241568E-4</c:v>
                </c:pt>
                <c:pt idx="2">
                  <c:v>4.4806482712342381E-4</c:v>
                </c:pt>
                <c:pt idx="3">
                  <c:v>7.0288842548745629E-4</c:v>
                </c:pt>
                <c:pt idx="4">
                  <c:v>9.8531791367425896E-4</c:v>
                </c:pt>
                <c:pt idx="5">
                  <c:v>1.1445826626517793E-3</c:v>
                </c:pt>
                <c:pt idx="6">
                  <c:v>1.3654297812339409E-3</c:v>
                </c:pt>
                <c:pt idx="7">
                  <c:v>1.9048063977711428E-3</c:v>
                </c:pt>
                <c:pt idx="8">
                  <c:v>2.2233358957261837E-3</c:v>
                </c:pt>
                <c:pt idx="9">
                  <c:v>2.5970771733267646E-3</c:v>
                </c:pt>
                <c:pt idx="10">
                  <c:v>2.9538302110364099E-3</c:v>
                </c:pt>
                <c:pt idx="11">
                  <c:v>3.7204245361148747E-3</c:v>
                </c:pt>
                <c:pt idx="12">
                  <c:v>4.6038130104435202E-3</c:v>
                </c:pt>
                <c:pt idx="13">
                  <c:v>5.0816072573760815E-3</c:v>
                </c:pt>
                <c:pt idx="14">
                  <c:v>5.6825662435179246E-3</c:v>
                </c:pt>
                <c:pt idx="15">
                  <c:v>6.3897017289781151E-3</c:v>
                </c:pt>
                <c:pt idx="16">
                  <c:v>6.8696195058970426E-3</c:v>
                </c:pt>
                <c:pt idx="17">
                  <c:v>7.4047490624615112E-3</c:v>
                </c:pt>
                <c:pt idx="18">
                  <c:v>7.8846668393804387E-3</c:v>
                </c:pt>
                <c:pt idx="19">
                  <c:v>8.2987551867219917E-3</c:v>
                </c:pt>
                <c:pt idx="20">
                  <c:v>8.7999082635045883E-3</c:v>
                </c:pt>
                <c:pt idx="21">
                  <c:v>9.2522201506007474E-3</c:v>
                </c:pt>
                <c:pt idx="22">
                  <c:v>9.6535673180240984E-3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compute!$C$5:$C$28</c:f>
              <c:numCache>
                <c:formatCode>0.0%</c:formatCode>
                <c:ptCount val="24"/>
                <c:pt idx="0">
                  <c:v>3.1428243798230676E-4</c:v>
                </c:pt>
                <c:pt idx="1">
                  <c:v>3.8435892753241568E-4</c:v>
                </c:pt>
                <c:pt idx="2">
                  <c:v>4.4806482712342381E-4</c:v>
                </c:pt>
                <c:pt idx="3">
                  <c:v>7.0288842548745629E-4</c:v>
                </c:pt>
                <c:pt idx="4">
                  <c:v>9.8531791367425896E-4</c:v>
                </c:pt>
                <c:pt idx="5">
                  <c:v>1.1445826626517793E-3</c:v>
                </c:pt>
                <c:pt idx="6">
                  <c:v>1.3654297812339409E-3</c:v>
                </c:pt>
                <c:pt idx="7">
                  <c:v>1.9048063977711428E-3</c:v>
                </c:pt>
                <c:pt idx="8">
                  <c:v>2.2233358957261837E-3</c:v>
                </c:pt>
                <c:pt idx="9">
                  <c:v>2.5970771733267646E-3</c:v>
                </c:pt>
                <c:pt idx="10">
                  <c:v>2.9538302110364099E-3</c:v>
                </c:pt>
                <c:pt idx="11">
                  <c:v>3.7204245361148747E-3</c:v>
                </c:pt>
                <c:pt idx="12">
                  <c:v>4.6038130104435202E-3</c:v>
                </c:pt>
                <c:pt idx="13">
                  <c:v>5.0816072573760815E-3</c:v>
                </c:pt>
                <c:pt idx="14">
                  <c:v>5.6825662435179246E-3</c:v>
                </c:pt>
                <c:pt idx="15">
                  <c:v>6.3897017289781151E-3</c:v>
                </c:pt>
                <c:pt idx="16">
                  <c:v>6.8696195058970426E-3</c:v>
                </c:pt>
                <c:pt idx="17">
                  <c:v>7.4047490624615112E-3</c:v>
                </c:pt>
                <c:pt idx="18">
                  <c:v>7.8846668393804387E-3</c:v>
                </c:pt>
                <c:pt idx="19">
                  <c:v>8.2987551867219917E-3</c:v>
                </c:pt>
                <c:pt idx="20">
                  <c:v>8.7999082635045883E-3</c:v>
                </c:pt>
                <c:pt idx="21">
                  <c:v>9.2522201506007474E-3</c:v>
                </c:pt>
                <c:pt idx="22">
                  <c:v>9.6535673180240984E-3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529374082476991"/>
          <c:h val="0.74294915254237293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compute!$N$4</c:f>
              <c:strCache>
                <c:ptCount val="1"/>
                <c:pt idx="0">
                  <c:v>average infection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72-1848-8D14-2279B6F7C74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72-1848-8D14-2279B6F7C7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72-1848-8D14-2279B6F7C7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8-8A45-B605-B9194C49FAB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72-1848-8D14-2279B6F7C74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98-8A45-B605-B9194C49FAB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E6-984F-B4E4-5660F27577B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E6-984F-B4E4-5660F27577B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E6-984F-B4E4-5660F27577B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E6-984F-B4E4-5660F27577B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E6-984F-B4E4-5660F27577B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8-8A45-B605-B9194C49FAB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E6-984F-B4E4-5660F27577B3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E6-984F-B4E4-5660F27577B3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72-1848-8D14-2279B6F7C74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8-8A45-B605-B9194C49FAB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7A-5E43-94E1-C998BAEA117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87-6A46-90CD-4BF42EF8077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87-6A46-90CD-4BF42EF8077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ED-2D40-BB0C-D5284EA7E85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43-A042-888E-923D3A0AE9A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43-A042-888E-923D3A0AE9AA}"/>
                </c:ext>
              </c:extLst>
            </c:dLbl>
            <c:dLbl>
              <c:idx val="22"/>
              <c:layout>
                <c:manualLayout>
                  <c:x val="4.9156248671046468E-2"/>
                  <c:y val="-4.4073428495111609E-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43-A042-888E-923D3A0AE9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compute!$N$5:$N$10009</c:f>
              <c:numCache>
                <c:formatCode>0.0%</c:formatCode>
                <c:ptCount val="10005"/>
                <c:pt idx="0">
                  <c:v>2.1854863412223901E-3</c:v>
                </c:pt>
                <c:pt idx="1">
                  <c:v>2.6727907281165718E-3</c:v>
                </c:pt>
                <c:pt idx="2">
                  <c:v>3.1157947162021907E-3</c:v>
                </c:pt>
                <c:pt idx="3">
                  <c:v>4.8878106685446695E-3</c:v>
                </c:pt>
                <c:pt idx="4">
                  <c:v>6.8517950157242491E-3</c:v>
                </c:pt>
                <c:pt idx="5">
                  <c:v>7.9593049859383001E-3</c:v>
                </c:pt>
                <c:pt idx="6">
                  <c:v>9.4950521446351133E-3</c:v>
                </c:pt>
                <c:pt idx="7">
                  <c:v>1.3245819243760025E-2</c:v>
                </c:pt>
                <c:pt idx="8">
                  <c:v>1.5460839184188124E-2</c:v>
                </c:pt>
                <c:pt idx="9">
                  <c:v>1.8059795914290425E-2</c:v>
                </c:pt>
                <c:pt idx="10">
                  <c:v>2.0540618247569895E-2</c:v>
                </c:pt>
                <c:pt idx="11">
                  <c:v>2.5871432904200183E-2</c:v>
                </c:pt>
                <c:pt idx="12">
                  <c:v>3.2014421538987439E-2</c:v>
                </c:pt>
                <c:pt idx="13">
                  <c:v>3.5336951449629589E-2</c:v>
                </c:pt>
                <c:pt idx="14">
                  <c:v>3.951595573723727E-2</c:v>
                </c:pt>
                <c:pt idx="15">
                  <c:v>4.4433300004987644E-2</c:v>
                </c:pt>
                <c:pt idx="16">
                  <c:v>4.7770596715232649E-2</c:v>
                </c:pt>
                <c:pt idx="17">
                  <c:v>5.1491830215151843E-2</c:v>
                </c:pt>
                <c:pt idx="18">
                  <c:v>5.4829126925396848E-2</c:v>
                </c:pt>
                <c:pt idx="19">
                  <c:v>5.7708652847953373E-2</c:v>
                </c:pt>
                <c:pt idx="20">
                  <c:v>6.119361755422692E-2</c:v>
                </c:pt>
                <c:pt idx="21">
                  <c:v>6.4338945869634817E-2</c:v>
                </c:pt>
                <c:pt idx="22">
                  <c:v>6.7129870994574223E-2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165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50"/>
        <c:majorTimeUnit val="days"/>
      </c:dateAx>
      <c:valAx>
        <c:axId val="120760081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7575150140130786"/>
          <c:h val="0.75989830508474576"/>
        </c:manualLayout>
      </c:layout>
      <c:areaChart>
        <c:grouping val="stacked"/>
        <c:varyColors val="0"/>
        <c:ser>
          <c:idx val="3"/>
          <c:order val="0"/>
          <c:tx>
            <c:strRef>
              <c:f>compute!$P$4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compute!$P$5:$P$10009</c:f>
              <c:numCache>
                <c:formatCode>0</c:formatCode>
                <c:ptCount val="10005"/>
                <c:pt idx="0">
                  <c:v>454.55019305019306</c:v>
                </c:pt>
                <c:pt idx="1">
                  <c:v>371.67640094711919</c:v>
                </c:pt>
                <c:pt idx="2">
                  <c:v>318.83141503046716</c:v>
                </c:pt>
                <c:pt idx="3">
                  <c:v>203.24298662063012</c:v>
                </c:pt>
                <c:pt idx="4">
                  <c:v>144.98583743842366</c:v>
                </c:pt>
                <c:pt idx="5">
                  <c:v>124.81155579114763</c:v>
                </c:pt>
                <c:pt idx="6">
                  <c:v>104.62430570984226</c:v>
                </c:pt>
                <c:pt idx="7">
                  <c:v>74.998248128682917</c:v>
                </c:pt>
                <c:pt idx="8">
                  <c:v>64.253513439759857</c:v>
                </c:pt>
                <c:pt idx="9">
                  <c:v>55.006891718257215</c:v>
                </c:pt>
                <c:pt idx="10">
                  <c:v>48.363356269898325</c:v>
                </c:pt>
                <c:pt idx="11">
                  <c:v>38.398075668623612</c:v>
                </c:pt>
                <c:pt idx="12">
                  <c:v>31.030179230363732</c:v>
                </c:pt>
                <c:pt idx="13">
                  <c:v>28.112590293116828</c:v>
                </c:pt>
                <c:pt idx="14">
                  <c:v>25.139547298740123</c:v>
                </c:pt>
                <c:pt idx="15">
                  <c:v>22.357403978540567</c:v>
                </c:pt>
                <c:pt idx="16">
                  <c:v>20.795495694413777</c:v>
                </c:pt>
                <c:pt idx="17">
                  <c:v>19.292637961407678</c:v>
                </c:pt>
                <c:pt idx="18">
                  <c:v>18.118348659151245</c:v>
                </c:pt>
                <c:pt idx="19">
                  <c:v>17.214285714285715</c:v>
                </c:pt>
                <c:pt idx="20">
                  <c:v>16.233935466078321</c:v>
                </c:pt>
                <c:pt idx="21">
                  <c:v>15.440309518344863</c:v>
                </c:pt>
                <c:pt idx="22">
                  <c:v>14.79837848029665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compute!$Q$4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compute!$Q$5:$Q$10009</c:f>
              <c:numCache>
                <c:formatCode>0</c:formatCode>
                <c:ptCount val="10005"/>
                <c:pt idx="0">
                  <c:v>181.82007722007717</c:v>
                </c:pt>
                <c:pt idx="1">
                  <c:v>148.67056037884765</c:v>
                </c:pt>
                <c:pt idx="2">
                  <c:v>127.53256601218686</c:v>
                </c:pt>
                <c:pt idx="3">
                  <c:v>81.297194648252059</c:v>
                </c:pt>
                <c:pt idx="4">
                  <c:v>57.994334975369441</c:v>
                </c:pt>
                <c:pt idx="5">
                  <c:v>49.924622316459065</c:v>
                </c:pt>
                <c:pt idx="6">
                  <c:v>41.849722283936913</c:v>
                </c:pt>
                <c:pt idx="7">
                  <c:v>29.999299251473161</c:v>
                </c:pt>
                <c:pt idx="8">
                  <c:v>25.701405375903946</c:v>
                </c:pt>
                <c:pt idx="9">
                  <c:v>22.002756687302885</c:v>
                </c:pt>
                <c:pt idx="10">
                  <c:v>19.345342507959337</c:v>
                </c:pt>
                <c:pt idx="11">
                  <c:v>15.359230267449448</c:v>
                </c:pt>
                <c:pt idx="12">
                  <c:v>12.412071692145492</c:v>
                </c:pt>
                <c:pt idx="13">
                  <c:v>11.24503611724673</c:v>
                </c:pt>
                <c:pt idx="14">
                  <c:v>10.055818919496051</c:v>
                </c:pt>
                <c:pt idx="15">
                  <c:v>8.9429615914162284</c:v>
                </c:pt>
                <c:pt idx="16">
                  <c:v>8.3181982777655108</c:v>
                </c:pt>
                <c:pt idx="17">
                  <c:v>7.717055184563069</c:v>
                </c:pt>
                <c:pt idx="18">
                  <c:v>7.2473394636604986</c:v>
                </c:pt>
                <c:pt idx="19">
                  <c:v>6.8857142857142861</c:v>
                </c:pt>
                <c:pt idx="20">
                  <c:v>6.4935741864313314</c:v>
                </c:pt>
                <c:pt idx="21">
                  <c:v>6.1761238073379463</c:v>
                </c:pt>
                <c:pt idx="22">
                  <c:v>5.9193513921186618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compute!$R$4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layout>
                <c:manualLayout>
                  <c:x val="-5.4237288135593344E-2"/>
                  <c:y val="-6.4406779661016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compute!$R$5:$R$10009</c:f>
              <c:numCache>
                <c:formatCode>0</c:formatCode>
                <c:ptCount val="10005"/>
                <c:pt idx="0">
                  <c:v>545.46023166023167</c:v>
                </c:pt>
                <c:pt idx="1">
                  <c:v>446.01168113654302</c:v>
                </c:pt>
                <c:pt idx="2">
                  <c:v>382.59769803656059</c:v>
                </c:pt>
                <c:pt idx="3">
                  <c:v>243.89158394475615</c:v>
                </c:pt>
                <c:pt idx="4">
                  <c:v>173.98300492610838</c:v>
                </c:pt>
                <c:pt idx="5">
                  <c:v>149.77386694937715</c:v>
                </c:pt>
                <c:pt idx="6">
                  <c:v>125.54916685181072</c:v>
                </c:pt>
                <c:pt idx="7">
                  <c:v>89.997897754419498</c:v>
                </c:pt>
                <c:pt idx="8">
                  <c:v>77.104216127711823</c:v>
                </c:pt>
                <c:pt idx="9">
                  <c:v>66.008270061908661</c:v>
                </c:pt>
                <c:pt idx="10">
                  <c:v>58.036027523877991</c:v>
                </c:pt>
                <c:pt idx="11">
                  <c:v>46.077690802348336</c:v>
                </c:pt>
                <c:pt idx="12">
                  <c:v>37.23621507643648</c:v>
                </c:pt>
                <c:pt idx="13">
                  <c:v>33.735108351740195</c:v>
                </c:pt>
                <c:pt idx="14">
                  <c:v>30.16745675848815</c:v>
                </c:pt>
                <c:pt idx="15">
                  <c:v>26.828884774248682</c:v>
                </c:pt>
                <c:pt idx="16">
                  <c:v>24.954594833296532</c:v>
                </c:pt>
                <c:pt idx="17">
                  <c:v>23.151165553689211</c:v>
                </c:pt>
                <c:pt idx="18">
                  <c:v>21.742018390981492</c:v>
                </c:pt>
                <c:pt idx="19">
                  <c:v>20.657142857142858</c:v>
                </c:pt>
                <c:pt idx="20">
                  <c:v>19.480722559293987</c:v>
                </c:pt>
                <c:pt idx="21">
                  <c:v>18.528371422013837</c:v>
                </c:pt>
                <c:pt idx="22">
                  <c:v>17.75805417635598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U$28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4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0.19153</cdr:x>
      <cdr:y>0.29322</cdr:y>
    </cdr:from>
    <cdr:to>
      <cdr:x>0.45763</cdr:x>
      <cdr:y>0.5322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DCF19DA-C04D-3642-83C0-C3A5DDFB8902}"/>
            </a:ext>
          </a:extLst>
        </cdr:cNvPr>
        <cdr:cNvSpPr txBox="1"/>
      </cdr:nvSpPr>
      <cdr:spPr>
        <a:xfrm xmlns:a="http://schemas.openxmlformats.org/drawingml/2006/main">
          <a:off x="1435100" y="2197100"/>
          <a:ext cx="1993900" cy="1790700"/>
        </a:xfrm>
        <a:prstGeom xmlns:a="http://schemas.openxmlformats.org/drawingml/2006/main" prst="roundRect">
          <a:avLst>
            <a:gd name="adj" fmla="val 5363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The number of cases continues to increase, but it is not increasing exponentially.  We have slowed the spread.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U$2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U$2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0.25085</cdr:x>
      <cdr:y>0.34407</cdr:y>
    </cdr:from>
    <cdr:to>
      <cdr:x>0.57627</cdr:x>
      <cdr:y>0.52373</cdr:y>
    </cdr:to>
    <cdr:sp macro="" textlink="compute!$U$34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DF3BFB61-C5E4-624F-9591-5EF8EC0509E9}"/>
            </a:ext>
          </a:extLst>
        </cdr:cNvPr>
        <cdr:cNvSpPr txBox="1"/>
      </cdr:nvSpPr>
      <cdr:spPr>
        <a:xfrm xmlns:a="http://schemas.openxmlformats.org/drawingml/2006/main">
          <a:off x="1879605" y="2578099"/>
          <a:ext cx="2438395" cy="1346201"/>
        </a:xfrm>
        <a:prstGeom xmlns:a="http://schemas.openxmlformats.org/drawingml/2006/main" prst="roundRect">
          <a:avLst>
            <a:gd name="adj" fmla="val 717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7E67BFC-B66B-6E47-A8B5-B0078C99A391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38,000 people in Miami may have already been infected with the SARS-CoV-2 virus.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28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5" name="Picture 24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U$2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0.22881</cdr:x>
      <cdr:y>0.48136</cdr:y>
    </cdr:from>
    <cdr:to>
      <cdr:x>0.45932</cdr:x>
      <cdr:y>0.56611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714473" y="3606794"/>
          <a:ext cx="1727212" cy="63503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0.56102</cdr:x>
      <cdr:y>0.61017</cdr:y>
    </cdr:from>
    <cdr:to>
      <cdr:x>0.89831</cdr:x>
      <cdr:y>0.72034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203725" y="457198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2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U$2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0.22644</cdr:x>
      <cdr:y>0.22386</cdr:y>
    </cdr:from>
    <cdr:to>
      <cdr:x>0.82305</cdr:x>
      <cdr:y>0.34081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696750" y="1677373"/>
          <a:ext cx="4470401" cy="876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20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 that herd protection for COVID-19 is between 50% and 66%.</a:t>
          </a:r>
          <a:endParaRPr lang="en-US" sz="20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0.42882</cdr:x>
      <cdr:y>0.61865</cdr:y>
    </cdr:from>
    <cdr:to>
      <cdr:x>0.88074</cdr:x>
      <cdr:y>0.73772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213134" y="4635509"/>
          <a:ext cx="3386237" cy="89219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20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20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0.32203</cdr:x>
      <cdr:y>0.27094</cdr:y>
    </cdr:from>
    <cdr:to>
      <cdr:x>0.74746</cdr:x>
      <cdr:y>0.44576</cdr:y>
    </cdr:to>
    <cdr:sp macro="" textlink="compute!$U$3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412977" y="2030136"/>
          <a:ext cx="3187723" cy="1309964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18.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0.76489</cdr:x>
      <cdr:y>0.7889</cdr:y>
    </cdr:from>
    <cdr:to>
      <cdr:x>0.91405</cdr:x>
      <cdr:y>0.82104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31299" y="5911202"/>
          <a:ext cx="1117656" cy="240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28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U28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 editAs="oneCell">
    <xdr:from>
      <xdr:col>6</xdr:col>
      <xdr:colOff>2761720</xdr:colOff>
      <xdr:row>18</xdr:row>
      <xdr:rowOff>87933</xdr:rowOff>
    </xdr:from>
    <xdr:to>
      <xdr:col>6</xdr:col>
      <xdr:colOff>2987736</xdr:colOff>
      <xdr:row>18</xdr:row>
      <xdr:rowOff>310723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8519714-BD67-0549-9186-9E476B39E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9529" y="7196897"/>
          <a:ext cx="226016" cy="222790"/>
        </a:xfrm>
        <a:prstGeom prst="rect">
          <a:avLst/>
        </a:prstGeom>
      </xdr:spPr>
    </xdr:pic>
    <xdr:clientData/>
  </xdr:twoCellAnchor>
  <xdr:twoCellAnchor editAs="oneCell">
    <xdr:from>
      <xdr:col>6</xdr:col>
      <xdr:colOff>3006436</xdr:colOff>
      <xdr:row>18</xdr:row>
      <xdr:rowOff>58747</xdr:rowOff>
    </xdr:from>
    <xdr:to>
      <xdr:col>8</xdr:col>
      <xdr:colOff>41266</xdr:colOff>
      <xdr:row>18</xdr:row>
      <xdr:rowOff>342540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CB78546-61B2-F147-BE9A-6488295B6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54245" y="7167711"/>
          <a:ext cx="288256" cy="283793"/>
        </a:xfrm>
        <a:prstGeom prst="rect">
          <a:avLst/>
        </a:prstGeom>
      </xdr:spPr>
    </xdr:pic>
    <xdr:clientData/>
  </xdr:twoCellAnchor>
  <xdr:twoCellAnchor>
    <xdr:from>
      <xdr:col>6</xdr:col>
      <xdr:colOff>481158</xdr:colOff>
      <xdr:row>18</xdr:row>
      <xdr:rowOff>77840</xdr:rowOff>
    </xdr:from>
    <xdr:to>
      <xdr:col>6</xdr:col>
      <xdr:colOff>2679717</xdr:colOff>
      <xdr:row>19</xdr:row>
      <xdr:rowOff>5005</xdr:rowOff>
    </xdr:to>
    <xdr:sp macro="" textlink="">
      <xdr:nvSpPr>
        <xdr:cNvPr id="13" name="TextBox 3">
          <a:extLst>
            <a:ext uri="{FF2B5EF4-FFF2-40B4-BE49-F238E27FC236}">
              <a16:creationId xmlns:a16="http://schemas.microsoft.com/office/drawing/2014/main" id="{970D30E2-4478-7040-8565-2332431848C5}"/>
            </a:ext>
          </a:extLst>
        </xdr:cNvPr>
        <xdr:cNvSpPr txBox="1"/>
      </xdr:nvSpPr>
      <xdr:spPr>
        <a:xfrm>
          <a:off x="4528967" y="7186804"/>
          <a:ext cx="2198559" cy="306647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2307251</xdr:colOff>
      <xdr:row>18</xdr:row>
      <xdr:rowOff>77788</xdr:rowOff>
    </xdr:from>
    <xdr:to>
      <xdr:col>6</xdr:col>
      <xdr:colOff>631605</xdr:colOff>
      <xdr:row>18</xdr:row>
      <xdr:rowOff>370903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FD0A8590-7A21-364E-8612-513F25D09B8F}"/>
            </a:ext>
          </a:extLst>
        </xdr:cNvPr>
        <xdr:cNvSpPr txBox="1"/>
      </xdr:nvSpPr>
      <xdr:spPr>
        <a:xfrm>
          <a:off x="2666494" y="7186752"/>
          <a:ext cx="2012920" cy="293115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212777</xdr:colOff>
      <xdr:row>18</xdr:row>
      <xdr:rowOff>81537</xdr:rowOff>
    </xdr:from>
    <xdr:to>
      <xdr:col>2</xdr:col>
      <xdr:colOff>1389530</xdr:colOff>
      <xdr:row>18</xdr:row>
      <xdr:rowOff>310680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DD3B736-40A5-DA4C-8AE5-3220B2DE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77" y="7190501"/>
          <a:ext cx="1535996" cy="2291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U27" totalsRowShown="0" headerRowDxfId="22" dataDxfId="21" headerRowCellStyle="Heading 3">
  <autoFilter ref="A4:U27" xr:uid="{550F0C45-D7F8-B94B-924D-6E337BF889A7}"/>
  <tableColumns count="21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0" dataCellStyle="Percent">
      <calculatedColumnFormula>Table2[[#This Row],[cases]]/$B$2</calculatedColumnFormula>
    </tableColumn>
    <tableColumn id="20" xr3:uid="{583731BA-1864-EF40-AEF7-A80834F00231}" name="% increase" dataDxfId="19">
      <calculatedColumnFormula>(Table2[[#This Row],[cases]]-B4)/B4</calculatedColumnFormula>
    </tableColumn>
    <tableColumn id="19" xr3:uid="{C3C6B808-3CB5-8B45-A4B9-4A6CDF5E27BE}" name="doubling time (days)" dataDxfId="7">
      <calculatedColumnFormula>(LN(2)/LN(B5/B4))</calculatedColumnFormula>
    </tableColumn>
    <tableColumn id="22" xr3:uid="{90069003-40F0-4A42-B540-85A67A611F36}" name="estimated infections" dataDxfId="6">
      <calculatedColumnFormula>Table2[[#This Row],[cases]]*100/$S$19</calculatedColumnFormula>
    </tableColumn>
    <tableColumn id="8" xr3:uid="{C899EFA6-17F8-B447-A1DB-6D7083A2F531}" name="infection count, low end of estimate range" dataDxfId="5">
      <calculatedColumnFormula>Table2[[#This Row],[cases]]*100/$S$13</calculatedColumnFormula>
    </tableColumn>
    <tableColumn id="9" xr3:uid="{9DA1C9E0-36F7-DE43-8448-4D8CE8B57839}" name="infection count, high end of estimate range" dataDxfId="4">
      <calculatedColumnFormula>Table2[[#This Row],[cases]]*100/$S$16</calculatedColumnFormula>
    </tableColumn>
    <tableColumn id="11" xr3:uid="{DF5E18EF-399D-9948-A8F2-9862C2232353}" name="infection count difference" dataDxfId="3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2">
      <calculatedColumnFormula>(Table2[[#This Row],[infection count, low end of estimate range]]+Table2[[#This Row],[infection count, high end of estimate range]])/2</calculatedColumnFormula>
    </tableColumn>
    <tableColumn id="12" xr3:uid="{8AB0CE19-F28B-1B41-B08C-6F528E4C628D}" name="infection percentage, low end of estimate range" dataDxfId="18">
      <calculatedColumnFormula>Table2[[#This Row],[infection count, low end of estimate range]]/$S$6</calculatedColumnFormula>
    </tableColumn>
    <tableColumn id="13" xr3:uid="{1109EB50-6E0E-5D49-923A-162321C9390D}" name="infection percentage, high end of estimate range" dataDxfId="17">
      <calculatedColumnFormula>Table2[[#This Row],[infection count, high end of estimate range]]/$S$6</calculatedColumnFormula>
    </tableColumn>
    <tableColumn id="14" xr3:uid="{238DA9D3-166B-A04A-B1CF-89D64E5C9BCE}" name="infection percentage difference" dataDxfId="16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15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14">
      <calculatedColumnFormula>$S$6/(Table2[[#This Row],[cases]]*5)</calculatedColumnFormula>
    </tableColumn>
    <tableColumn id="4" xr3:uid="{244EEAB7-EA2F-9142-A896-C40C6D4A9BE9}" name="1-in-X odds, estimating 7x cases infected" dataDxfId="13">
      <calculatedColumnFormula>$S$6/(Table2[[#This Row],[cases]]*7)</calculatedColumnFormula>
    </tableColumn>
    <tableColumn id="5" xr3:uid="{8F986CA1-2145-0B4C-AAAE-6153D0E4F495}" name="1-in-X odds difference" dataDxfId="12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11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10"/>
    <tableColumn id="17" xr3:uid="{B5DA71D5-91C3-F54E-9A79-5F7DD2472B6E}" name="computed" dataDxfId="9"/>
    <tableColumn id="18" xr3:uid="{22EA3CBE-6B18-9845-9A5C-8FD79B240D43}" name="Column1" dataDxfId="8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zoomScaleNormal="100" workbookViewId="0">
      <selection activeCell="K12" sqref="K12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L32" sqref="L32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N30" sqref="N3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0" sqref="O2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Q29" sqref="Q29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tabSelected="1" zoomScaleNormal="100" workbookViewId="0">
      <selection activeCell="P29" sqref="P29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N24" sqref="N2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M13" sqref="M13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compute!T9</f>
        <v>4546</v>
      </c>
      <c r="D6" s="24"/>
      <c r="E6" s="17"/>
      <c r="F6" s="18"/>
      <c r="G6" s="82">
        <f ca="1">compute!T12</f>
        <v>37883.333333333336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compute!U40</f>
        <v>doubing in 16.3 days</v>
      </c>
      <c r="D8" s="44"/>
      <c r="E8" s="43"/>
      <c r="F8" s="46"/>
      <c r="G8" s="47" t="str">
        <f ca="1">compute!U42</f>
        <v>+4.3%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compute!T15</f>
        <v>6.7129870994574223E-2</v>
      </c>
      <c r="D14" s="18"/>
      <c r="E14" s="17"/>
      <c r="F14" s="18"/>
      <c r="G14" s="19">
        <f ca="1">compute!T18</f>
        <v>17.75805417635598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W44"/>
  <sheetViews>
    <sheetView workbookViewId="0">
      <selection sqref="A1:B27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0" width="10.6640625" style="79" customWidth="1"/>
    <col min="11" max="12" width="15.83203125" style="28" customWidth="1"/>
    <col min="13" max="13" width="12.6640625" style="16" customWidth="1"/>
    <col min="14" max="14" width="12.83203125" style="28" customWidth="1"/>
    <col min="15" max="15" width="14" customWidth="1"/>
    <col min="16" max="16" width="15.33203125" customWidth="1"/>
    <col min="17" max="17" width="11.5" style="4" customWidth="1"/>
    <col min="18" max="18" width="8.1640625" style="4" customWidth="1"/>
    <col min="19" max="20" width="18.1640625" style="3" customWidth="1"/>
    <col min="21" max="21" width="87.83203125" customWidth="1"/>
  </cols>
  <sheetData>
    <row r="1" spans="1:23" x14ac:dyDescent="0.2">
      <c r="A1" s="1" t="s">
        <v>40</v>
      </c>
      <c r="B1" s="1" t="s">
        <v>44</v>
      </c>
      <c r="C1" s="71"/>
    </row>
    <row r="2" spans="1:23" ht="17" x14ac:dyDescent="0.2">
      <c r="A2" s="1" t="s">
        <v>41</v>
      </c>
      <c r="B2" s="57">
        <v>470914</v>
      </c>
      <c r="C2" s="72"/>
    </row>
    <row r="3" spans="1:23" x14ac:dyDescent="0.2">
      <c r="A3" s="1" t="s">
        <v>43</v>
      </c>
      <c r="B3" s="54" t="s">
        <v>34</v>
      </c>
      <c r="C3" s="71"/>
    </row>
    <row r="4" spans="1:23" s="2" customFormat="1" ht="81" customHeight="1" thickBot="1" x14ac:dyDescent="0.25">
      <c r="A4" s="52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25" t="s">
        <v>56</v>
      </c>
      <c r="L4" s="25" t="s">
        <v>57</v>
      </c>
      <c r="M4" s="13" t="s">
        <v>8</v>
      </c>
      <c r="N4" s="25" t="s">
        <v>9</v>
      </c>
      <c r="O4" s="6" t="s">
        <v>2</v>
      </c>
      <c r="P4" s="6" t="s">
        <v>3</v>
      </c>
      <c r="Q4" s="7" t="s">
        <v>7</v>
      </c>
      <c r="R4" s="7" t="s">
        <v>5</v>
      </c>
      <c r="S4" s="10" t="s">
        <v>10</v>
      </c>
      <c r="T4" s="10" t="s">
        <v>21</v>
      </c>
      <c r="U4" s="30" t="s">
        <v>20</v>
      </c>
    </row>
    <row r="5" spans="1:23" ht="17" x14ac:dyDescent="0.2">
      <c r="A5" s="8">
        <v>43913</v>
      </c>
      <c r="B5" s="9">
        <v>148</v>
      </c>
      <c r="C5" s="74">
        <f>Table2[[#This Row],[cases]]/$B$2</f>
        <v>3.1428243798230676E-4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Row],[cases]]*100/$S$19</f>
        <v>1233.3333333333333</v>
      </c>
      <c r="G5" s="56">
        <f>Table2[[#This Row],[cases]]*100/$S$13</f>
        <v>548.14814814814815</v>
      </c>
      <c r="H5" s="56">
        <f>Table2[[#This Row],[cases]]*100/$S$16</f>
        <v>1510.204081632653</v>
      </c>
      <c r="I5" s="56">
        <f>Table2[[#This Row],[infection count, high end of estimate range]]-Table2[[#This Row],[infection count, low end of estimate range]]</f>
        <v>962.05593348450486</v>
      </c>
      <c r="J5" s="56">
        <f>(Table2[[#This Row],[infection count, low end of estimate range]]+Table2[[#This Row],[infection count, high end of estimate range]])/2</f>
        <v>1029.1761148904006</v>
      </c>
      <c r="K5" s="26">
        <f>Table2[[#This Row],[infection count, low end of estimate range]]/$S$6</f>
        <v>1.1640090295640991E-3</v>
      </c>
      <c r="L5" s="26">
        <f>Table2[[#This Row],[infection count, high end of estimate range]]/$S$6</f>
        <v>3.2069636528806811E-3</v>
      </c>
      <c r="M5" s="14">
        <f>Table2[[#This Row],[infection percentage, high end of estimate range]]-Table2[[#This Row],[infection percentage, low end of estimate range]]</f>
        <v>2.042954623316582E-3</v>
      </c>
      <c r="N5" s="26">
        <f>(Table2[[#This Row],[infection percentage, low end of estimate range]]+Table2[[#This Row],[infection percentage, high end of estimate range]])/2</f>
        <v>2.1854863412223901E-3</v>
      </c>
      <c r="O5" s="12">
        <f>$S$6/(Table2[[#This Row],[cases]]*5)</f>
        <v>636.37027027027023</v>
      </c>
      <c r="P5" s="12">
        <f>$S$6/(Table2[[#This Row],[cases]]*7)</f>
        <v>454.55019305019306</v>
      </c>
      <c r="Q5" s="3">
        <f>Table2[[#This Row],[1-in-X odds, estimating 5x cases infected]]-Table2[[#This Row],[1-in-X odds, estimating 7x cases infected]]</f>
        <v>181.82007722007717</v>
      </c>
      <c r="R5" s="5">
        <f>(Table2[[#This Row],[1-in-X odds, estimating 5x cases infected]]+Table2[[#This Row],[1-in-X odds, estimating 7x cases infected]])/2</f>
        <v>545.46023166023167</v>
      </c>
      <c r="S5" s="11" t="s">
        <v>11</v>
      </c>
      <c r="T5" s="11" t="s">
        <v>26</v>
      </c>
      <c r="U5" s="3"/>
      <c r="W5" s="1" t="s">
        <v>46</v>
      </c>
    </row>
    <row r="6" spans="1:23" x14ac:dyDescent="0.2">
      <c r="A6" s="8">
        <v>43914</v>
      </c>
      <c r="B6" s="9">
        <v>181</v>
      </c>
      <c r="C6" s="71">
        <f>Table2[[#This Row],[cases]]/$B$2</f>
        <v>3.8435892753241568E-4</v>
      </c>
      <c r="D6" s="26">
        <f>(Table2[[#This Row],[cases]]-B5)/B5</f>
        <v>0.22297297297297297</v>
      </c>
      <c r="E6" s="38">
        <f t="shared" si="0"/>
        <v>3.4436148527245245</v>
      </c>
      <c r="F6" s="81">
        <f>Table2[[#This Row],[cases]]*100/$S$19</f>
        <v>1508.3333333333333</v>
      </c>
      <c r="G6" s="56">
        <f>Table2[[#This Row],[cases]]*100/$S$13</f>
        <v>670.37037037037032</v>
      </c>
      <c r="H6" s="56">
        <f>Table2[[#This Row],[cases]]*100/$S$16</f>
        <v>1846.9387755102039</v>
      </c>
      <c r="I6" s="56">
        <f>Table2[[#This Row],[infection count, high end of estimate range]]-Table2[[#This Row],[infection count, low end of estimate range]]</f>
        <v>1176.5684051398334</v>
      </c>
      <c r="J6" s="56">
        <f>(Table2[[#This Row],[infection count, low end of estimate range]]+Table2[[#This Row],[infection count, high end of estimate range]])/2</f>
        <v>1258.6545729402872</v>
      </c>
      <c r="K6" s="26">
        <f>Table2[[#This Row],[infection count, low end of estimate range]]/$S$6</f>
        <v>1.4235515834533914E-3</v>
      </c>
      <c r="L6" s="26">
        <f>Table2[[#This Row],[infection count, high end of estimate range]]/$S$6</f>
        <v>3.9220298727797517E-3</v>
      </c>
      <c r="M6" s="14">
        <f>Table2[[#This Row],[infection percentage, high end of estimate range]]-Table2[[#This Row],[infection percentage, low end of estimate range]]</f>
        <v>2.4984782893263603E-3</v>
      </c>
      <c r="N6" s="26">
        <f>(Table2[[#This Row],[infection percentage, low end of estimate range]]+Table2[[#This Row],[infection percentage, high end of estimate range]])/2</f>
        <v>2.6727907281165718E-3</v>
      </c>
      <c r="O6" s="12">
        <f>$S$6/(Table2[[#This Row],[cases]]*5)</f>
        <v>520.34696132596684</v>
      </c>
      <c r="P6" s="12">
        <f>$S$6/(Table2[[#This Row],[cases]]*7)</f>
        <v>371.67640094711919</v>
      </c>
      <c r="Q6" s="3">
        <f>Table2[[#This Row],[1-in-X odds, estimating 5x cases infected]]-Table2[[#This Row],[1-in-X odds, estimating 7x cases infected]]</f>
        <v>148.67056037884765</v>
      </c>
      <c r="R6" s="3">
        <f>(Table2[[#This Row],[1-in-X odds, estimating 5x cases infected]]+Table2[[#This Row],[1-in-X odds, estimating 7x cases infected]])/2</f>
        <v>446.01168113654302</v>
      </c>
      <c r="S6" s="3">
        <f>B2</f>
        <v>470914</v>
      </c>
      <c r="T6" s="29">
        <f ca="1">OFFSET(compute!A5,COUNTA(compute!A5:A10005)-1,0)</f>
        <v>43935</v>
      </c>
      <c r="U6" s="3"/>
      <c r="W6" t="str">
        <f>"Number of Confirmed COVID-19 Cases " &amp; B1</f>
        <v>Number of Confirmed COVID-19 Cases Miami</v>
      </c>
    </row>
    <row r="7" spans="1:23" x14ac:dyDescent="0.2">
      <c r="A7" s="8">
        <v>43915</v>
      </c>
      <c r="B7" s="9">
        <v>211</v>
      </c>
      <c r="C7" s="71">
        <f>Table2[[#This Row],[cases]]/$B$2</f>
        <v>4.4806482712342381E-4</v>
      </c>
      <c r="D7" s="26">
        <f>(Table2[[#This Row],[cases]]-B6)/B6</f>
        <v>0.16574585635359115</v>
      </c>
      <c r="E7" s="38">
        <f t="shared" si="0"/>
        <v>4.5197065655521875</v>
      </c>
      <c r="F7" s="81">
        <f>Table2[[#This Row],[cases]]*100/$S$19</f>
        <v>1758.3333333333333</v>
      </c>
      <c r="G7" s="56">
        <f>Table2[[#This Row],[cases]]*100/$S$13</f>
        <v>781.48148148148152</v>
      </c>
      <c r="H7" s="56">
        <f>Table2[[#This Row],[cases]]*100/$S$16</f>
        <v>2153.0612244897957</v>
      </c>
      <c r="I7" s="56">
        <f>Table2[[#This Row],[infection count, high end of estimate range]]-Table2[[#This Row],[infection count, low end of estimate range]]</f>
        <v>1371.5797430083142</v>
      </c>
      <c r="J7" s="56">
        <f>(Table2[[#This Row],[infection count, low end of estimate range]]+Table2[[#This Row],[infection count, high end of estimate range]])/2</f>
        <v>1467.2713529856387</v>
      </c>
      <c r="K7" s="26">
        <f>Table2[[#This Row],[infection count, low end of estimate range]]/$S$6</f>
        <v>1.6594993597163845E-3</v>
      </c>
      <c r="L7" s="26">
        <f>Table2[[#This Row],[infection count, high end of estimate range]]/$S$6</f>
        <v>4.5720900726879971E-3</v>
      </c>
      <c r="M7" s="14">
        <f>Table2[[#This Row],[infection percentage, high end of estimate range]]-Table2[[#This Row],[infection percentage, low end of estimate range]]</f>
        <v>2.9125907129716128E-3</v>
      </c>
      <c r="N7" s="26">
        <f>(Table2[[#This Row],[infection percentage, low end of estimate range]]+Table2[[#This Row],[infection percentage, high end of estimate range]])/2</f>
        <v>3.1157947162021907E-3</v>
      </c>
      <c r="O7" s="12">
        <f>$S$6/(Table2[[#This Row],[cases]]*5)</f>
        <v>446.36398104265402</v>
      </c>
      <c r="P7" s="12">
        <f>$S$6/(Table2[[#This Row],[cases]]*7)</f>
        <v>318.83141503046716</v>
      </c>
      <c r="Q7" s="3">
        <f>Table2[[#This Row],[1-in-X odds, estimating 5x cases infected]]-Table2[[#This Row],[1-in-X odds, estimating 7x cases infected]]</f>
        <v>127.53256601218686</v>
      </c>
      <c r="R7" s="3">
        <f>(Table2[[#This Row],[1-in-X odds, estimating 5x cases infected]]+Table2[[#This Row],[1-in-X odds, estimating 7x cases infected]])/2</f>
        <v>382.59769803656059</v>
      </c>
      <c r="U7" s="3"/>
    </row>
    <row r="8" spans="1:23" x14ac:dyDescent="0.2">
      <c r="A8" s="8">
        <v>43916</v>
      </c>
      <c r="B8" s="9">
        <v>331</v>
      </c>
      <c r="C8" s="71">
        <f>Table2[[#This Row],[cases]]/$B$2</f>
        <v>7.0288842548745629E-4</v>
      </c>
      <c r="D8" s="26">
        <f>(Table2[[#This Row],[cases]]-B7)/B7</f>
        <v>0.56872037914691942</v>
      </c>
      <c r="E8" s="38">
        <f t="shared" si="0"/>
        <v>1.5394367880083781</v>
      </c>
      <c r="F8" s="81">
        <f>Table2[[#This Row],[cases]]*100/$S$19</f>
        <v>2758.3333333333335</v>
      </c>
      <c r="G8" s="56">
        <f>Table2[[#This Row],[cases]]*100/$S$13</f>
        <v>1225.9259259259259</v>
      </c>
      <c r="H8" s="56">
        <f>Table2[[#This Row],[cases]]*100/$S$16</f>
        <v>3377.5510204081629</v>
      </c>
      <c r="I8" s="56">
        <f>Table2[[#This Row],[infection count, high end of estimate range]]-Table2[[#This Row],[infection count, low end of estimate range]]</f>
        <v>2151.6250944822368</v>
      </c>
      <c r="J8" s="56">
        <f>(Table2[[#This Row],[infection count, low end of estimate range]]+Table2[[#This Row],[infection count, high end of estimate range]])/2</f>
        <v>2301.7384731670445</v>
      </c>
      <c r="K8" s="26">
        <f>Table2[[#This Row],[infection count, low end of estimate range]]/$S$6</f>
        <v>2.6032904647683565E-3</v>
      </c>
      <c r="L8" s="26">
        <f>Table2[[#This Row],[infection count, high end of estimate range]]/$S$6</f>
        <v>7.1723308723209821E-3</v>
      </c>
      <c r="M8" s="14">
        <f>Table2[[#This Row],[infection percentage, high end of estimate range]]-Table2[[#This Row],[infection percentage, low end of estimate range]]</f>
        <v>4.5690404075526252E-3</v>
      </c>
      <c r="N8" s="26">
        <f>(Table2[[#This Row],[infection percentage, low end of estimate range]]+Table2[[#This Row],[infection percentage, high end of estimate range]])/2</f>
        <v>4.8878106685446695E-3</v>
      </c>
      <c r="O8" s="12">
        <f>$S$6/(Table2[[#This Row],[cases]]*5)</f>
        <v>284.54018126888218</v>
      </c>
      <c r="P8" s="12">
        <f>$S$6/(Table2[[#This Row],[cases]]*7)</f>
        <v>203.24298662063012</v>
      </c>
      <c r="Q8" s="3">
        <f>Table2[[#This Row],[1-in-X odds, estimating 5x cases infected]]-Table2[[#This Row],[1-in-X odds, estimating 7x cases infected]]</f>
        <v>81.297194648252059</v>
      </c>
      <c r="R8" s="3">
        <f>(Table2[[#This Row],[1-in-X odds, estimating 5x cases infected]]+Table2[[#This Row],[1-in-X odds, estimating 7x cases infected]])/2</f>
        <v>243.89158394475615</v>
      </c>
      <c r="S8" s="34" t="s">
        <v>33</v>
      </c>
      <c r="T8" s="34" t="s">
        <v>25</v>
      </c>
      <c r="U8" s="3"/>
    </row>
    <row r="9" spans="1:23" x14ac:dyDescent="0.2">
      <c r="A9" s="8">
        <v>43917</v>
      </c>
      <c r="B9" s="9">
        <v>464</v>
      </c>
      <c r="C9" s="71">
        <f>Table2[[#This Row],[cases]]/$B$2</f>
        <v>9.8531791367425896E-4</v>
      </c>
      <c r="D9" s="26">
        <f>(Table2[[#This Row],[cases]]-B8)/B8</f>
        <v>0.40181268882175225</v>
      </c>
      <c r="E9" s="38">
        <f t="shared" si="0"/>
        <v>2.0521509495884938</v>
      </c>
      <c r="F9" s="81">
        <f>Table2[[#This Row],[cases]]*100/$S$19</f>
        <v>3866.6666666666665</v>
      </c>
      <c r="G9" s="56">
        <f>Table2[[#This Row],[cases]]*100/$S$13</f>
        <v>1718.5185185185185</v>
      </c>
      <c r="H9" s="56">
        <f>Table2[[#This Row],[cases]]*100/$S$16</f>
        <v>4734.6938775510198</v>
      </c>
      <c r="I9" s="56">
        <f>Table2[[#This Row],[infection count, high end of estimate range]]-Table2[[#This Row],[infection count, low end of estimate range]]</f>
        <v>3016.1753590325015</v>
      </c>
      <c r="J9" s="56">
        <f>(Table2[[#This Row],[infection count, low end of estimate range]]+Table2[[#This Row],[infection count, high end of estimate range]])/2</f>
        <v>3226.606198034769</v>
      </c>
      <c r="K9" s="26">
        <f>Table2[[#This Row],[infection count, low end of estimate range]]/$S$6</f>
        <v>3.6493256062009594E-3</v>
      </c>
      <c r="L9" s="26">
        <f>Table2[[#This Row],[infection count, high end of estimate range]]/$S$6</f>
        <v>1.0054264425247539E-2</v>
      </c>
      <c r="M9" s="14">
        <f>Table2[[#This Row],[infection percentage, high end of estimate range]]-Table2[[#This Row],[infection percentage, low end of estimate range]]</f>
        <v>6.4049388190465795E-3</v>
      </c>
      <c r="N9" s="26">
        <f>(Table2[[#This Row],[infection percentage, low end of estimate range]]+Table2[[#This Row],[infection percentage, high end of estimate range]])/2</f>
        <v>6.8517950157242491E-3</v>
      </c>
      <c r="O9" s="12">
        <f>$S$6/(Table2[[#This Row],[cases]]*5)</f>
        <v>202.9801724137931</v>
      </c>
      <c r="P9" s="12">
        <f>$S$6/(Table2[[#This Row],[cases]]*7)</f>
        <v>144.98583743842366</v>
      </c>
      <c r="Q9" s="3">
        <f>Table2[[#This Row],[1-in-X odds, estimating 5x cases infected]]-Table2[[#This Row],[1-in-X odds, estimating 7x cases infected]]</f>
        <v>57.994334975369441</v>
      </c>
      <c r="R9" s="3">
        <f>(Table2[[#This Row],[1-in-X odds, estimating 5x cases infected]]+Table2[[#This Row],[1-in-X odds, estimating 7x cases infected]])/2</f>
        <v>173.98300492610838</v>
      </c>
      <c r="S9" s="34" t="str">
        <f>B3</f>
        <v>morning</v>
      </c>
      <c r="T9" s="3">
        <f ca="1">OFFSET(compute!B4,COUNTA(compute!B4:B10005)-1,0)</f>
        <v>4546</v>
      </c>
      <c r="U9" s="3"/>
    </row>
    <row r="10" spans="1:23" x14ac:dyDescent="0.2">
      <c r="A10" s="8">
        <v>43918</v>
      </c>
      <c r="B10" s="9">
        <v>539</v>
      </c>
      <c r="C10" s="71">
        <f>Table2[[#This Row],[cases]]/$B$2</f>
        <v>1.1445826626517793E-3</v>
      </c>
      <c r="D10" s="26">
        <f>(Table2[[#This Row],[cases]]-B9)/B9</f>
        <v>0.16163793103448276</v>
      </c>
      <c r="E10" s="38">
        <f t="shared" si="0"/>
        <v>4.6261928047598939</v>
      </c>
      <c r="F10" s="81">
        <f>Table2[[#This Row],[cases]]*100/$S$19</f>
        <v>4491.666666666667</v>
      </c>
      <c r="G10" s="56">
        <f>Table2[[#This Row],[cases]]*100/$S$13</f>
        <v>1996.2962962962963</v>
      </c>
      <c r="H10" s="56">
        <f>Table2[[#This Row],[cases]]*100/$S$16</f>
        <v>5500</v>
      </c>
      <c r="I10" s="56">
        <f>Table2[[#This Row],[infection count, high end of estimate range]]-Table2[[#This Row],[infection count, low end of estimate range]]</f>
        <v>3503.7037037037035</v>
      </c>
      <c r="J10" s="56">
        <f>(Table2[[#This Row],[infection count, low end of estimate range]]+Table2[[#This Row],[infection count, high end of estimate range]])/2</f>
        <v>3748.1481481481483</v>
      </c>
      <c r="K10" s="26">
        <f>Table2[[#This Row],[infection count, low end of estimate range]]/$S$6</f>
        <v>4.2391950468584419E-3</v>
      </c>
      <c r="L10" s="26">
        <f>Table2[[#This Row],[infection count, high end of estimate range]]/$S$6</f>
        <v>1.1679414925018157E-2</v>
      </c>
      <c r="M10" s="14">
        <f>Table2[[#This Row],[infection percentage, high end of estimate range]]-Table2[[#This Row],[infection percentage, low end of estimate range]]</f>
        <v>7.4402198781597147E-3</v>
      </c>
      <c r="N10" s="26">
        <f>(Table2[[#This Row],[infection percentage, low end of estimate range]]+Table2[[#This Row],[infection percentage, high end of estimate range]])/2</f>
        <v>7.9593049859383001E-3</v>
      </c>
      <c r="O10" s="12">
        <f>$S$6/(Table2[[#This Row],[cases]]*5)</f>
        <v>174.73617810760669</v>
      </c>
      <c r="P10" s="12">
        <f>$S$6/(Table2[[#This Row],[cases]]*7)</f>
        <v>124.81155579114763</v>
      </c>
      <c r="Q10" s="3">
        <f>Table2[[#This Row],[1-in-X odds, estimating 5x cases infected]]-Table2[[#This Row],[1-in-X odds, estimating 7x cases infected]]</f>
        <v>49.924622316459065</v>
      </c>
      <c r="R10" s="3">
        <f>(Table2[[#This Row],[1-in-X odds, estimating 5x cases infected]]+Table2[[#This Row],[1-in-X odds, estimating 7x cases infected]])/2</f>
        <v>149.77386694937715</v>
      </c>
      <c r="U10" s="3"/>
    </row>
    <row r="11" spans="1:23" x14ac:dyDescent="0.2">
      <c r="A11" s="8">
        <v>43919</v>
      </c>
      <c r="B11" s="9">
        <v>643</v>
      </c>
      <c r="C11" s="71">
        <f>Table2[[#This Row],[cases]]/$B$2</f>
        <v>1.3654297812339409E-3</v>
      </c>
      <c r="D11" s="26">
        <f>(Table2[[#This Row],[cases]]-B10)/B10</f>
        <v>0.19294990723562153</v>
      </c>
      <c r="E11" s="38">
        <f t="shared" si="0"/>
        <v>3.9287564865703821</v>
      </c>
      <c r="F11" s="81">
        <f>Table2[[#This Row],[cases]]*100/$S$19</f>
        <v>5358.333333333333</v>
      </c>
      <c r="G11" s="56">
        <f>Table2[[#This Row],[cases]]*100/$S$13</f>
        <v>2381.4814814814813</v>
      </c>
      <c r="H11" s="56">
        <f>Table2[[#This Row],[cases]]*100/$S$16</f>
        <v>6561.2244897959181</v>
      </c>
      <c r="I11" s="56">
        <f>Table2[[#This Row],[infection count, high end of estimate range]]-Table2[[#This Row],[infection count, low end of estimate range]]</f>
        <v>4179.7430083144372</v>
      </c>
      <c r="J11" s="56">
        <f>(Table2[[#This Row],[infection count, low end of estimate range]]+Table2[[#This Row],[infection count, high end of estimate range]])/2</f>
        <v>4471.3529856386995</v>
      </c>
      <c r="K11" s="26">
        <f>Table2[[#This Row],[infection count, low end of estimate range]]/$S$6</f>
        <v>5.0571473379034844E-3</v>
      </c>
      <c r="L11" s="26">
        <f>Table2[[#This Row],[infection count, high end of estimate range]]/$S$6</f>
        <v>1.3932956951366742E-2</v>
      </c>
      <c r="M11" s="14">
        <f>Table2[[#This Row],[infection percentage, high end of estimate range]]-Table2[[#This Row],[infection percentage, low end of estimate range]]</f>
        <v>8.8758096134632578E-3</v>
      </c>
      <c r="N11" s="26">
        <f>(Table2[[#This Row],[infection percentage, low end of estimate range]]+Table2[[#This Row],[infection percentage, high end of estimate range]])/2</f>
        <v>9.4950521446351133E-3</v>
      </c>
      <c r="O11" s="12">
        <f>$S$6/(Table2[[#This Row],[cases]]*5)</f>
        <v>146.47402799377917</v>
      </c>
      <c r="P11" s="12">
        <f>$S$6/(Table2[[#This Row],[cases]]*7)</f>
        <v>104.62430570984226</v>
      </c>
      <c r="Q11" s="3">
        <f>Table2[[#This Row],[1-in-X odds, estimating 5x cases infected]]-Table2[[#This Row],[1-in-X odds, estimating 7x cases infected]]</f>
        <v>41.849722283936913</v>
      </c>
      <c r="R11" s="3">
        <f>(Table2[[#This Row],[1-in-X odds, estimating 5x cases infected]]+Table2[[#This Row],[1-in-X odds, estimating 7x cases infected]])/2</f>
        <v>125.54916685181072</v>
      </c>
      <c r="S11" s="3" t="s">
        <v>36</v>
      </c>
      <c r="T11" s="34" t="s">
        <v>27</v>
      </c>
      <c r="U11" s="3"/>
    </row>
    <row r="12" spans="1:23" x14ac:dyDescent="0.2">
      <c r="A12" s="8">
        <v>43920</v>
      </c>
      <c r="B12" s="9">
        <v>897</v>
      </c>
      <c r="C12" s="71">
        <f>Table2[[#This Row],[cases]]/$B$2</f>
        <v>1.9048063977711428E-3</v>
      </c>
      <c r="D12" s="26">
        <f>(Table2[[#This Row],[cases]]-B11)/B11</f>
        <v>0.39502332814930013</v>
      </c>
      <c r="E12" s="38">
        <f t="shared" si="0"/>
        <v>2.0820786744968252</v>
      </c>
      <c r="F12" s="81">
        <f>Table2[[#This Row],[cases]]*100/$S$19</f>
        <v>7475</v>
      </c>
      <c r="G12" s="56">
        <f>Table2[[#This Row],[cases]]*100/$S$13</f>
        <v>3322.2222222222222</v>
      </c>
      <c r="H12" s="56">
        <f>Table2[[#This Row],[cases]]*100/$S$16</f>
        <v>9153.0612244897948</v>
      </c>
      <c r="I12" s="56">
        <f>Table2[[#This Row],[infection count, high end of estimate range]]-Table2[[#This Row],[infection count, low end of estimate range]]</f>
        <v>5830.8390022675721</v>
      </c>
      <c r="J12" s="56">
        <f>(Table2[[#This Row],[infection count, low end of estimate range]]+Table2[[#This Row],[infection count, high end of estimate range]])/2</f>
        <v>6237.6417233560087</v>
      </c>
      <c r="K12" s="26">
        <f>Table2[[#This Row],[infection count, low end of estimate range]]/$S$6</f>
        <v>7.054838510263492E-3</v>
      </c>
      <c r="L12" s="26">
        <f>Table2[[#This Row],[infection count, high end of estimate range]]/$S$6</f>
        <v>1.9436799977256558E-2</v>
      </c>
      <c r="M12" s="14">
        <f>Table2[[#This Row],[infection percentage, high end of estimate range]]-Table2[[#This Row],[infection percentage, low end of estimate range]]</f>
        <v>1.2381961466993066E-2</v>
      </c>
      <c r="N12" s="26">
        <f>(Table2[[#This Row],[infection percentage, low end of estimate range]]+Table2[[#This Row],[infection percentage, high end of estimate range]])/2</f>
        <v>1.3245819243760025E-2</v>
      </c>
      <c r="O12" s="12">
        <f>$S$6/(Table2[[#This Row],[cases]]*5)</f>
        <v>104.99754738015608</v>
      </c>
      <c r="P12" s="12">
        <f>$S$6/(Table2[[#This Row],[cases]]*7)</f>
        <v>74.998248128682917</v>
      </c>
      <c r="Q12" s="3">
        <f>Table2[[#This Row],[1-in-X odds, estimating 5x cases infected]]-Table2[[#This Row],[1-in-X odds, estimating 7x cases infected]]</f>
        <v>29.999299251473161</v>
      </c>
      <c r="R12" s="3">
        <f>(Table2[[#This Row],[1-in-X odds, estimating 5x cases infected]]+Table2[[#This Row],[1-in-X odds, estimating 7x cases infected]])/2</f>
        <v>89.997897754419498</v>
      </c>
      <c r="S12" s="34" t="s">
        <v>37</v>
      </c>
      <c r="T12" s="35">
        <f ca="1">OFFSET(compute!F4,COUNTA(compute!F:F)-1,0)</f>
        <v>37883.333333333336</v>
      </c>
      <c r="U12" s="3"/>
    </row>
    <row r="13" spans="1:23" x14ac:dyDescent="0.2">
      <c r="A13" s="8">
        <v>43921</v>
      </c>
      <c r="B13" s="56">
        <v>1047</v>
      </c>
      <c r="C13" s="71">
        <f>Table2[[#This Row],[cases]]/$B$2</f>
        <v>2.2233358957261837E-3</v>
      </c>
      <c r="D13" s="26">
        <f>(Table2[[#This Row],[cases]]-B12)/B12</f>
        <v>0.16722408026755853</v>
      </c>
      <c r="E13" s="38">
        <f t="shared" si="0"/>
        <v>4.4826656036005934</v>
      </c>
      <c r="F13" s="81">
        <f>Table2[[#This Row],[cases]]*100/$S$19</f>
        <v>8725</v>
      </c>
      <c r="G13" s="56">
        <f>Table2[[#This Row],[cases]]*100/$S$13</f>
        <v>3877.7777777777778</v>
      </c>
      <c r="H13" s="56">
        <f>Table2[[#This Row],[cases]]*100/$S$16</f>
        <v>10683.673469387755</v>
      </c>
      <c r="I13" s="56">
        <f>Table2[[#This Row],[infection count, high end of estimate range]]-Table2[[#This Row],[infection count, low end of estimate range]]</f>
        <v>6805.8956916099778</v>
      </c>
      <c r="J13" s="56">
        <f>(Table2[[#This Row],[infection count, low end of estimate range]]+Table2[[#This Row],[infection count, high end of estimate range]])/2</f>
        <v>7280.7256235827663</v>
      </c>
      <c r="K13" s="26">
        <f>Table2[[#This Row],[infection count, low end of estimate range]]/$S$6</f>
        <v>8.234577391578457E-3</v>
      </c>
      <c r="L13" s="26">
        <f>Table2[[#This Row],[infection count, high end of estimate range]]/$S$6</f>
        <v>2.268710097679779E-2</v>
      </c>
      <c r="M13" s="14">
        <f>Table2[[#This Row],[infection percentage, high end of estimate range]]-Table2[[#This Row],[infection percentage, low end of estimate range]]</f>
        <v>1.4452523585219333E-2</v>
      </c>
      <c r="N13" s="26">
        <f>(Table2[[#This Row],[infection percentage, low end of estimate range]]+Table2[[#This Row],[infection percentage, high end of estimate range]])/2</f>
        <v>1.5460839184188124E-2</v>
      </c>
      <c r="O13" s="12">
        <f>$S$6/(Table2[[#This Row],[cases]]*5)</f>
        <v>89.954918815663802</v>
      </c>
      <c r="P13" s="12">
        <f>$S$6/(Table2[[#This Row],[cases]]*7)</f>
        <v>64.253513439759857</v>
      </c>
      <c r="Q13" s="3">
        <f>Table2[[#This Row],[1-in-X odds, estimating 5x cases infected]]-Table2[[#This Row],[1-in-X odds, estimating 7x cases infected]]</f>
        <v>25.701405375903946</v>
      </c>
      <c r="R13" s="3">
        <f>(Table2[[#This Row],[1-in-X odds, estimating 5x cases infected]]+Table2[[#This Row],[1-in-X odds, estimating 7x cases infected]])/2</f>
        <v>77.104216127711823</v>
      </c>
      <c r="S13" s="3">
        <v>27</v>
      </c>
      <c r="U13" s="3"/>
    </row>
    <row r="14" spans="1:23" x14ac:dyDescent="0.2">
      <c r="A14" s="8">
        <v>43922</v>
      </c>
      <c r="B14" s="56">
        <v>1223</v>
      </c>
      <c r="C14" s="71">
        <f>Table2[[#This Row],[cases]]/$B$2</f>
        <v>2.5970771733267646E-3</v>
      </c>
      <c r="D14" s="26">
        <f>(Table2[[#This Row],[cases]]-B13)/B13</f>
        <v>0.16809933142311365</v>
      </c>
      <c r="E14" s="38">
        <f t="shared" si="0"/>
        <v>4.461040275688724</v>
      </c>
      <c r="F14" s="81">
        <f>Table2[[#This Row],[cases]]*100/$S$19</f>
        <v>10191.666666666666</v>
      </c>
      <c r="G14" s="56">
        <f>Table2[[#This Row],[cases]]*100/$S$13</f>
        <v>4529.6296296296296</v>
      </c>
      <c r="H14" s="56">
        <f>Table2[[#This Row],[cases]]*100/$S$16</f>
        <v>12479.591836734693</v>
      </c>
      <c r="I14" s="56">
        <f>Table2[[#This Row],[infection count, high end of estimate range]]-Table2[[#This Row],[infection count, low end of estimate range]]</f>
        <v>7949.9622071050635</v>
      </c>
      <c r="J14" s="56">
        <f>(Table2[[#This Row],[infection count, low end of estimate range]]+Table2[[#This Row],[infection count, high end of estimate range]])/2</f>
        <v>8504.6107331821622</v>
      </c>
      <c r="K14" s="26">
        <f>Table2[[#This Row],[infection count, low end of estimate range]]/$S$6</f>
        <v>9.6188043456546836E-3</v>
      </c>
      <c r="L14" s="26">
        <f>Table2[[#This Row],[infection count, high end of estimate range]]/$S$6</f>
        <v>2.6500787482926166E-2</v>
      </c>
      <c r="M14" s="14">
        <f>Table2[[#This Row],[infection percentage, high end of estimate range]]-Table2[[#This Row],[infection percentage, low end of estimate range]]</f>
        <v>1.6881983137271482E-2</v>
      </c>
      <c r="N14" s="26">
        <f>(Table2[[#This Row],[infection percentage, low end of estimate range]]+Table2[[#This Row],[infection percentage, high end of estimate range]])/2</f>
        <v>1.8059795914290425E-2</v>
      </c>
      <c r="O14" s="12">
        <f>$S$6/(Table2[[#This Row],[cases]]*5)</f>
        <v>77.0096484055601</v>
      </c>
      <c r="P14" s="12">
        <f>$S$6/(Table2[[#This Row],[cases]]*7)</f>
        <v>55.006891718257215</v>
      </c>
      <c r="Q14" s="3">
        <f>Table2[[#This Row],[1-in-X odds, estimating 5x cases infected]]-Table2[[#This Row],[1-in-X odds, estimating 7x cases infected]]</f>
        <v>22.002756687302885</v>
      </c>
      <c r="R14" s="3">
        <f>(Table2[[#This Row],[1-in-X odds, estimating 5x cases infected]]+Table2[[#This Row],[1-in-X odds, estimating 7x cases infected]])/2</f>
        <v>66.008270061908661</v>
      </c>
      <c r="T14" s="34" t="s">
        <v>28</v>
      </c>
      <c r="U14" s="3"/>
    </row>
    <row r="15" spans="1:23" x14ac:dyDescent="0.2">
      <c r="A15" s="8">
        <v>43923</v>
      </c>
      <c r="B15" s="56">
        <v>1391</v>
      </c>
      <c r="C15" s="71">
        <f>Table2[[#This Row],[cases]]/$B$2</f>
        <v>2.9538302110364099E-3</v>
      </c>
      <c r="D15" s="26">
        <f>(Table2[[#This Row],[cases]]-B14)/B14</f>
        <v>0.1373671300081766</v>
      </c>
      <c r="E15" s="38">
        <f t="shared" si="0"/>
        <v>5.3850871509581326</v>
      </c>
      <c r="F15" s="81">
        <f>Table2[[#This Row],[cases]]*100/$S$19</f>
        <v>11591.666666666666</v>
      </c>
      <c r="G15" s="56">
        <f>Table2[[#This Row],[cases]]*100/$S$13</f>
        <v>5151.8518518518522</v>
      </c>
      <c r="H15" s="56">
        <f>Table2[[#This Row],[cases]]*100/$S$16</f>
        <v>14193.877551020407</v>
      </c>
      <c r="I15" s="56">
        <f>Table2[[#This Row],[infection count, high end of estimate range]]-Table2[[#This Row],[infection count, low end of estimate range]]</f>
        <v>9042.0256991685546</v>
      </c>
      <c r="J15" s="56">
        <f>(Table2[[#This Row],[infection count, low end of estimate range]]+Table2[[#This Row],[infection count, high end of estimate range]])/2</f>
        <v>9672.8647014361304</v>
      </c>
      <c r="K15" s="26">
        <f>Table2[[#This Row],[infection count, low end of estimate range]]/$S$6</f>
        <v>1.0940111892727445E-2</v>
      </c>
      <c r="L15" s="26">
        <f>Table2[[#This Row],[infection count, high end of estimate range]]/$S$6</f>
        <v>3.0141124602412344E-2</v>
      </c>
      <c r="M15" s="14">
        <f>Table2[[#This Row],[infection percentage, high end of estimate range]]-Table2[[#This Row],[infection percentage, low end of estimate range]]</f>
        <v>1.9201012709684898E-2</v>
      </c>
      <c r="N15" s="26">
        <f>(Table2[[#This Row],[infection percentage, low end of estimate range]]+Table2[[#This Row],[infection percentage, high end of estimate range]])/2</f>
        <v>2.0540618247569895E-2</v>
      </c>
      <c r="O15" s="12">
        <f>$S$6/(Table2[[#This Row],[cases]]*5)</f>
        <v>67.708698777857663</v>
      </c>
      <c r="P15" s="12">
        <f>$S$6/(Table2[[#This Row],[cases]]*7)</f>
        <v>48.363356269898325</v>
      </c>
      <c r="Q15" s="3">
        <f>Table2[[#This Row],[1-in-X odds, estimating 5x cases infected]]-Table2[[#This Row],[1-in-X odds, estimating 7x cases infected]]</f>
        <v>19.345342507959337</v>
      </c>
      <c r="R15" s="3">
        <f>(Table2[[#This Row],[1-in-X odds, estimating 5x cases infected]]+Table2[[#This Row],[1-in-X odds, estimating 7x cases infected]])/2</f>
        <v>58.036027523877991</v>
      </c>
      <c r="S15" s="34" t="s">
        <v>38</v>
      </c>
      <c r="T15" s="27">
        <f ca="1">OFFSET(compute!N4,COUNTA(compute!N:N)-1,0)</f>
        <v>6.7129870994574223E-2</v>
      </c>
      <c r="U15" s="3"/>
    </row>
    <row r="16" spans="1:23" x14ac:dyDescent="0.2">
      <c r="A16" s="8">
        <v>43924</v>
      </c>
      <c r="B16" s="56">
        <v>1752</v>
      </c>
      <c r="C16" s="71">
        <f>Table2[[#This Row],[cases]]/$B$2</f>
        <v>3.7204245361148747E-3</v>
      </c>
      <c r="D16" s="26">
        <f>(Table2[[#This Row],[cases]]-B15)/B15</f>
        <v>0.25952552120776418</v>
      </c>
      <c r="E16" s="38">
        <f t="shared" si="0"/>
        <v>3.0040823521200468</v>
      </c>
      <c r="F16" s="81">
        <f>Table2[[#This Row],[cases]]*100/$S$19</f>
        <v>14600</v>
      </c>
      <c r="G16" s="56">
        <f>Table2[[#This Row],[cases]]*100/$S$13</f>
        <v>6488.8888888888887</v>
      </c>
      <c r="H16" s="56">
        <f>Table2[[#This Row],[cases]]*100/$S$16</f>
        <v>17877.551020408162</v>
      </c>
      <c r="I16" s="56">
        <f>Table2[[#This Row],[infection count, high end of estimate range]]-Table2[[#This Row],[infection count, low end of estimate range]]</f>
        <v>11388.662131519273</v>
      </c>
      <c r="J16" s="56">
        <f>(Table2[[#This Row],[infection count, low end of estimate range]]+Table2[[#This Row],[infection count, high end of estimate range]])/2</f>
        <v>12183.219954648524</v>
      </c>
      <c r="K16" s="26">
        <f>Table2[[#This Row],[infection count, low end of estimate range]]/$S$6</f>
        <v>1.3779350133758793E-2</v>
      </c>
      <c r="L16" s="26">
        <f>Table2[[#This Row],[infection count, high end of estimate range]]/$S$6</f>
        <v>3.7963515674641575E-2</v>
      </c>
      <c r="M16" s="14">
        <f>Table2[[#This Row],[infection percentage, high end of estimate range]]-Table2[[#This Row],[infection percentage, low end of estimate range]]</f>
        <v>2.4184165540882784E-2</v>
      </c>
      <c r="N16" s="26">
        <f>(Table2[[#This Row],[infection percentage, low end of estimate range]]+Table2[[#This Row],[infection percentage, high end of estimate range]])/2</f>
        <v>2.5871432904200183E-2</v>
      </c>
      <c r="O16" s="12">
        <f>$S$6/(Table2[[#This Row],[cases]]*5)</f>
        <v>53.75730593607306</v>
      </c>
      <c r="P16" s="12">
        <f>$S$6/(Table2[[#This Row],[cases]]*7)</f>
        <v>38.398075668623612</v>
      </c>
      <c r="Q16" s="3">
        <f>Table2[[#This Row],[1-in-X odds, estimating 5x cases infected]]-Table2[[#This Row],[1-in-X odds, estimating 7x cases infected]]</f>
        <v>15.359230267449448</v>
      </c>
      <c r="R16" s="3">
        <f>(Table2[[#This Row],[1-in-X odds, estimating 5x cases infected]]+Table2[[#This Row],[1-in-X odds, estimating 7x cases infected]])/2</f>
        <v>46.077690802348336</v>
      </c>
      <c r="S16" s="3">
        <v>9.8000000000000007</v>
      </c>
      <c r="U16" s="3"/>
    </row>
    <row r="17" spans="1:21" x14ac:dyDescent="0.2">
      <c r="A17" s="8">
        <v>43925</v>
      </c>
      <c r="B17" s="56">
        <v>2168</v>
      </c>
      <c r="C17" s="71">
        <f>Table2[[#This Row],[cases]]/$B$2</f>
        <v>4.6038130104435202E-3</v>
      </c>
      <c r="D17" s="26">
        <f>(Table2[[#This Row],[cases]]-B16)/B16</f>
        <v>0.23744292237442921</v>
      </c>
      <c r="E17" s="38">
        <f t="shared" si="0"/>
        <v>3.2534928174838318</v>
      </c>
      <c r="F17" s="81">
        <f>Table2[[#This Row],[cases]]*100/$S$19</f>
        <v>18066.666666666668</v>
      </c>
      <c r="G17" s="56">
        <f>Table2[[#This Row],[cases]]*100/$S$13</f>
        <v>8029.6296296296296</v>
      </c>
      <c r="H17" s="56">
        <f>Table2[[#This Row],[cases]]*100/$S$16</f>
        <v>22122.448979591834</v>
      </c>
      <c r="I17" s="56">
        <f>Table2[[#This Row],[infection count, high end of estimate range]]-Table2[[#This Row],[infection count, low end of estimate range]]</f>
        <v>14092.819349962205</v>
      </c>
      <c r="J17" s="56">
        <f>(Table2[[#This Row],[infection count, low end of estimate range]]+Table2[[#This Row],[infection count, high end of estimate range]])/2</f>
        <v>15076.039304610731</v>
      </c>
      <c r="K17" s="26">
        <f>Table2[[#This Row],[infection count, low end of estimate range]]/$S$6</f>
        <v>1.7051159297938965E-2</v>
      </c>
      <c r="L17" s="26">
        <f>Table2[[#This Row],[infection count, high end of estimate range]]/$S$6</f>
        <v>4.6977683780035917E-2</v>
      </c>
      <c r="M17" s="14">
        <f>Table2[[#This Row],[infection percentage, high end of estimate range]]-Table2[[#This Row],[infection percentage, low end of estimate range]]</f>
        <v>2.9926524482096952E-2</v>
      </c>
      <c r="N17" s="26">
        <f>(Table2[[#This Row],[infection percentage, low end of estimate range]]+Table2[[#This Row],[infection percentage, high end of estimate range]])/2</f>
        <v>3.2014421538987439E-2</v>
      </c>
      <c r="O17" s="12">
        <f>$S$6/(Table2[[#This Row],[cases]]*5)</f>
        <v>43.442250922509224</v>
      </c>
      <c r="P17" s="12">
        <f>$S$6/(Table2[[#This Row],[cases]]*7)</f>
        <v>31.030179230363732</v>
      </c>
      <c r="Q17" s="3">
        <f>Table2[[#This Row],[1-in-X odds, estimating 5x cases infected]]-Table2[[#This Row],[1-in-X odds, estimating 7x cases infected]]</f>
        <v>12.412071692145492</v>
      </c>
      <c r="R17" s="3">
        <f>(Table2[[#This Row],[1-in-X odds, estimating 5x cases infected]]+Table2[[#This Row],[1-in-X odds, estimating 7x cases infected]])/2</f>
        <v>37.23621507643648</v>
      </c>
      <c r="T17" s="34" t="s">
        <v>29</v>
      </c>
      <c r="U17" s="3"/>
    </row>
    <row r="18" spans="1:21" x14ac:dyDescent="0.2">
      <c r="A18" s="8">
        <v>43926</v>
      </c>
      <c r="B18" s="56">
        <v>2393</v>
      </c>
      <c r="C18" s="71">
        <f>Table2[[#This Row],[cases]]/$B$2</f>
        <v>5.0816072573760815E-3</v>
      </c>
      <c r="D18" s="26">
        <f>(Table2[[#This Row],[cases]]-B17)/B17</f>
        <v>0.10378228782287822</v>
      </c>
      <c r="E18" s="38">
        <f t="shared" si="0"/>
        <v>7.0197290799014054</v>
      </c>
      <c r="F18" s="81">
        <f>Table2[[#This Row],[cases]]*100/$S$19</f>
        <v>19941.666666666668</v>
      </c>
      <c r="G18" s="56">
        <f>Table2[[#This Row],[cases]]*100/$S$13</f>
        <v>8862.9629629629635</v>
      </c>
      <c r="H18" s="56">
        <f>Table2[[#This Row],[cases]]*100/$S$16</f>
        <v>24418.367346938772</v>
      </c>
      <c r="I18" s="56">
        <f>Table2[[#This Row],[infection count, high end of estimate range]]-Table2[[#This Row],[infection count, low end of estimate range]]</f>
        <v>15555.404383975809</v>
      </c>
      <c r="J18" s="56">
        <f>(Table2[[#This Row],[infection count, low end of estimate range]]+Table2[[#This Row],[infection count, high end of estimate range]])/2</f>
        <v>16640.665154950868</v>
      </c>
      <c r="K18" s="26">
        <f>Table2[[#This Row],[infection count, low end of estimate range]]/$S$6</f>
        <v>1.8820767619911413E-2</v>
      </c>
      <c r="L18" s="26">
        <f>Table2[[#This Row],[infection count, high end of estimate range]]/$S$6</f>
        <v>5.1853135279347762E-2</v>
      </c>
      <c r="M18" s="14">
        <f>Table2[[#This Row],[infection percentage, high end of estimate range]]-Table2[[#This Row],[infection percentage, low end of estimate range]]</f>
        <v>3.3032367659436346E-2</v>
      </c>
      <c r="N18" s="26">
        <f>(Table2[[#This Row],[infection percentage, low end of estimate range]]+Table2[[#This Row],[infection percentage, high end of estimate range]])/2</f>
        <v>3.5336951449629589E-2</v>
      </c>
      <c r="O18" s="12">
        <f>$S$6/(Table2[[#This Row],[cases]]*5)</f>
        <v>39.357626410363558</v>
      </c>
      <c r="P18" s="12">
        <f>$S$6/(Table2[[#This Row],[cases]]*7)</f>
        <v>28.112590293116828</v>
      </c>
      <c r="Q18" s="3">
        <f>Table2[[#This Row],[1-in-X odds, estimating 5x cases infected]]-Table2[[#This Row],[1-in-X odds, estimating 7x cases infected]]</f>
        <v>11.24503611724673</v>
      </c>
      <c r="R18" s="3">
        <f>(Table2[[#This Row],[1-in-X odds, estimating 5x cases infected]]+Table2[[#This Row],[1-in-X odds, estimating 7x cases infected]])/2</f>
        <v>33.735108351740195</v>
      </c>
      <c r="S18" s="34" t="s">
        <v>59</v>
      </c>
      <c r="T18" s="3">
        <f ca="1">OFFSET(compute!R4,COUNTA(compute!R:R)-1,0)</f>
        <v>17.75805417635598</v>
      </c>
      <c r="U18" s="3"/>
    </row>
    <row r="19" spans="1:21" x14ac:dyDescent="0.2">
      <c r="A19" s="8">
        <v>43927</v>
      </c>
      <c r="B19" s="56">
        <v>2676</v>
      </c>
      <c r="C19" s="71">
        <f>Table2[[#This Row],[cases]]/$B$2</f>
        <v>5.6825662435179246E-3</v>
      </c>
      <c r="D19" s="26">
        <f>(Table2[[#This Row],[cases]]-B18)/B18</f>
        <v>0.1182615963226076</v>
      </c>
      <c r="E19" s="38">
        <f t="shared" si="0"/>
        <v>6.2012535310728651</v>
      </c>
      <c r="F19" s="81">
        <f>Table2[[#This Row],[cases]]*100/$S$19</f>
        <v>22300</v>
      </c>
      <c r="G19" s="35">
        <f>Table2[[#This Row],[cases]]*100/$S$13</f>
        <v>9911.1111111111113</v>
      </c>
      <c r="H19" s="35">
        <f>Table2[[#This Row],[cases]]*100/$S$16</f>
        <v>27306.12244897959</v>
      </c>
      <c r="I19" s="35">
        <f>Table2[[#This Row],[infection count, high end of estimate range]]-Table2[[#This Row],[infection count, low end of estimate range]]</f>
        <v>17395.011337868476</v>
      </c>
      <c r="J19" s="35">
        <f>(Table2[[#This Row],[infection count, low end of estimate range]]+Table2[[#This Row],[infection count, high end of estimate range]])/2</f>
        <v>18608.616780045351</v>
      </c>
      <c r="K19" s="27">
        <f>Table2[[#This Row],[infection count, low end of estimate range]]/$S$6</f>
        <v>2.104654164265898E-2</v>
      </c>
      <c r="L19" s="26">
        <f>Table2[[#This Row],[infection count, high end of estimate range]]/$S$6</f>
        <v>5.7985369831815556E-2</v>
      </c>
      <c r="M19" s="15">
        <f>Table2[[#This Row],[infection percentage, high end of estimate range]]-Table2[[#This Row],[infection percentage, low end of estimate range]]</f>
        <v>3.6938828189156572E-2</v>
      </c>
      <c r="N19" s="27">
        <f>(Table2[[#This Row],[infection percentage, low end of estimate range]]+Table2[[#This Row],[infection percentage, high end of estimate range]])/2</f>
        <v>3.951595573723727E-2</v>
      </c>
      <c r="O19" s="3">
        <f>$S$6/(Table2[[#This Row],[cases]]*5)</f>
        <v>35.195366218236174</v>
      </c>
      <c r="P19" s="3">
        <f>$S$6/(Table2[[#This Row],[cases]]*7)</f>
        <v>25.139547298740123</v>
      </c>
      <c r="Q19" s="3">
        <f>Table2[[#This Row],[1-in-X odds, estimating 5x cases infected]]-Table2[[#This Row],[1-in-X odds, estimating 7x cases infected]]</f>
        <v>10.055818919496051</v>
      </c>
      <c r="R19" s="3">
        <f>(Table2[[#This Row],[1-in-X odds, estimating 5x cases infected]]+Table2[[#This Row],[1-in-X odds, estimating 7x cases infected]])/2</f>
        <v>30.16745675848815</v>
      </c>
      <c r="S19" s="3">
        <v>12</v>
      </c>
      <c r="U19" s="32" t="s">
        <v>23</v>
      </c>
    </row>
    <row r="20" spans="1:21" x14ac:dyDescent="0.2">
      <c r="A20" s="8">
        <v>43928</v>
      </c>
      <c r="B20" s="35">
        <v>3009</v>
      </c>
      <c r="C20" s="71">
        <f>Table2[[#This Row],[cases]]/$B$2</f>
        <v>6.3897017289781151E-3</v>
      </c>
      <c r="D20" s="26">
        <f>(Table2[[#This Row],[cases]]-B19)/B19</f>
        <v>0.12443946188340807</v>
      </c>
      <c r="E20" s="38">
        <f t="shared" si="0"/>
        <v>5.9099562368391503</v>
      </c>
      <c r="F20" s="81">
        <f>Table2[[#This Row],[cases]]*100/$S$19</f>
        <v>25075</v>
      </c>
      <c r="G20" s="35">
        <f>Table2[[#This Row],[cases]]*100/$S$13</f>
        <v>11144.444444444445</v>
      </c>
      <c r="H20" s="35">
        <f>Table2[[#This Row],[cases]]*100/$S$16</f>
        <v>30704.081632653058</v>
      </c>
      <c r="I20" s="35">
        <f>Table2[[#This Row],[infection count, high end of estimate range]]-Table2[[#This Row],[infection count, low end of estimate range]]</f>
        <v>19559.637188208613</v>
      </c>
      <c r="J20" s="35">
        <f>(Table2[[#This Row],[infection count, low end of estimate range]]+Table2[[#This Row],[infection count, high end of estimate range]])/2</f>
        <v>20924.26303854875</v>
      </c>
      <c r="K20" s="27">
        <f>Table2[[#This Row],[infection count, low end of estimate range]]/$S$6</f>
        <v>2.3665561959178204E-2</v>
      </c>
      <c r="L20" s="26">
        <f>Table2[[#This Row],[infection count, high end of estimate range]]/$S$6</f>
        <v>6.5201038050797092E-2</v>
      </c>
      <c r="M20" s="15">
        <f>Table2[[#This Row],[infection percentage, high end of estimate range]]-Table2[[#This Row],[infection percentage, low end of estimate range]]</f>
        <v>4.1535476091618888E-2</v>
      </c>
      <c r="N20" s="27">
        <f>(Table2[[#This Row],[infection percentage, low end of estimate range]]+Table2[[#This Row],[infection percentage, high end of estimate range]])/2</f>
        <v>4.4433300004987644E-2</v>
      </c>
      <c r="O20" s="3">
        <f>$S$6/(Table2[[#This Row],[cases]]*5)</f>
        <v>31.300365569956796</v>
      </c>
      <c r="P20" s="3">
        <f>$S$6/(Table2[[#This Row],[cases]]*7)</f>
        <v>22.357403978540567</v>
      </c>
      <c r="Q20" s="3">
        <f>Table2[[#This Row],[1-in-X odds, estimating 5x cases infected]]-Table2[[#This Row],[1-in-X odds, estimating 7x cases infected]]</f>
        <v>8.9429615914162284</v>
      </c>
      <c r="R20" s="3">
        <f>(Table2[[#This Row],[1-in-X odds, estimating 5x cases infected]]+Table2[[#This Row],[1-in-X odds, estimating 7x cases infected]])/2</f>
        <v>26.828884774248682</v>
      </c>
      <c r="T20" s="34" t="s">
        <v>30</v>
      </c>
      <c r="U20" s="66" t="s">
        <v>22</v>
      </c>
    </row>
    <row r="21" spans="1:21" x14ac:dyDescent="0.2">
      <c r="A21" s="8">
        <v>43929</v>
      </c>
      <c r="B21" s="56">
        <v>3235</v>
      </c>
      <c r="C21" s="71">
        <f>Table2[[#This Row],[cases]]/$B$2</f>
        <v>6.8696195058970426E-3</v>
      </c>
      <c r="D21" s="26">
        <f>(Table2[[#This Row],[cases]]-B20)/B20</f>
        <v>7.5108009305417084E-2</v>
      </c>
      <c r="E21" s="38">
        <f t="shared" si="0"/>
        <v>9.5710627221806028</v>
      </c>
      <c r="F21" s="81">
        <f>Table2[[#This Row],[cases]]*100/$S$19</f>
        <v>26958.333333333332</v>
      </c>
      <c r="G21" s="35">
        <f>Table2[[#This Row],[cases]]*100/$S$13</f>
        <v>11981.481481481482</v>
      </c>
      <c r="H21" s="35">
        <f>Table2[[#This Row],[cases]]*100/$S$16</f>
        <v>33010.204081632648</v>
      </c>
      <c r="I21" s="35">
        <f>Table2[[#This Row],[infection count, high end of estimate range]]-Table2[[#This Row],[infection count, low end of estimate range]]</f>
        <v>21028.722600151166</v>
      </c>
      <c r="J21" s="35">
        <f>(Table2[[#This Row],[infection count, low end of estimate range]]+Table2[[#This Row],[infection count, high end of estimate range]])/2</f>
        <v>22495.842781557065</v>
      </c>
      <c r="K21" s="27">
        <f>Table2[[#This Row],[infection count, low end of estimate range]]/$S$6</f>
        <v>2.5443035207026087E-2</v>
      </c>
      <c r="L21" s="27">
        <f>Table2[[#This Row],[infection count, high end of estimate range]]/$S$6</f>
        <v>7.0098158223439205E-2</v>
      </c>
      <c r="M21" s="15">
        <f>Table2[[#This Row],[infection percentage, high end of estimate range]]-Table2[[#This Row],[infection percentage, low end of estimate range]]</f>
        <v>4.4655123016413119E-2</v>
      </c>
      <c r="N21" s="27">
        <f>(Table2[[#This Row],[infection percentage, low end of estimate range]]+Table2[[#This Row],[infection percentage, high end of estimate range]])/2</f>
        <v>4.7770596715232649E-2</v>
      </c>
      <c r="O21" s="3">
        <f>$S$6/(Table2[[#This Row],[cases]]*5)</f>
        <v>29.113693972179288</v>
      </c>
      <c r="P21" s="3">
        <f>$S$6/(Table2[[#This Row],[cases]]*7)</f>
        <v>20.795495694413777</v>
      </c>
      <c r="Q21" s="3">
        <f>Table2[[#This Row],[1-in-X odds, estimating 5x cases infected]]-Table2[[#This Row],[1-in-X odds, estimating 7x cases infected]]</f>
        <v>8.3181982777655108</v>
      </c>
      <c r="R21" s="3">
        <f>(Table2[[#This Row],[1-in-X odds, estimating 5x cases infected]]+Table2[[#This Row],[1-in-X odds, estimating 7x cases infected]])/2</f>
        <v>24.954594833296532</v>
      </c>
      <c r="T21" s="3">
        <f ca="1">OFFSET(compute!E4,COUNTA(compute!E:E)-1,0)</f>
        <v>16.323180455299035</v>
      </c>
      <c r="U21" s="31"/>
    </row>
    <row r="22" spans="1:21" x14ac:dyDescent="0.2">
      <c r="A22" s="8">
        <v>43930</v>
      </c>
      <c r="B22" s="56">
        <v>3487</v>
      </c>
      <c r="C22" s="71">
        <f>Table2[[#This Row],[cases]]/$B$2</f>
        <v>7.4047490624615112E-3</v>
      </c>
      <c r="D22" s="26">
        <f>(Table2[[#This Row],[cases]]-B21)/B21</f>
        <v>7.7897990726429681E-2</v>
      </c>
      <c r="E22" s="38">
        <f t="shared" ref="E22" si="1">(LN(2)/LN(B22/B21))</f>
        <v>9.2403804862798964</v>
      </c>
      <c r="F22" s="81">
        <f>Table2[[#This Row],[cases]]*100/$S$19</f>
        <v>29058.333333333332</v>
      </c>
      <c r="G22" s="35">
        <f>Table2[[#This Row],[cases]]*100/$S$13</f>
        <v>12914.814814814816</v>
      </c>
      <c r="H22" s="35">
        <f>Table2[[#This Row],[cases]]*100/$S$16</f>
        <v>35581.63265306122</v>
      </c>
      <c r="I22" s="35">
        <f>Table2[[#This Row],[infection count, high end of estimate range]]-Table2[[#This Row],[infection count, low end of estimate range]]</f>
        <v>22666.817838246403</v>
      </c>
      <c r="J22" s="35">
        <f>(Table2[[#This Row],[infection count, low end of estimate range]]+Table2[[#This Row],[infection count, high end of estimate range]])/2</f>
        <v>24248.223733938019</v>
      </c>
      <c r="K22" s="27">
        <f>Table2[[#This Row],[infection count, low end of estimate range]]/$S$6</f>
        <v>2.7424996527635227E-2</v>
      </c>
      <c r="L22" s="27">
        <f>Table2[[#This Row],[infection count, high end of estimate range]]/$S$6</f>
        <v>7.5558663902668466E-2</v>
      </c>
      <c r="M22" s="15">
        <f>Table2[[#This Row],[infection percentage, high end of estimate range]]-Table2[[#This Row],[infection percentage, low end of estimate range]]</f>
        <v>4.8133667375033239E-2</v>
      </c>
      <c r="N22" s="27">
        <f>(Table2[[#This Row],[infection percentage, low end of estimate range]]+Table2[[#This Row],[infection percentage, high end of estimate range]])/2</f>
        <v>5.1491830215151843E-2</v>
      </c>
      <c r="O22" s="3">
        <f>$S$6/(Table2[[#This Row],[cases]]*5)</f>
        <v>27.009693145970747</v>
      </c>
      <c r="P22" s="3">
        <f>$S$6/(Table2[[#This Row],[cases]]*7)</f>
        <v>19.292637961407678</v>
      </c>
      <c r="Q22" s="3">
        <f>Table2[[#This Row],[1-in-X odds, estimating 5x cases infected]]-Table2[[#This Row],[1-in-X odds, estimating 7x cases infected]]</f>
        <v>7.717055184563069</v>
      </c>
      <c r="R22" s="3">
        <f>(Table2[[#This Row],[1-in-X odds, estimating 5x cases infected]]+Table2[[#This Row],[1-in-X odds, estimating 7x cases infected]])/2</f>
        <v>23.151165553689211</v>
      </c>
      <c r="U22" s="31"/>
    </row>
    <row r="23" spans="1:21" x14ac:dyDescent="0.2">
      <c r="A23" s="8">
        <v>43931</v>
      </c>
      <c r="B23" s="56">
        <v>3713</v>
      </c>
      <c r="C23" s="71">
        <f>Table2[[#This Row],[cases]]/$B$2</f>
        <v>7.8846668393804387E-3</v>
      </c>
      <c r="D23" s="26">
        <f>(Table2[[#This Row],[cases]]-B22)/B22</f>
        <v>6.4812159449383427E-2</v>
      </c>
      <c r="E23" s="38">
        <f t="shared" ref="E23" si="2">(LN(2)/LN(B23/B22))</f>
        <v>11.037655382330742</v>
      </c>
      <c r="F23" s="81">
        <f>Table2[[#This Row],[cases]]*100/$S$19</f>
        <v>30941.666666666668</v>
      </c>
      <c r="G23" s="35">
        <f>Table2[[#This Row],[cases]]*100/$S$13</f>
        <v>13751.851851851852</v>
      </c>
      <c r="H23" s="35">
        <f>Table2[[#This Row],[cases]]*100/$S$16</f>
        <v>37887.755102040814</v>
      </c>
      <c r="I23" s="35">
        <f>Table2[[#This Row],[infection count, high end of estimate range]]-Table2[[#This Row],[infection count, low end of estimate range]]</f>
        <v>24135.90325018896</v>
      </c>
      <c r="J23" s="35">
        <f>(Table2[[#This Row],[infection count, low end of estimate range]]+Table2[[#This Row],[infection count, high end of estimate range]])/2</f>
        <v>25819.803476946334</v>
      </c>
      <c r="K23" s="27">
        <f>Table2[[#This Row],[infection count, low end of estimate range]]/$S$6</f>
        <v>2.9202469775483107E-2</v>
      </c>
      <c r="L23" s="27">
        <f>Table2[[#This Row],[infection count, high end of estimate range]]/$S$6</f>
        <v>8.0455784075310594E-2</v>
      </c>
      <c r="M23" s="15">
        <f>Table2[[#This Row],[infection percentage, high end of estimate range]]-Table2[[#This Row],[infection percentage, low end of estimate range]]</f>
        <v>5.125331429982749E-2</v>
      </c>
      <c r="N23" s="27">
        <f>(Table2[[#This Row],[infection percentage, low end of estimate range]]+Table2[[#This Row],[infection percentage, high end of estimate range]])/2</f>
        <v>5.4829126925396848E-2</v>
      </c>
      <c r="O23" s="3">
        <f>$S$6/(Table2[[#This Row],[cases]]*5)</f>
        <v>25.365688122811743</v>
      </c>
      <c r="P23" s="3">
        <f>$S$6/(Table2[[#This Row],[cases]]*7)</f>
        <v>18.118348659151245</v>
      </c>
      <c r="Q23" s="3">
        <f>Table2[[#This Row],[1-in-X odds, estimating 5x cases infected]]-Table2[[#This Row],[1-in-X odds, estimating 7x cases infected]]</f>
        <v>7.2473394636604986</v>
      </c>
      <c r="R23" s="3">
        <f>(Table2[[#This Row],[1-in-X odds, estimating 5x cases infected]]+Table2[[#This Row],[1-in-X odds, estimating 7x cases infected]])/2</f>
        <v>21.742018390981492</v>
      </c>
      <c r="U23" s="31" t="s">
        <v>48</v>
      </c>
    </row>
    <row r="24" spans="1:21" x14ac:dyDescent="0.2">
      <c r="A24" s="8">
        <v>43932</v>
      </c>
      <c r="B24" s="56">
        <v>3908</v>
      </c>
      <c r="C24" s="71">
        <f>Table2[[#This Row],[cases]]/$B$2</f>
        <v>8.2987551867219917E-3</v>
      </c>
      <c r="D24" s="26">
        <f>(Table2[[#This Row],[cases]]-B23)/B23</f>
        <v>5.2518179369781849E-2</v>
      </c>
      <c r="E24" s="38">
        <f t="shared" ref="E24" si="3">(LN(2)/LN(B24/B23))</f>
        <v>13.541850363596499</v>
      </c>
      <c r="F24" s="81">
        <f>Table2[[#This Row],[cases]]*100/$S$19</f>
        <v>32566.666666666668</v>
      </c>
      <c r="G24" s="35">
        <f>Table2[[#This Row],[cases]]*100/$S$13</f>
        <v>14474.074074074075</v>
      </c>
      <c r="H24" s="35">
        <f>Table2[[#This Row],[cases]]*100/$S$16</f>
        <v>39877.551020408158</v>
      </c>
      <c r="I24" s="35">
        <f>Table2[[#This Row],[infection count, high end of estimate range]]-Table2[[#This Row],[infection count, low end of estimate range]]</f>
        <v>25403.476946334085</v>
      </c>
      <c r="J24" s="35">
        <f>(Table2[[#This Row],[infection count, low end of estimate range]]+Table2[[#This Row],[infection count, high end of estimate range]])/2</f>
        <v>27175.812547241116</v>
      </c>
      <c r="K24" s="27">
        <f>Table2[[#This Row],[infection count, low end of estimate range]]/$S$6</f>
        <v>3.0736130321192563E-2</v>
      </c>
      <c r="L24" s="27">
        <f>Table2[[#This Row],[infection count, high end of estimate range]]/$S$6</f>
        <v>8.4681175374714188E-2</v>
      </c>
      <c r="M24" s="15">
        <f>Table2[[#This Row],[infection percentage, high end of estimate range]]-Table2[[#This Row],[infection percentage, low end of estimate range]]</f>
        <v>5.3945045053521629E-2</v>
      </c>
      <c r="N24" s="27">
        <f>(Table2[[#This Row],[infection percentage, low end of estimate range]]+Table2[[#This Row],[infection percentage, high end of estimate range]])/2</f>
        <v>5.7708652847953373E-2</v>
      </c>
      <c r="O24" s="3">
        <f>$S$6/(Table2[[#This Row],[cases]]*5)</f>
        <v>24.1</v>
      </c>
      <c r="P24" s="3">
        <f>$S$6/(Table2[[#This Row],[cases]]*7)</f>
        <v>17.214285714285715</v>
      </c>
      <c r="Q24" s="3">
        <f>Table2[[#This Row],[1-in-X odds, estimating 5x cases infected]]-Table2[[#This Row],[1-in-X odds, estimating 7x cases infected]]</f>
        <v>6.8857142857142861</v>
      </c>
      <c r="R24" s="3">
        <f>(Table2[[#This Row],[1-in-X odds, estimating 5x cases infected]]+Table2[[#This Row],[1-in-X odds, estimating 7x cases infected]])/2</f>
        <v>20.657142857142858</v>
      </c>
      <c r="U24" s="31"/>
    </row>
    <row r="25" spans="1:21" x14ac:dyDescent="0.2">
      <c r="A25" s="8">
        <v>43933</v>
      </c>
      <c r="B25" s="56">
        <v>4144</v>
      </c>
      <c r="C25" s="71">
        <f>Table2[[#This Row],[cases]]/$B$2</f>
        <v>8.7999082635045883E-3</v>
      </c>
      <c r="D25" s="26">
        <f>(Table2[[#This Row],[cases]]-B24)/B24</f>
        <v>6.0388945752302969E-2</v>
      </c>
      <c r="E25" s="38">
        <f t="shared" ref="E25" si="4">(LN(2)/LN(B25/B24))</f>
        <v>11.821234229192092</v>
      </c>
      <c r="F25" s="81">
        <f>Table2[[#This Row],[cases]]*100/$S$19</f>
        <v>34533.333333333336</v>
      </c>
      <c r="G25" s="35">
        <f>Table2[[#This Row],[cases]]*100/$S$13</f>
        <v>15348.148148148148</v>
      </c>
      <c r="H25" s="35">
        <f>Table2[[#This Row],[cases]]*100/$S$16</f>
        <v>42285.714285714283</v>
      </c>
      <c r="I25" s="35">
        <f>Table2[[#This Row],[infection count, high end of estimate range]]-Table2[[#This Row],[infection count, low end of estimate range]]</f>
        <v>26937.566137566137</v>
      </c>
      <c r="J25" s="35">
        <f>(Table2[[#This Row],[infection count, low end of estimate range]]+Table2[[#This Row],[infection count, high end of estimate range]])/2</f>
        <v>28816.931216931214</v>
      </c>
      <c r="K25" s="27">
        <f>Table2[[#This Row],[infection count, low end of estimate range]]/$S$6</f>
        <v>3.2592252827794772E-2</v>
      </c>
      <c r="L25" s="27">
        <f>Table2[[#This Row],[infection count, high end of estimate range]]/$S$6</f>
        <v>8.9794982280659061E-2</v>
      </c>
      <c r="M25" s="15">
        <f>Table2[[#This Row],[infection percentage, high end of estimate range]]-Table2[[#This Row],[infection percentage, low end of estimate range]]</f>
        <v>5.7202729452864289E-2</v>
      </c>
      <c r="N25" s="27">
        <f>(Table2[[#This Row],[infection percentage, low end of estimate range]]+Table2[[#This Row],[infection percentage, high end of estimate range]])/2</f>
        <v>6.119361755422692E-2</v>
      </c>
      <c r="O25" s="3">
        <f>$S$6/(Table2[[#This Row],[cases]]*5)</f>
        <v>22.727509652509653</v>
      </c>
      <c r="P25" s="3">
        <f>$S$6/(Table2[[#This Row],[cases]]*7)</f>
        <v>16.233935466078321</v>
      </c>
      <c r="Q25" s="3">
        <f>Table2[[#This Row],[1-in-X odds, estimating 5x cases infected]]-Table2[[#This Row],[1-in-X odds, estimating 7x cases infected]]</f>
        <v>6.4935741864313314</v>
      </c>
      <c r="R25" s="3">
        <f>(Table2[[#This Row],[1-in-X odds, estimating 5x cases infected]]+Table2[[#This Row],[1-in-X odds, estimating 7x cases infected]])/2</f>
        <v>19.480722559293987</v>
      </c>
      <c r="U25" s="31"/>
    </row>
    <row r="26" spans="1:21" x14ac:dyDescent="0.2">
      <c r="A26" s="8">
        <v>43934</v>
      </c>
      <c r="B26" s="56">
        <v>4357</v>
      </c>
      <c r="C26" s="71">
        <f>Table2[[#This Row],[cases]]/$B$2</f>
        <v>9.2522201506007474E-3</v>
      </c>
      <c r="D26" s="26">
        <f>(Table2[[#This Row],[cases]]-B25)/B25</f>
        <v>5.1399613899613901E-2</v>
      </c>
      <c r="E26" s="38">
        <f t="shared" ref="E26" si="5">(LN(2)/LN(B26/B25))</f>
        <v>13.829133543081639</v>
      </c>
      <c r="F26" s="81">
        <f>Table2[[#This Row],[cases]]*100/$S$19</f>
        <v>36308.333333333336</v>
      </c>
      <c r="G26" s="35">
        <f>Table2[[#This Row],[cases]]*100/$S$13</f>
        <v>16137.037037037036</v>
      </c>
      <c r="H26" s="35">
        <f>Table2[[#This Row],[cases]]*100/$S$16</f>
        <v>44459.183673469386</v>
      </c>
      <c r="I26" s="35">
        <f>Table2[[#This Row],[infection count, high end of estimate range]]-Table2[[#This Row],[infection count, low end of estimate range]]</f>
        <v>28322.14663643235</v>
      </c>
      <c r="J26" s="35">
        <f>(Table2[[#This Row],[infection count, low end of estimate range]]+Table2[[#This Row],[infection count, high end of estimate range]])/2</f>
        <v>30298.110355253211</v>
      </c>
      <c r="K26" s="27">
        <f>Table2[[#This Row],[infection count, low end of estimate range]]/$S$6</f>
        <v>3.4267482039262026E-2</v>
      </c>
      <c r="L26" s="27">
        <f>Table2[[#This Row],[infection count, high end of estimate range]]/$S$6</f>
        <v>9.4410409700007622E-2</v>
      </c>
      <c r="M26" s="15">
        <f>Table2[[#This Row],[infection percentage, high end of estimate range]]-Table2[[#This Row],[infection percentage, low end of estimate range]]</f>
        <v>6.0142927660745596E-2</v>
      </c>
      <c r="N26" s="27">
        <f>(Table2[[#This Row],[infection percentage, low end of estimate range]]+Table2[[#This Row],[infection percentage, high end of estimate range]])/2</f>
        <v>6.4338945869634817E-2</v>
      </c>
      <c r="O26" s="3">
        <f>$S$6/(Table2[[#This Row],[cases]]*5)</f>
        <v>21.616433325682809</v>
      </c>
      <c r="P26" s="3">
        <f>$S$6/(Table2[[#This Row],[cases]]*7)</f>
        <v>15.440309518344863</v>
      </c>
      <c r="Q26" s="3">
        <f>Table2[[#This Row],[1-in-X odds, estimating 5x cases infected]]-Table2[[#This Row],[1-in-X odds, estimating 7x cases infected]]</f>
        <v>6.1761238073379463</v>
      </c>
      <c r="R26" s="3">
        <f>(Table2[[#This Row],[1-in-X odds, estimating 5x cases infected]]+Table2[[#This Row],[1-in-X odds, estimating 7x cases infected]])/2</f>
        <v>18.528371422013837</v>
      </c>
      <c r="U26" s="31"/>
    </row>
    <row r="27" spans="1:21" x14ac:dyDescent="0.2">
      <c r="A27" s="8">
        <v>43935</v>
      </c>
      <c r="B27" s="56">
        <v>4546</v>
      </c>
      <c r="C27" s="71">
        <f>Table2[[#This Row],[cases]]/$B$2</f>
        <v>9.6535673180240984E-3</v>
      </c>
      <c r="D27" s="26">
        <f>(Table2[[#This Row],[cases]]-B26)/B26</f>
        <v>4.3378471425292629E-2</v>
      </c>
      <c r="E27" s="38">
        <f t="shared" ref="E27" si="6">(LN(2)/LN(B27/B26))</f>
        <v>16.323180455299035</v>
      </c>
      <c r="F27" s="81">
        <f>Table2[[#This Row],[cases]]*100/$S$19</f>
        <v>37883.333333333336</v>
      </c>
      <c r="G27" s="35">
        <f>Table2[[#This Row],[cases]]*100/$S$13</f>
        <v>16837.037037037036</v>
      </c>
      <c r="H27" s="35">
        <f>Table2[[#This Row],[cases]]*100/$S$16</f>
        <v>46387.755102040814</v>
      </c>
      <c r="I27" s="35">
        <f>Table2[[#This Row],[infection count, high end of estimate range]]-Table2[[#This Row],[infection count, low end of estimate range]]</f>
        <v>29550.718065003777</v>
      </c>
      <c r="J27" s="35">
        <f>(Table2[[#This Row],[infection count, low end of estimate range]]+Table2[[#This Row],[infection count, high end of estimate range]])/2</f>
        <v>31612.396069538925</v>
      </c>
      <c r="K27" s="27">
        <f>Table2[[#This Row],[infection count, low end of estimate range]]/$S$6</f>
        <v>3.5753953029718878E-2</v>
      </c>
      <c r="L27" s="27">
        <f>Table2[[#This Row],[infection count, high end of estimate range]]/$S$6</f>
        <v>9.850578895942956E-2</v>
      </c>
      <c r="M27" s="15">
        <f>Table2[[#This Row],[infection percentage, high end of estimate range]]-Table2[[#This Row],[infection percentage, low end of estimate range]]</f>
        <v>6.2751835929710675E-2</v>
      </c>
      <c r="N27" s="27">
        <f>(Table2[[#This Row],[infection percentage, low end of estimate range]]+Table2[[#This Row],[infection percentage, high end of estimate range]])/2</f>
        <v>6.7129870994574223E-2</v>
      </c>
      <c r="O27" s="3">
        <f>$S$6/(Table2[[#This Row],[cases]]*5)</f>
        <v>20.717729872415312</v>
      </c>
      <c r="P27" s="3">
        <f>$S$6/(Table2[[#This Row],[cases]]*7)</f>
        <v>14.79837848029665</v>
      </c>
      <c r="Q27" s="3">
        <f>Table2[[#This Row],[1-in-X odds, estimating 5x cases infected]]-Table2[[#This Row],[1-in-X odds, estimating 7x cases infected]]</f>
        <v>5.9193513921186618</v>
      </c>
      <c r="R27" s="3">
        <f>(Table2[[#This Row],[1-in-X odds, estimating 5x cases infected]]+Table2[[#This Row],[1-in-X odds, estimating 7x cases infected]])/2</f>
        <v>17.75805417635598</v>
      </c>
      <c r="U27" s="31"/>
    </row>
    <row r="28" spans="1:21" x14ac:dyDescent="0.2">
      <c r="U28" s="55" t="str">
        <f ca="1">"updated " &amp; TEXT($T6,"MMMM d, yyyy") &amp; ", " &amp; S9</f>
        <v>updated April 14, 2020, morning</v>
      </c>
    </row>
    <row r="29" spans="1:21" x14ac:dyDescent="0.2">
      <c r="T29" s="34" t="s">
        <v>32</v>
      </c>
      <c r="U29" s="36"/>
    </row>
    <row r="30" spans="1:21" x14ac:dyDescent="0.2">
      <c r="T30" s="27">
        <f ca="1">OFFSET(compute!D4,COUNTA(compute!D:D)-1,0)</f>
        <v>4.3378471425292629E-2</v>
      </c>
    </row>
    <row r="31" spans="1:21" x14ac:dyDescent="0.2">
      <c r="U31" s="33" t="s">
        <v>24</v>
      </c>
    </row>
    <row r="32" spans="1:21" x14ac:dyDescent="0.2">
      <c r="U32" s="1" t="str">
        <f ca="1">"There have been " &amp;TEXT( T9,"0") &amp; " confirmed cases of COVID-19 disease in " &amp; B1 &amp; " since the start of the outbreak."</f>
        <v>There have been 4546 confirmed cases of COVID-19 disease in Miami since the start of the outbreak.</v>
      </c>
    </row>
    <row r="34" spans="21:21" x14ac:dyDescent="0.2">
      <c r="U34" s="1" t="str">
        <f ca="1">"Around " &amp;TEXT(ROUND(T12,-3),"#,##0") &amp;" people in " &amp; B1 &amp; " may have already been infected with the SARS-CoV-2 virus."</f>
        <v>Around 38,000 people in Miami may have already been infected with the SARS-CoV-2 virus.</v>
      </c>
    </row>
    <row r="36" spans="21:21" x14ac:dyDescent="0.2">
      <c r="U36" s="1" t="str">
        <f ca="1">"Around " &amp; TEXT(T15,"0.0%") &amp; " of the total population of " &amp; B1 &amp; " may have already been infected with the SARS-CoV-2 virus, based on an estimated population of " &amp; TEXT(S6,"0,000") &amp; "."</f>
        <v>Around 6.7% of the total population of Miami may have already been infected with the SARS-CoV-2 virus, based on an estimated population of 470,914.</v>
      </c>
    </row>
    <row r="38" spans="21:21" x14ac:dyDescent="0.2">
      <c r="U38" s="1" t="str">
        <f ca="1">"The odds of any given person in " &amp; B1 &amp; " having been infected with SARS-CoV-2 is currently estimated to be around one in " &amp; TEXT(T18,"#,##0")  &amp; "."</f>
        <v>The odds of any given person in Miami having been infected with SARS-CoV-2 is currently estimated to be around one in 18.</v>
      </c>
    </row>
    <row r="40" spans="21:21" x14ac:dyDescent="0.2">
      <c r="U40" s="1" t="str">
        <f ca="1">"doubing in " &amp; TEXT(T21,"0.0") &amp; " days"</f>
        <v>doubing in 16.3 days</v>
      </c>
    </row>
    <row r="42" spans="21:21" x14ac:dyDescent="0.2">
      <c r="U42" s="1" t="str">
        <f ca="1">TEXT(T30, "+0.0%;-0.0%") &amp; " per day"</f>
        <v>+4.3% per day</v>
      </c>
    </row>
    <row r="44" spans="21:21" x14ac:dyDescent="0.2">
      <c r="U44" t="str">
        <f ca="1">"The current rate of increase is " &amp; U42</f>
        <v>The current rate of increase is +4.3%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27"/>
  <sheetViews>
    <sheetView workbookViewId="0">
      <selection activeCell="B27" sqref="A1:B27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26"/>
  <sheetViews>
    <sheetView workbookViewId="0">
      <selection sqref="A1:B26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26"/>
  <sheetViews>
    <sheetView workbookViewId="0">
      <selection sqref="A1: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26"/>
  <sheetViews>
    <sheetView workbookViewId="0">
      <selection sqref="A1: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 t="shared" ref="C26" si="8">(B26-B25)/B25</f>
        <v>5.6496607187735609E-2</v>
      </c>
      <c r="D26" s="38">
        <f t="shared" ref="D26" si="9">(LN(2)/LN(B26/B25))</f>
        <v>12.612227663194551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Cases</vt:lpstr>
      <vt:lpstr>% Increase</vt:lpstr>
      <vt:lpstr>Doubling Time</vt:lpstr>
      <vt:lpstr>Number of Infections</vt:lpstr>
      <vt:lpstr>Case Percentage</vt:lpstr>
      <vt:lpstr>Infection Projection</vt:lpstr>
      <vt:lpstr>Infection Odds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2020-04-14T19:49:10Z</dcterms:modified>
</cp:coreProperties>
</file>